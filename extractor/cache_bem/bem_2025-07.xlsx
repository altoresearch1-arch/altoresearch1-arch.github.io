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G:\1. MINEM\1. BEM 2025\0. CUADROS ESTADISTICOS\JULIO\CONSOLIDADO 11 Y 18\AJUSTE\"/>
    </mc:Choice>
  </mc:AlternateContent>
  <xr:revisionPtr revIDLastSave="0" documentId="8_{5B5391E8-00FE-4AFF-BCF9-17346D9F60C7}" xr6:coauthVersionLast="47" xr6:coauthVersionMax="47" xr10:uidLastSave="{00000000-0000-0000-0000-000000000000}"/>
  <bookViews>
    <workbookView xWindow="-120" yWindow="-120" windowWidth="29040" windowHeight="15720" xr2:uid="{C2E09711-F6FF-4B8A-8D2D-18AB30956760}"/>
  </bookViews>
  <sheets>
    <sheet name="S01.C01" sheetId="1" r:id="rId1"/>
    <sheet name="S01.C02" sheetId="2" r:id="rId2"/>
    <sheet name="S01.C03" sheetId="3" r:id="rId3"/>
  </sheets>
  <definedNames>
    <definedName name="_xlnm._FilterDatabase" localSheetId="1" hidden="1">'S01.C02'!$C$9:$G$109</definedName>
    <definedName name="_xlnm._FilterDatabase" localSheetId="2" hidden="1">'S01.C03'!$C$11:$G$120</definedName>
    <definedName name="_xlnm.Print_Area" localSheetId="0">'S01.C01'!$B$2:$Q$72</definedName>
    <definedName name="_xlnm.Print_Area" localSheetId="1">'S01.C02'!$B$2:$K$110</definedName>
    <definedName name="_xlnm.Print_Area" localSheetId="2">'S01.C03'!$B$2:$K$121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OTI_2" localSheetId="0">#REF!</definedName>
    <definedName name="OTI_2" localSheetId="1">#REF!</definedName>
    <definedName name="OTI_2" localSheetId="2">#REF!</definedName>
    <definedName name="OTI_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6" i="1" l="1"/>
  <c r="F80" i="2" l="1"/>
  <c r="I87" i="2" l="1"/>
  <c r="F25" i="2"/>
  <c r="I105" i="3"/>
  <c r="F74" i="3"/>
  <c r="I74" i="3"/>
  <c r="I43" i="3"/>
  <c r="F43" i="3"/>
  <c r="D45" i="3"/>
  <c r="E45" i="3"/>
  <c r="F45" i="3" s="1"/>
  <c r="I96" i="2"/>
  <c r="I95" i="2"/>
  <c r="I94" i="2"/>
  <c r="I93" i="2"/>
  <c r="I92" i="2"/>
  <c r="F96" i="2"/>
  <c r="F94" i="2"/>
  <c r="F93" i="2"/>
  <c r="F92" i="2"/>
  <c r="E36" i="1"/>
  <c r="F36" i="1"/>
  <c r="G36" i="1"/>
  <c r="H36" i="1"/>
  <c r="I36" i="1"/>
  <c r="J36" i="1"/>
  <c r="K36" i="1"/>
  <c r="L36" i="1"/>
  <c r="M36" i="1"/>
  <c r="N36" i="1"/>
  <c r="O36" i="1"/>
  <c r="D36" i="1"/>
  <c r="Q36" i="1" s="1"/>
  <c r="I119" i="3"/>
  <c r="F119" i="3"/>
  <c r="H118" i="3"/>
  <c r="J119" i="3" s="1"/>
  <c r="J118" i="3" s="1"/>
  <c r="G118" i="3"/>
  <c r="E118" i="3"/>
  <c r="D118" i="3"/>
  <c r="I117" i="3"/>
  <c r="F117" i="3"/>
  <c r="I116" i="3"/>
  <c r="F116" i="3"/>
  <c r="I115" i="3"/>
  <c r="F115" i="3"/>
  <c r="H114" i="3"/>
  <c r="J117" i="3" s="1"/>
  <c r="G114" i="3"/>
  <c r="E114" i="3"/>
  <c r="D114" i="3"/>
  <c r="I113" i="3"/>
  <c r="F113" i="3"/>
  <c r="I112" i="3"/>
  <c r="F112" i="3"/>
  <c r="H111" i="3"/>
  <c r="J113" i="3" s="1"/>
  <c r="G111" i="3"/>
  <c r="E111" i="3"/>
  <c r="D111" i="3"/>
  <c r="I110" i="3"/>
  <c r="F110" i="3"/>
  <c r="I109" i="3"/>
  <c r="F109" i="3"/>
  <c r="I108" i="3"/>
  <c r="F108" i="3"/>
  <c r="H107" i="3"/>
  <c r="J110" i="3" s="1"/>
  <c r="G107" i="3"/>
  <c r="E107" i="3"/>
  <c r="D107" i="3"/>
  <c r="I106" i="3"/>
  <c r="F106" i="3"/>
  <c r="I104" i="3"/>
  <c r="F104" i="3"/>
  <c r="I103" i="3"/>
  <c r="F103" i="3"/>
  <c r="I102" i="3"/>
  <c r="F102" i="3"/>
  <c r="I101" i="3"/>
  <c r="F101" i="3"/>
  <c r="H100" i="3"/>
  <c r="J105" i="3" s="1"/>
  <c r="G100" i="3"/>
  <c r="E100" i="3"/>
  <c r="D100" i="3"/>
  <c r="I99" i="3"/>
  <c r="F99" i="3"/>
  <c r="I98" i="3"/>
  <c r="F98" i="3"/>
  <c r="I97" i="3"/>
  <c r="F97" i="3"/>
  <c r="I96" i="3"/>
  <c r="F96" i="3"/>
  <c r="I95" i="3"/>
  <c r="F95" i="3"/>
  <c r="H94" i="3"/>
  <c r="J98" i="3" s="1"/>
  <c r="G94" i="3"/>
  <c r="E94" i="3"/>
  <c r="D94" i="3"/>
  <c r="I93" i="3"/>
  <c r="F93" i="3"/>
  <c r="H92" i="3"/>
  <c r="J93" i="3" s="1"/>
  <c r="J92" i="3" s="1"/>
  <c r="G92" i="3"/>
  <c r="E92" i="3"/>
  <c r="D92" i="3"/>
  <c r="I91" i="3"/>
  <c r="F91" i="3"/>
  <c r="H90" i="3"/>
  <c r="G90" i="3"/>
  <c r="E90" i="3"/>
  <c r="D90" i="3"/>
  <c r="I88" i="3"/>
  <c r="F88" i="3"/>
  <c r="I87" i="3"/>
  <c r="I86" i="3"/>
  <c r="F86" i="3"/>
  <c r="I85" i="3"/>
  <c r="F85" i="3"/>
  <c r="I84" i="3"/>
  <c r="F84" i="3"/>
  <c r="I83" i="3"/>
  <c r="F83" i="3"/>
  <c r="I82" i="3"/>
  <c r="F82" i="3"/>
  <c r="I81" i="3"/>
  <c r="F81" i="3"/>
  <c r="I80" i="3"/>
  <c r="F80" i="3"/>
  <c r="I79" i="3"/>
  <c r="F79" i="3"/>
  <c r="I78" i="3"/>
  <c r="F78" i="3"/>
  <c r="H77" i="3"/>
  <c r="J85" i="3" s="1"/>
  <c r="G77" i="3"/>
  <c r="E77" i="3"/>
  <c r="D77" i="3"/>
  <c r="I75" i="3"/>
  <c r="I73" i="3"/>
  <c r="I72" i="3"/>
  <c r="F72" i="3"/>
  <c r="I71" i="3"/>
  <c r="F71" i="3"/>
  <c r="I70" i="3"/>
  <c r="F70" i="3"/>
  <c r="I69" i="3"/>
  <c r="F69" i="3"/>
  <c r="I68" i="3"/>
  <c r="F68" i="3"/>
  <c r="I67" i="3"/>
  <c r="F67" i="3"/>
  <c r="I66" i="3"/>
  <c r="F66" i="3"/>
  <c r="I65" i="3"/>
  <c r="F65" i="3"/>
  <c r="I64" i="3"/>
  <c r="F64" i="3"/>
  <c r="I63" i="3"/>
  <c r="F63" i="3"/>
  <c r="I62" i="3"/>
  <c r="F62" i="3"/>
  <c r="I61" i="3"/>
  <c r="F61" i="3"/>
  <c r="I60" i="3"/>
  <c r="F60" i="3"/>
  <c r="I59" i="3"/>
  <c r="F59" i="3"/>
  <c r="H58" i="3"/>
  <c r="J68" i="3" s="1"/>
  <c r="G58" i="3"/>
  <c r="E58" i="3"/>
  <c r="D58" i="3"/>
  <c r="I57" i="3"/>
  <c r="F57" i="3"/>
  <c r="I55" i="3"/>
  <c r="I54" i="3"/>
  <c r="F54" i="3"/>
  <c r="I53" i="3"/>
  <c r="F53" i="3"/>
  <c r="I52" i="3"/>
  <c r="F52" i="3"/>
  <c r="I51" i="3"/>
  <c r="F51" i="3"/>
  <c r="I50" i="3"/>
  <c r="F50" i="3"/>
  <c r="I49" i="3"/>
  <c r="F49" i="3"/>
  <c r="I48" i="3"/>
  <c r="F48" i="3"/>
  <c r="I47" i="3"/>
  <c r="F47" i="3"/>
  <c r="I46" i="3"/>
  <c r="F46" i="3"/>
  <c r="H45" i="3"/>
  <c r="J57" i="3" s="1"/>
  <c r="G45" i="3"/>
  <c r="I45" i="3" s="1"/>
  <c r="I42" i="3"/>
  <c r="F42" i="3"/>
  <c r="I41" i="3"/>
  <c r="F41" i="3"/>
  <c r="I40" i="3"/>
  <c r="F40" i="3"/>
  <c r="I39" i="3"/>
  <c r="F39" i="3"/>
  <c r="I38" i="3"/>
  <c r="F38" i="3"/>
  <c r="I37" i="3"/>
  <c r="F37" i="3"/>
  <c r="I36" i="3"/>
  <c r="F36" i="3"/>
  <c r="I35" i="3"/>
  <c r="F35" i="3"/>
  <c r="I34" i="3"/>
  <c r="F34" i="3"/>
  <c r="I33" i="3"/>
  <c r="F33" i="3"/>
  <c r="I32" i="3"/>
  <c r="F32" i="3"/>
  <c r="I31" i="3"/>
  <c r="F31" i="3"/>
  <c r="I30" i="3"/>
  <c r="F30" i="3"/>
  <c r="I29" i="3"/>
  <c r="F29" i="3"/>
  <c r="I28" i="3"/>
  <c r="F28" i="3"/>
  <c r="H27" i="3"/>
  <c r="J37" i="3" s="1"/>
  <c r="G27" i="3"/>
  <c r="E27" i="3"/>
  <c r="D27" i="3"/>
  <c r="I26" i="3"/>
  <c r="F26" i="3"/>
  <c r="I25" i="3"/>
  <c r="F25" i="3"/>
  <c r="I24" i="3"/>
  <c r="F24" i="3"/>
  <c r="I23" i="3"/>
  <c r="F23" i="3"/>
  <c r="I22" i="3"/>
  <c r="F22" i="3"/>
  <c r="I21" i="3"/>
  <c r="F21" i="3"/>
  <c r="I20" i="3"/>
  <c r="F20" i="3"/>
  <c r="I19" i="3"/>
  <c r="F19" i="3"/>
  <c r="I18" i="3"/>
  <c r="F18" i="3"/>
  <c r="I17" i="3"/>
  <c r="F17" i="3"/>
  <c r="I16" i="3"/>
  <c r="F16" i="3"/>
  <c r="I15" i="3"/>
  <c r="F15" i="3"/>
  <c r="I14" i="3"/>
  <c r="F14" i="3"/>
  <c r="I13" i="3"/>
  <c r="F13" i="3"/>
  <c r="I12" i="3"/>
  <c r="F12" i="3"/>
  <c r="H11" i="3"/>
  <c r="J21" i="3" s="1"/>
  <c r="G11" i="3"/>
  <c r="E11" i="3"/>
  <c r="D11" i="3"/>
  <c r="I108" i="2"/>
  <c r="F108" i="2"/>
  <c r="H107" i="2"/>
  <c r="G107" i="2"/>
  <c r="E107" i="2"/>
  <c r="D107" i="2"/>
  <c r="I106" i="2"/>
  <c r="F106" i="2"/>
  <c r="I105" i="2"/>
  <c r="F105" i="2"/>
  <c r="I104" i="2"/>
  <c r="F104" i="2"/>
  <c r="I103" i="2"/>
  <c r="F103" i="2"/>
  <c r="H102" i="2"/>
  <c r="J106" i="2" s="1"/>
  <c r="G102" i="2"/>
  <c r="E102" i="2"/>
  <c r="D102" i="2"/>
  <c r="I101" i="2"/>
  <c r="F101" i="2"/>
  <c r="I100" i="2"/>
  <c r="F100" i="2"/>
  <c r="I99" i="2"/>
  <c r="F99" i="2"/>
  <c r="H98" i="2"/>
  <c r="J101" i="2" s="1"/>
  <c r="G98" i="2"/>
  <c r="I98" i="2" s="1"/>
  <c r="E98" i="2"/>
  <c r="D98" i="2"/>
  <c r="H91" i="2"/>
  <c r="J96" i="2" s="1"/>
  <c r="G91" i="2"/>
  <c r="I91" i="2" s="1"/>
  <c r="E91" i="2"/>
  <c r="D91" i="2"/>
  <c r="I89" i="2"/>
  <c r="I88" i="2"/>
  <c r="F88" i="2"/>
  <c r="I86" i="2"/>
  <c r="F86" i="2"/>
  <c r="I85" i="2"/>
  <c r="F85" i="2"/>
  <c r="I84" i="2"/>
  <c r="F84" i="2"/>
  <c r="I83" i="2"/>
  <c r="F83" i="2"/>
  <c r="H82" i="2"/>
  <c r="J87" i="2" s="1"/>
  <c r="G82" i="2"/>
  <c r="E82" i="2"/>
  <c r="D82" i="2"/>
  <c r="I81" i="2"/>
  <c r="F81" i="2"/>
  <c r="I80" i="2"/>
  <c r="I79" i="2"/>
  <c r="F79" i="2"/>
  <c r="I78" i="2"/>
  <c r="F78" i="2"/>
  <c r="I77" i="2"/>
  <c r="F77" i="2"/>
  <c r="H76" i="2"/>
  <c r="J78" i="2" s="1"/>
  <c r="G76" i="2"/>
  <c r="E76" i="2"/>
  <c r="D76" i="2"/>
  <c r="I75" i="2"/>
  <c r="F75" i="2"/>
  <c r="H74" i="2"/>
  <c r="J75" i="2" s="1"/>
  <c r="J74" i="2" s="1"/>
  <c r="G74" i="2"/>
  <c r="E74" i="2"/>
  <c r="D74" i="2"/>
  <c r="I73" i="2"/>
  <c r="F73" i="2"/>
  <c r="I72" i="2"/>
  <c r="F72" i="2"/>
  <c r="H71" i="2"/>
  <c r="J73" i="2" s="1"/>
  <c r="G71" i="2"/>
  <c r="E71" i="2"/>
  <c r="D71" i="2"/>
  <c r="I70" i="2"/>
  <c r="F70" i="2"/>
  <c r="F69" i="2"/>
  <c r="I68" i="2"/>
  <c r="F68" i="2"/>
  <c r="I67" i="2"/>
  <c r="F67" i="2"/>
  <c r="I66" i="2"/>
  <c r="F66" i="2"/>
  <c r="I65" i="2"/>
  <c r="F65" i="2"/>
  <c r="I64" i="2"/>
  <c r="F64" i="2"/>
  <c r="I63" i="2"/>
  <c r="F63" i="2"/>
  <c r="I62" i="2"/>
  <c r="F62" i="2"/>
  <c r="I61" i="2"/>
  <c r="F61" i="2"/>
  <c r="I60" i="2"/>
  <c r="F60" i="2"/>
  <c r="H59" i="2"/>
  <c r="J61" i="2" s="1"/>
  <c r="G59" i="2"/>
  <c r="E59" i="2"/>
  <c r="D59" i="2"/>
  <c r="I58" i="2"/>
  <c r="F58" i="2"/>
  <c r="I57" i="2"/>
  <c r="F57" i="2"/>
  <c r="I56" i="2"/>
  <c r="F56" i="2"/>
  <c r="I55" i="2"/>
  <c r="F55" i="2"/>
  <c r="I54" i="2"/>
  <c r="F54" i="2"/>
  <c r="I53" i="2"/>
  <c r="F53" i="2"/>
  <c r="I52" i="2"/>
  <c r="F52" i="2"/>
  <c r="I51" i="2"/>
  <c r="F51" i="2"/>
  <c r="I50" i="2"/>
  <c r="F50" i="2"/>
  <c r="I49" i="2"/>
  <c r="F49" i="2"/>
  <c r="I48" i="2"/>
  <c r="F48" i="2"/>
  <c r="H47" i="2"/>
  <c r="J57" i="2" s="1"/>
  <c r="G47" i="2"/>
  <c r="E47" i="2"/>
  <c r="D47" i="2"/>
  <c r="I46" i="2"/>
  <c r="F46" i="2"/>
  <c r="I45" i="2"/>
  <c r="F45" i="2"/>
  <c r="I44" i="2"/>
  <c r="F44" i="2"/>
  <c r="J43" i="2"/>
  <c r="I43" i="2"/>
  <c r="F43" i="2"/>
  <c r="I42" i="2"/>
  <c r="F42" i="2"/>
  <c r="I41" i="2"/>
  <c r="F41" i="2"/>
  <c r="I40" i="2"/>
  <c r="F40" i="2"/>
  <c r="I39" i="2"/>
  <c r="F39" i="2"/>
  <c r="I38" i="2"/>
  <c r="F38" i="2"/>
  <c r="I37" i="2"/>
  <c r="F37" i="2"/>
  <c r="I36" i="2"/>
  <c r="F36" i="2"/>
  <c r="H35" i="2"/>
  <c r="J37" i="2" s="1"/>
  <c r="G35" i="2"/>
  <c r="E35" i="2"/>
  <c r="D35" i="2"/>
  <c r="I34" i="2"/>
  <c r="F34" i="2"/>
  <c r="I33" i="2"/>
  <c r="F33" i="2"/>
  <c r="I32" i="2"/>
  <c r="F32" i="2"/>
  <c r="I31" i="2"/>
  <c r="F31" i="2"/>
  <c r="I30" i="2"/>
  <c r="F30" i="2"/>
  <c r="I29" i="2"/>
  <c r="F29" i="2"/>
  <c r="I28" i="2"/>
  <c r="F28" i="2"/>
  <c r="I27" i="2"/>
  <c r="F27" i="2"/>
  <c r="I26" i="2"/>
  <c r="F26" i="2"/>
  <c r="I25" i="2"/>
  <c r="I24" i="2"/>
  <c r="F24" i="2"/>
  <c r="H23" i="2"/>
  <c r="J28" i="2" s="1"/>
  <c r="G23" i="2"/>
  <c r="E23" i="2"/>
  <c r="D23" i="2"/>
  <c r="I22" i="2"/>
  <c r="F22" i="2"/>
  <c r="I21" i="2"/>
  <c r="F21" i="2"/>
  <c r="I20" i="2"/>
  <c r="F20" i="2"/>
  <c r="I19" i="2"/>
  <c r="F19" i="2"/>
  <c r="I18" i="2"/>
  <c r="F18" i="2"/>
  <c r="I17" i="2"/>
  <c r="F17" i="2"/>
  <c r="I16" i="2"/>
  <c r="F16" i="2"/>
  <c r="I15" i="2"/>
  <c r="F15" i="2"/>
  <c r="I14" i="2"/>
  <c r="F14" i="2"/>
  <c r="I13" i="2"/>
  <c r="F13" i="2"/>
  <c r="I12" i="2"/>
  <c r="F12" i="2"/>
  <c r="H11" i="2"/>
  <c r="J12" i="2" s="1"/>
  <c r="G11" i="2"/>
  <c r="I11" i="2" s="1"/>
  <c r="E11" i="2"/>
  <c r="D11" i="2"/>
  <c r="P57" i="1"/>
  <c r="O57" i="1"/>
  <c r="N57" i="1"/>
  <c r="M57" i="1"/>
  <c r="L57" i="1"/>
  <c r="K57" i="1"/>
  <c r="J57" i="1"/>
  <c r="H57" i="1"/>
  <c r="G57" i="1"/>
  <c r="F57" i="1"/>
  <c r="E57" i="1"/>
  <c r="D57" i="1"/>
  <c r="P52" i="1"/>
  <c r="O52" i="1"/>
  <c r="N52" i="1"/>
  <c r="M52" i="1"/>
  <c r="L52" i="1"/>
  <c r="K52" i="1"/>
  <c r="J52" i="1"/>
  <c r="I52" i="1"/>
  <c r="H52" i="1"/>
  <c r="G52" i="1"/>
  <c r="F52" i="1"/>
  <c r="E52" i="1"/>
  <c r="D52" i="1"/>
  <c r="P47" i="1"/>
  <c r="O47" i="1"/>
  <c r="N47" i="1"/>
  <c r="M47" i="1"/>
  <c r="L47" i="1"/>
  <c r="K47" i="1"/>
  <c r="J47" i="1"/>
  <c r="I47" i="1"/>
  <c r="H47" i="1"/>
  <c r="G47" i="1"/>
  <c r="F47" i="1"/>
  <c r="E47" i="1"/>
  <c r="D47" i="1"/>
  <c r="Q35" i="1"/>
  <c r="Q34" i="1"/>
  <c r="Q33" i="1"/>
  <c r="Q32" i="1"/>
  <c r="Q31" i="1"/>
  <c r="Q30" i="1"/>
  <c r="Q29" i="1"/>
  <c r="Q28" i="1"/>
  <c r="Q27" i="1"/>
  <c r="Q26" i="1"/>
  <c r="Q25" i="1"/>
  <c r="Q24" i="1"/>
  <c r="Q23" i="1"/>
  <c r="Q22" i="1"/>
  <c r="J103" i="2" l="1"/>
  <c r="J65" i="3"/>
  <c r="J75" i="3"/>
  <c r="I58" i="3"/>
  <c r="J74" i="3"/>
  <c r="J43" i="3"/>
  <c r="J39" i="2"/>
  <c r="J62" i="2"/>
  <c r="J53" i="2"/>
  <c r="J18" i="2"/>
  <c r="F100" i="3"/>
  <c r="I92" i="3"/>
  <c r="F90" i="3"/>
  <c r="F58" i="3"/>
  <c r="J50" i="3"/>
  <c r="F111" i="3"/>
  <c r="J51" i="3"/>
  <c r="J87" i="3"/>
  <c r="J52" i="3"/>
  <c r="I118" i="3"/>
  <c r="J46" i="3"/>
  <c r="J69" i="3"/>
  <c r="I27" i="3"/>
  <c r="J80" i="3"/>
  <c r="I90" i="3"/>
  <c r="F77" i="3"/>
  <c r="F94" i="3"/>
  <c r="J53" i="3"/>
  <c r="J70" i="3"/>
  <c r="J59" i="3"/>
  <c r="F118" i="3"/>
  <c r="J47" i="3"/>
  <c r="J54" i="3"/>
  <c r="J63" i="3"/>
  <c r="J91" i="3"/>
  <c r="J90" i="3" s="1"/>
  <c r="J48" i="3"/>
  <c r="J55" i="3"/>
  <c r="F114" i="3"/>
  <c r="F92" i="3"/>
  <c r="F107" i="3"/>
  <c r="J64" i="3"/>
  <c r="J49" i="3"/>
  <c r="F107" i="2"/>
  <c r="I102" i="2"/>
  <c r="F102" i="2"/>
  <c r="J99" i="2"/>
  <c r="F98" i="2"/>
  <c r="F82" i="2"/>
  <c r="J79" i="2"/>
  <c r="J80" i="2"/>
  <c r="F74" i="2"/>
  <c r="J72" i="2"/>
  <c r="J71" i="2" s="1"/>
  <c r="J58" i="2"/>
  <c r="J38" i="2"/>
  <c r="F35" i="2"/>
  <c r="J30" i="2"/>
  <c r="F23" i="2"/>
  <c r="J15" i="2"/>
  <c r="J16" i="2"/>
  <c r="J13" i="3"/>
  <c r="I23" i="2"/>
  <c r="I47" i="2"/>
  <c r="J63" i="2"/>
  <c r="I107" i="2"/>
  <c r="J16" i="3"/>
  <c r="J23" i="3"/>
  <c r="J54" i="2"/>
  <c r="F76" i="2"/>
  <c r="J22" i="3"/>
  <c r="F71" i="2"/>
  <c r="J92" i="2"/>
  <c r="I94" i="3"/>
  <c r="I100" i="3"/>
  <c r="I114" i="3"/>
  <c r="F11" i="2"/>
  <c r="J24" i="2"/>
  <c r="J48" i="2"/>
  <c r="I71" i="2"/>
  <c r="J93" i="2"/>
  <c r="J81" i="3"/>
  <c r="J101" i="3"/>
  <c r="J49" i="2"/>
  <c r="J94" i="2"/>
  <c r="F11" i="3"/>
  <c r="J102" i="3"/>
  <c r="F47" i="2"/>
  <c r="J34" i="2"/>
  <c r="J17" i="3"/>
  <c r="J24" i="3"/>
  <c r="J19" i="2"/>
  <c r="J32" i="3"/>
  <c r="J18" i="3"/>
  <c r="I11" i="3"/>
  <c r="J103" i="3"/>
  <c r="J13" i="2"/>
  <c r="J20" i="2"/>
  <c r="F59" i="2"/>
  <c r="J44" i="3"/>
  <c r="J44" i="2"/>
  <c r="J67" i="2"/>
  <c r="J19" i="3"/>
  <c r="J26" i="3"/>
  <c r="J99" i="3"/>
  <c r="J25" i="3"/>
  <c r="J12" i="3"/>
  <c r="J14" i="2"/>
  <c r="J29" i="2"/>
  <c r="J52" i="2"/>
  <c r="F27" i="3"/>
  <c r="J68" i="2"/>
  <c r="I74" i="2"/>
  <c r="F91" i="2"/>
  <c r="J20" i="3"/>
  <c r="J86" i="3"/>
  <c r="J106" i="3"/>
  <c r="I107" i="3"/>
  <c r="J25" i="2"/>
  <c r="I76" i="2"/>
  <c r="J39" i="3"/>
  <c r="I77" i="3"/>
  <c r="J115" i="3"/>
  <c r="J21" i="2"/>
  <c r="I35" i="2"/>
  <c r="J40" i="2"/>
  <c r="I59" i="2"/>
  <c r="J64" i="2"/>
  <c r="J95" i="2"/>
  <c r="J100" i="2"/>
  <c r="J104" i="2"/>
  <c r="J108" i="2"/>
  <c r="J107" i="2" s="1"/>
  <c r="J14" i="3"/>
  <c r="J34" i="3"/>
  <c r="J56" i="3"/>
  <c r="J60" i="3"/>
  <c r="J88" i="3"/>
  <c r="J81" i="2"/>
  <c r="J89" i="2"/>
  <c r="J28" i="3"/>
  <c r="J45" i="2"/>
  <c r="J95" i="3"/>
  <c r="J29" i="3"/>
  <c r="J71" i="3"/>
  <c r="J26" i="2"/>
  <c r="J46" i="2"/>
  <c r="J50" i="2"/>
  <c r="J70" i="2"/>
  <c r="J84" i="2"/>
  <c r="J40" i="3"/>
  <c r="J66" i="3"/>
  <c r="J83" i="3"/>
  <c r="J96" i="3"/>
  <c r="J108" i="3"/>
  <c r="J112" i="3"/>
  <c r="J111" i="3" s="1"/>
  <c r="J116" i="3"/>
  <c r="I111" i="3"/>
  <c r="J82" i="3"/>
  <c r="J55" i="2"/>
  <c r="J22" i="2"/>
  <c r="J41" i="2"/>
  <c r="J65" i="2"/>
  <c r="J77" i="2"/>
  <c r="J105" i="2"/>
  <c r="J15" i="3"/>
  <c r="J35" i="3"/>
  <c r="J61" i="3"/>
  <c r="J78" i="3"/>
  <c r="J83" i="2"/>
  <c r="J31" i="2"/>
  <c r="J89" i="3"/>
  <c r="J17" i="2"/>
  <c r="J32" i="2"/>
  <c r="J36" i="2"/>
  <c r="J56" i="2"/>
  <c r="J60" i="2"/>
  <c r="J30" i="3"/>
  <c r="J72" i="3"/>
  <c r="J104" i="3"/>
  <c r="J69" i="2"/>
  <c r="J27" i="2"/>
  <c r="J51" i="2"/>
  <c r="J85" i="2"/>
  <c r="J41" i="3"/>
  <c r="J67" i="3"/>
  <c r="J84" i="3"/>
  <c r="J97" i="3"/>
  <c r="J109" i="3"/>
  <c r="J88" i="2"/>
  <c r="J42" i="2"/>
  <c r="J66" i="2"/>
  <c r="J36" i="3"/>
  <c r="J62" i="3"/>
  <c r="J73" i="3"/>
  <c r="J79" i="3"/>
  <c r="I82" i="2"/>
  <c r="J33" i="3"/>
  <c r="J33" i="2"/>
  <c r="J31" i="3"/>
  <c r="J38" i="3"/>
  <c r="J86" i="2"/>
  <c r="J42" i="3"/>
  <c r="J98" i="2" l="1"/>
  <c r="J100" i="3"/>
  <c r="J45" i="3"/>
  <c r="J11" i="2"/>
  <c r="J11" i="3"/>
  <c r="J35" i="2"/>
  <c r="J91" i="2"/>
  <c r="J94" i="3"/>
  <c r="J82" i="2"/>
  <c r="J58" i="3"/>
  <c r="J27" i="3"/>
  <c r="J23" i="2"/>
  <c r="J107" i="3"/>
  <c r="J76" i="2"/>
  <c r="J114" i="3"/>
  <c r="J77" i="3"/>
  <c r="J47" i="2"/>
  <c r="J102" i="2"/>
  <c r="J59" i="2"/>
</calcChain>
</file>

<file path=xl/sharedStrings.xml><?xml version="1.0" encoding="utf-8"?>
<sst xmlns="http://schemas.openxmlformats.org/spreadsheetml/2006/main" count="400" uniqueCount="150">
  <si>
    <t>SECCIÓN N° 01: PRODUCCIÓN METÁLICA</t>
  </si>
  <si>
    <t>METALLIC MINERAL PRODUCTION</t>
  </si>
  <si>
    <t>CUADRO N° 01. VOLUMEN DE LA PRODUCCIÓN MINERA METÁLICA</t>
  </si>
  <si>
    <t>VOLUME OF METALLIC MINING PRODUCTION</t>
  </si>
  <si>
    <r>
      <t xml:space="preserve">PERIODO
</t>
    </r>
    <r>
      <rPr>
        <i/>
        <sz val="10"/>
        <color theme="1"/>
        <rFont val="Calibri Light"/>
        <family val="2"/>
        <scheme val="major"/>
      </rPr>
      <t>Period</t>
    </r>
  </si>
  <si>
    <r>
      <t xml:space="preserve">COBRE
</t>
    </r>
    <r>
      <rPr>
        <i/>
        <sz val="10"/>
        <color theme="1"/>
        <rFont val="Calibri Light"/>
        <family val="2"/>
        <scheme val="major"/>
      </rPr>
      <t>Copper</t>
    </r>
  </si>
  <si>
    <r>
      <t xml:space="preserve">ORO*
</t>
    </r>
    <r>
      <rPr>
        <i/>
        <sz val="10"/>
        <color theme="1"/>
        <rFont val="Calibri Light"/>
        <family val="2"/>
        <scheme val="major"/>
      </rPr>
      <t>Gold</t>
    </r>
  </si>
  <si>
    <r>
      <t xml:space="preserve">ZINC
</t>
    </r>
    <r>
      <rPr>
        <i/>
        <sz val="10"/>
        <color theme="1"/>
        <rFont val="Calibri Light"/>
        <family val="2"/>
        <scheme val="major"/>
      </rPr>
      <t>Zinc</t>
    </r>
  </si>
  <si>
    <r>
      <t xml:space="preserve">PLATA
</t>
    </r>
    <r>
      <rPr>
        <i/>
        <sz val="10"/>
        <color theme="1"/>
        <rFont val="Calibri Light"/>
        <family val="2"/>
        <scheme val="major"/>
      </rPr>
      <t>Silver</t>
    </r>
  </si>
  <si>
    <r>
      <t xml:space="preserve">PLOMO
</t>
    </r>
    <r>
      <rPr>
        <i/>
        <sz val="10"/>
        <color theme="1"/>
        <rFont val="Calibri Light"/>
        <family val="2"/>
        <scheme val="major"/>
      </rPr>
      <t>Lead</t>
    </r>
  </si>
  <si>
    <r>
      <t xml:space="preserve">HIERRO
</t>
    </r>
    <r>
      <rPr>
        <i/>
        <sz val="10"/>
        <color theme="1"/>
        <rFont val="Calibri Light"/>
        <family val="2"/>
        <scheme val="major"/>
      </rPr>
      <t>Iron</t>
    </r>
  </si>
  <si>
    <r>
      <t xml:space="preserve">ESTAÑO
</t>
    </r>
    <r>
      <rPr>
        <i/>
        <sz val="10"/>
        <color theme="1"/>
        <rFont val="Calibri Light"/>
        <family val="2"/>
        <scheme val="major"/>
      </rPr>
      <t>Tin</t>
    </r>
  </si>
  <si>
    <r>
      <t xml:space="preserve">MOLIBDENO
</t>
    </r>
    <r>
      <rPr>
        <i/>
        <sz val="10"/>
        <color theme="1"/>
        <rFont val="Calibri Light"/>
        <family val="2"/>
        <scheme val="major"/>
      </rPr>
      <t>Molybdenum</t>
    </r>
  </si>
  <si>
    <r>
      <t xml:space="preserve">ARSÉNICO
</t>
    </r>
    <r>
      <rPr>
        <i/>
        <sz val="10"/>
        <color theme="1"/>
        <rFont val="Calibri Light"/>
        <family val="2"/>
        <scheme val="major"/>
      </rPr>
      <t>Arsenic</t>
    </r>
  </si>
  <si>
    <r>
      <t xml:space="preserve">BISMUTO
</t>
    </r>
    <r>
      <rPr>
        <i/>
        <sz val="10"/>
        <color theme="1"/>
        <rFont val="Calibri Light"/>
        <family val="2"/>
        <scheme val="major"/>
      </rPr>
      <t>Bismuth</t>
    </r>
  </si>
  <si>
    <r>
      <t xml:space="preserve">CADMIO
</t>
    </r>
    <r>
      <rPr>
        <i/>
        <sz val="10"/>
        <color theme="1"/>
        <rFont val="Calibri Light"/>
        <family val="2"/>
        <scheme val="major"/>
      </rPr>
      <t>Cadmium</t>
    </r>
  </si>
  <si>
    <r>
      <t xml:space="preserve">MANGANESO
</t>
    </r>
    <r>
      <rPr>
        <i/>
        <sz val="10"/>
        <color theme="1"/>
        <rFont val="Calibri Light"/>
        <family val="2"/>
        <scheme val="major"/>
      </rPr>
      <t>Manganese</t>
    </r>
  </si>
  <si>
    <r>
      <t xml:space="preserve">MAGNESIO
</t>
    </r>
    <r>
      <rPr>
        <i/>
        <sz val="10"/>
        <color theme="1"/>
        <rFont val="Calibri Light"/>
        <family val="2"/>
        <scheme val="major"/>
      </rPr>
      <t>Magnesium</t>
    </r>
  </si>
  <si>
    <r>
      <t xml:space="preserve">TMF
</t>
    </r>
    <r>
      <rPr>
        <i/>
        <sz val="8"/>
        <color rgb="FF000000"/>
        <rFont val="Calibri Light"/>
        <family val="2"/>
        <scheme val="major"/>
      </rPr>
      <t>FTM</t>
    </r>
  </si>
  <si>
    <r>
      <t xml:space="preserve">gf
</t>
    </r>
    <r>
      <rPr>
        <i/>
        <sz val="8"/>
        <color rgb="FF000000"/>
        <rFont val="Calibri Light"/>
        <family val="2"/>
        <scheme val="major"/>
      </rPr>
      <t>fg</t>
    </r>
  </si>
  <si>
    <r>
      <t xml:space="preserve">kgf
</t>
    </r>
    <r>
      <rPr>
        <i/>
        <sz val="8"/>
        <color rgb="FF000000"/>
        <rFont val="Calibri Light"/>
        <family val="2"/>
        <scheme val="major"/>
      </rPr>
      <t>fkg</t>
    </r>
  </si>
  <si>
    <t>N/D</t>
  </si>
  <si>
    <r>
      <t xml:space="preserve">Ene. / </t>
    </r>
    <r>
      <rPr>
        <i/>
        <sz val="10"/>
        <color rgb="FF000000"/>
        <rFont val="Calibri Light"/>
        <family val="2"/>
        <scheme val="major"/>
      </rPr>
      <t>Jan.</t>
    </r>
  </si>
  <si>
    <r>
      <t xml:space="preserve">Feb. / </t>
    </r>
    <r>
      <rPr>
        <i/>
        <sz val="10"/>
        <color rgb="FF000000"/>
        <rFont val="Calibri Light"/>
        <family val="2"/>
        <scheme val="major"/>
      </rPr>
      <t>Feb.</t>
    </r>
  </si>
  <si>
    <r>
      <t xml:space="preserve">Mar. / </t>
    </r>
    <r>
      <rPr>
        <i/>
        <sz val="10"/>
        <color rgb="FF000000"/>
        <rFont val="Calibri Light"/>
        <family val="2"/>
        <scheme val="major"/>
      </rPr>
      <t>Mar.</t>
    </r>
  </si>
  <si>
    <r>
      <t xml:space="preserve">Abr. / </t>
    </r>
    <r>
      <rPr>
        <i/>
        <sz val="10"/>
        <color rgb="FF000000"/>
        <rFont val="Calibri Light"/>
        <family val="2"/>
        <scheme val="major"/>
      </rPr>
      <t>Apr.</t>
    </r>
  </si>
  <si>
    <t>Var. %</t>
  </si>
  <si>
    <r>
      <t>VARIACIÓN RESPECTO AL MES ANTERIOR /</t>
    </r>
    <r>
      <rPr>
        <i/>
        <sz val="10"/>
        <color rgb="FF000000"/>
        <rFont val="Calibri Light"/>
        <family val="2"/>
        <scheme val="major"/>
      </rPr>
      <t xml:space="preserve"> </t>
    </r>
    <r>
      <rPr>
        <i/>
        <sz val="8"/>
        <color rgb="FF000000"/>
        <rFont val="Calibri Light"/>
        <family val="2"/>
        <scheme val="major"/>
      </rPr>
      <t>VARIATION COMPARED TO THE PREVIOUS MONTH</t>
    </r>
  </si>
  <si>
    <r>
      <t xml:space="preserve">TMF :  Toneladas Métricas Finas / </t>
    </r>
    <r>
      <rPr>
        <i/>
        <sz val="10"/>
        <color rgb="FF000000"/>
        <rFont val="Calibri Light"/>
        <family val="2"/>
        <scheme val="major"/>
      </rPr>
      <t>FMT : Fine metric tons</t>
    </r>
    <r>
      <rPr>
        <sz val="10"/>
        <color rgb="FF000000"/>
        <rFont val="Calibri Light"/>
        <family val="2"/>
        <scheme val="major"/>
      </rPr>
      <t xml:space="preserve">
gf :  Gramos finos / </t>
    </r>
    <r>
      <rPr>
        <i/>
        <sz val="10"/>
        <color rgb="FF000000"/>
        <rFont val="Calibri Light"/>
        <family val="2"/>
        <scheme val="major"/>
      </rPr>
      <t>fg : Fine grams
kgf :  Kilogramos finos / fkg : Fine kilograms</t>
    </r>
  </si>
  <si>
    <r>
      <t xml:space="preserve">EVOLUCIÓN ANUAL DE LA PRODUCCIÓN DE COBRE / </t>
    </r>
    <r>
      <rPr>
        <i/>
        <sz val="8"/>
        <color rgb="FF000000"/>
        <rFont val="Calibri Light"/>
        <family val="2"/>
        <scheme val="major"/>
      </rPr>
      <t>ANNUAL EVOLUTION OF COPPER PRODUCTION</t>
    </r>
    <r>
      <rPr>
        <b/>
        <sz val="10"/>
        <color indexed="8"/>
        <rFont val="Calibri Light"/>
        <family val="2"/>
        <scheme val="major"/>
      </rPr>
      <t xml:space="preserve">
(MILES DE TMF) / </t>
    </r>
    <r>
      <rPr>
        <i/>
        <sz val="8"/>
        <color rgb="FF000000"/>
        <rFont val="Calibri Light"/>
        <family val="2"/>
        <scheme val="major"/>
      </rPr>
      <t>Thousands of FMT</t>
    </r>
  </si>
  <si>
    <t>CUADRO N° 02: PRODUCCIÓN MINERA METÁLICA SEGÚN EMPRESA</t>
  </si>
  <si>
    <t>METALLIC MINING PRODUCTION BY COMPANY</t>
  </si>
  <si>
    <r>
      <t xml:space="preserve">PRODUCTO / EMPRESA
</t>
    </r>
    <r>
      <rPr>
        <i/>
        <sz val="8"/>
        <color theme="1"/>
        <rFont val="Calibri Light"/>
        <family val="2"/>
        <scheme val="major"/>
      </rPr>
      <t>PRODUCT / COMPANY</t>
    </r>
  </si>
  <si>
    <t>Part. %</t>
  </si>
  <si>
    <r>
      <rPr>
        <b/>
        <sz val="10"/>
        <color theme="1"/>
        <rFont val="Calibri Light"/>
        <family val="2"/>
        <scheme val="major"/>
      </rPr>
      <t>COBRE (TMF)</t>
    </r>
    <r>
      <rPr>
        <sz val="10"/>
        <color theme="1"/>
        <rFont val="Calibri Light"/>
        <family val="2"/>
        <scheme val="major"/>
      </rPr>
      <t xml:space="preserve"> / </t>
    </r>
    <r>
      <rPr>
        <i/>
        <sz val="9"/>
        <color theme="1"/>
        <rFont val="Calibri Light"/>
        <family val="2"/>
        <scheme val="major"/>
      </rPr>
      <t>Copper (FTM)</t>
    </r>
  </si>
  <si>
    <t>SOUTHERN PERU COPPER CORPORATION SUCURSAL DEL PERU</t>
  </si>
  <si>
    <t>MINERA LAS BAMBAS S.A.</t>
  </si>
  <si>
    <t>COMPAÑIA MINERA ANTAMINA S.A.</t>
  </si>
  <si>
    <t>ANGLO AMERICAN QUELLAVECO S.A.</t>
  </si>
  <si>
    <t>MINERA CHINALCO PERU S.A.</t>
  </si>
  <si>
    <t>COMPAÑIA MINERA ANTAPACCAY S.A.</t>
  </si>
  <si>
    <t>HUDBAY PERU S.A.C.</t>
  </si>
  <si>
    <t>SOCIEDAD MINERA EL BROCAL S.A.A.</t>
  </si>
  <si>
    <r>
      <rPr>
        <b/>
        <sz val="11"/>
        <color theme="1"/>
        <rFont val="Calibri Light"/>
        <family val="2"/>
        <scheme val="major"/>
      </rPr>
      <t>ORO** (g finos)</t>
    </r>
    <r>
      <rPr>
        <sz val="11"/>
        <color theme="1"/>
        <rFont val="Calibri Light"/>
        <family val="2"/>
        <scheme val="major"/>
      </rPr>
      <t xml:space="preserve"> / </t>
    </r>
    <r>
      <rPr>
        <i/>
        <sz val="9"/>
        <color theme="1"/>
        <rFont val="Calibri Light"/>
        <family val="2"/>
        <scheme val="major"/>
      </rPr>
      <t>Gold (fg)</t>
    </r>
  </si>
  <si>
    <t>MINERA YANACOCHA S.R.L.</t>
  </si>
  <si>
    <t>COMPAÑIA MINERA PODEROSA S.A.</t>
  </si>
  <si>
    <t>-</t>
  </si>
  <si>
    <t>CONSORCIO MINERO HORIZONTE S.R.L.</t>
  </si>
  <si>
    <t>MINERA AURIFERA RETAMAS S.A.</t>
  </si>
  <si>
    <t>MINERA BOROO MISQUICHILCA S.A.</t>
  </si>
  <si>
    <t>COMPAÑIA MINERA ARES S.A.C.</t>
  </si>
  <si>
    <t>PALTARUMI S.A.C.</t>
  </si>
  <si>
    <t>SHAHUINDO S.A.C.</t>
  </si>
  <si>
    <t>GOLD FIELDS LA CIMA S.A.</t>
  </si>
  <si>
    <t>MINERA VETA DORADA S.A.C.</t>
  </si>
  <si>
    <r>
      <t xml:space="preserve">ZINC (TMF) / </t>
    </r>
    <r>
      <rPr>
        <i/>
        <sz val="9"/>
        <color theme="1"/>
        <rFont val="Calibri Light"/>
        <family val="2"/>
        <scheme val="major"/>
      </rPr>
      <t>Zinc (FTM)</t>
    </r>
  </si>
  <si>
    <t>VOLCAN COMPAÑIA MINERA S.A.A.</t>
  </si>
  <si>
    <t>NEXA RESOURCES PERU S.A.A.</t>
  </si>
  <si>
    <t>NEXA RESOURCES EL PORVENIR S.A.C.</t>
  </si>
  <si>
    <t>MINERA SHOUXIN PERU S.A.</t>
  </si>
  <si>
    <t>COMPAÑIA MINERA CHUNGAR S.A.C.</t>
  </si>
  <si>
    <t>COMPAÑIA MINERA RAURA S.A.</t>
  </si>
  <si>
    <t>SOBREANDES S.A.C.</t>
  </si>
  <si>
    <t>CATALINA HUANCA SOCIEDAD MINERA S.A.C.</t>
  </si>
  <si>
    <r>
      <t>PLATA (kg finos) /</t>
    </r>
    <r>
      <rPr>
        <i/>
        <sz val="9"/>
        <color theme="1"/>
        <rFont val="Calibri Light"/>
        <family val="2"/>
        <scheme val="major"/>
      </rPr>
      <t xml:space="preserve"> Silver (fkg)</t>
    </r>
  </si>
  <si>
    <t>COMPAÑIA DE MINAS BUENAVENTURA S.A.A.</t>
  </si>
  <si>
    <t>EMPRESA ADMINISTRADORA CERRO S.A.C.</t>
  </si>
  <si>
    <t>MARCOBRE S.A.C.</t>
  </si>
  <si>
    <r>
      <t xml:space="preserve">PLOMO (TMF) / </t>
    </r>
    <r>
      <rPr>
        <i/>
        <sz val="9"/>
        <color theme="1"/>
        <rFont val="Calibri Light"/>
        <family val="2"/>
        <scheme val="major"/>
      </rPr>
      <t>Lead (FTM)</t>
    </r>
  </si>
  <si>
    <t>COMPAÑIA MINERA KOLPA S.A.</t>
  </si>
  <si>
    <t>PAN AMERICAN SILVER HUARON S.A.</t>
  </si>
  <si>
    <t>MINERA BATEAS S.A.C.</t>
  </si>
  <si>
    <t>COMPAÑIA MINERA LINCUNA S.A.</t>
  </si>
  <si>
    <r>
      <t xml:space="preserve">HIERRO (TMF) / </t>
    </r>
    <r>
      <rPr>
        <i/>
        <sz val="9"/>
        <color theme="1"/>
        <rFont val="Calibri Light"/>
        <family val="2"/>
        <scheme val="major"/>
      </rPr>
      <t>Iron (FTM)</t>
    </r>
  </si>
  <si>
    <t>SHOUGANG HIERRO PERU S.A.A.</t>
  </si>
  <si>
    <r>
      <t xml:space="preserve">ESTAÑO (TMF) / </t>
    </r>
    <r>
      <rPr>
        <i/>
        <sz val="9"/>
        <color theme="1"/>
        <rFont val="Calibri Light"/>
        <family val="2"/>
        <scheme val="major"/>
      </rPr>
      <t>Tin (FTM)</t>
    </r>
  </si>
  <si>
    <t>MINSUR S.A.</t>
  </si>
  <si>
    <r>
      <t xml:space="preserve">MOLIBDENO (TMF) / </t>
    </r>
    <r>
      <rPr>
        <i/>
        <sz val="9"/>
        <color theme="1"/>
        <rFont val="Calibri Light"/>
        <family val="2"/>
        <scheme val="major"/>
      </rPr>
      <t>Molybdenum (FTM)</t>
    </r>
  </si>
  <si>
    <t>SOCIEDAD MINERA CERRO VERDE S.A.A.</t>
  </si>
  <si>
    <r>
      <t>ARSÉNICO (TMF) /</t>
    </r>
    <r>
      <rPr>
        <i/>
        <sz val="9"/>
        <color theme="1"/>
        <rFont val="Calibri Light"/>
        <family val="2"/>
        <scheme val="major"/>
      </rPr>
      <t xml:space="preserve"> Arsenic (FTM)</t>
    </r>
  </si>
  <si>
    <t>CMC CRITICAL MINERALS CORPORATION S.A.C.</t>
  </si>
  <si>
    <t>+</t>
  </si>
  <si>
    <t>SOCIEDAD MINERA ANDEREAL S.A.C.</t>
  </si>
  <si>
    <t>GLORE PERU S.A.C</t>
  </si>
  <si>
    <t>EL PACIFICO DORADO S.A.C.</t>
  </si>
  <si>
    <r>
      <t xml:space="preserve">BISMUTO (TMF) / </t>
    </r>
    <r>
      <rPr>
        <i/>
        <sz val="9"/>
        <color theme="1"/>
        <rFont val="Calibri Light"/>
        <family val="2"/>
        <scheme val="major"/>
      </rPr>
      <t>Bismuth (FTM)</t>
    </r>
  </si>
  <si>
    <t>NORCOBRE S.A.C.</t>
  </si>
  <si>
    <t>NEXA RESOURCES ATACOCHA S.A.A.</t>
  </si>
  <si>
    <r>
      <t>CADMIO (TMF) /</t>
    </r>
    <r>
      <rPr>
        <i/>
        <sz val="9"/>
        <color theme="1"/>
        <rFont val="Calibri Light"/>
        <family val="2"/>
        <scheme val="major"/>
      </rPr>
      <t xml:space="preserve"> Cadmium (FTM)</t>
    </r>
  </si>
  <si>
    <r>
      <t xml:space="preserve">MANGANESO (TMF) / </t>
    </r>
    <r>
      <rPr>
        <i/>
        <sz val="9"/>
        <color theme="1"/>
        <rFont val="Calibri Light"/>
        <family val="2"/>
        <scheme val="major"/>
      </rPr>
      <t>Manganese (FTM)</t>
    </r>
  </si>
  <si>
    <r>
      <t>MAGNESIO (TMF) /</t>
    </r>
    <r>
      <rPr>
        <i/>
        <sz val="9"/>
        <color theme="1"/>
        <rFont val="Calibri Light"/>
        <family val="2"/>
        <scheme val="major"/>
      </rPr>
      <t xml:space="preserve"> Magnesium (FTM)</t>
    </r>
  </si>
  <si>
    <t>CUADRO N° 03: PRODUCCIÓN MINERA METÁLICA SEGÚN DEPARTAMENTO</t>
  </si>
  <si>
    <t>METALLIC MINING PRODUCTION BY REGION</t>
  </si>
  <si>
    <r>
      <t xml:space="preserve">PRODUCTO / DEPARTAMENTO
</t>
    </r>
    <r>
      <rPr>
        <i/>
        <sz val="8"/>
        <color theme="1"/>
        <rFont val="Calibri Light"/>
        <family val="2"/>
        <scheme val="major"/>
      </rPr>
      <t>PRODUCT / REGION</t>
    </r>
  </si>
  <si>
    <r>
      <t>COBRE (TMF) /</t>
    </r>
    <r>
      <rPr>
        <i/>
        <sz val="9"/>
        <rFont val="Calibri Light"/>
        <family val="2"/>
        <scheme val="major"/>
      </rPr>
      <t xml:space="preserve"> Copper (FTM)</t>
    </r>
  </si>
  <si>
    <t>MOQUEGUA</t>
  </si>
  <si>
    <t>APURÍMAC</t>
  </si>
  <si>
    <t>AREQUIPA</t>
  </si>
  <si>
    <t>ÁNCASH</t>
  </si>
  <si>
    <t>TACNA</t>
  </si>
  <si>
    <t>JUNÍN</t>
  </si>
  <si>
    <t>ICA</t>
  </si>
  <si>
    <t>CUSCO</t>
  </si>
  <si>
    <t>PASCO</t>
  </si>
  <si>
    <t>LIMA</t>
  </si>
  <si>
    <t>CAJAMARCA</t>
  </si>
  <si>
    <t>HUANCAVELICA</t>
  </si>
  <si>
    <t>HUÁNUCO</t>
  </si>
  <si>
    <t>PUNO</t>
  </si>
  <si>
    <t>AYACUCHO</t>
  </si>
  <si>
    <r>
      <t>ORO* (G FINOS) /</t>
    </r>
    <r>
      <rPr>
        <i/>
        <sz val="8"/>
        <rFont val="Calibri Light"/>
        <family val="2"/>
        <scheme val="major"/>
      </rPr>
      <t xml:space="preserve"> Gold (fg)</t>
    </r>
  </si>
  <si>
    <t>LA LIBERTAD</t>
  </si>
  <si>
    <t>MADRE DE DIOS</t>
  </si>
  <si>
    <t>PIURA</t>
  </si>
  <si>
    <r>
      <t>ZINC (TMF) /</t>
    </r>
    <r>
      <rPr>
        <i/>
        <sz val="8"/>
        <rFont val="Calibri Light"/>
        <family val="2"/>
        <scheme val="major"/>
      </rPr>
      <t xml:space="preserve"> Zinc (FTM)</t>
    </r>
  </si>
  <si>
    <r>
      <t>PLATA (KG FINOS) /</t>
    </r>
    <r>
      <rPr>
        <i/>
        <sz val="8"/>
        <rFont val="Calibri Light"/>
        <family val="2"/>
        <scheme val="major"/>
      </rPr>
      <t xml:space="preserve"> Silver (fkg)</t>
    </r>
  </si>
  <si>
    <r>
      <t>PLOMO (TMF) /</t>
    </r>
    <r>
      <rPr>
        <i/>
        <sz val="8"/>
        <rFont val="Calibri Light"/>
        <family val="2"/>
        <scheme val="major"/>
      </rPr>
      <t xml:space="preserve"> Lead (FTM)</t>
    </r>
  </si>
  <si>
    <r>
      <t>HIERRO (TMF) /</t>
    </r>
    <r>
      <rPr>
        <i/>
        <sz val="8"/>
        <rFont val="Calibri Light"/>
        <family val="2"/>
        <scheme val="major"/>
      </rPr>
      <t xml:space="preserve"> Iron (FTM)</t>
    </r>
  </si>
  <si>
    <r>
      <t xml:space="preserve">ESTAÑO (TMF) / </t>
    </r>
    <r>
      <rPr>
        <i/>
        <sz val="8"/>
        <rFont val="Calibri Light"/>
        <family val="2"/>
        <scheme val="major"/>
      </rPr>
      <t>Tin (FTM)</t>
    </r>
  </si>
  <si>
    <r>
      <t>MOLIBDENO (TMF) /</t>
    </r>
    <r>
      <rPr>
        <i/>
        <sz val="8"/>
        <rFont val="Calibri Light"/>
        <family val="2"/>
        <scheme val="major"/>
      </rPr>
      <t xml:space="preserve"> Molybdenum (FTM)</t>
    </r>
  </si>
  <si>
    <r>
      <t>ARSÉNICO (TMF) /</t>
    </r>
    <r>
      <rPr>
        <i/>
        <sz val="8"/>
        <rFont val="Calibri Light"/>
        <family val="2"/>
        <scheme val="major"/>
      </rPr>
      <t xml:space="preserve"> Arsenic (FTM)</t>
    </r>
  </si>
  <si>
    <r>
      <t>BISMUTO (TMF) /</t>
    </r>
    <r>
      <rPr>
        <i/>
        <sz val="8"/>
        <rFont val="Calibri Light"/>
        <family val="2"/>
        <scheme val="major"/>
      </rPr>
      <t xml:space="preserve"> Bismuth (FTM)</t>
    </r>
  </si>
  <si>
    <r>
      <t>CADMIO (TMF) /</t>
    </r>
    <r>
      <rPr>
        <i/>
        <sz val="8"/>
        <rFont val="Calibri Light"/>
        <family val="2"/>
        <scheme val="major"/>
      </rPr>
      <t xml:space="preserve"> Cadmium (FTM)</t>
    </r>
  </si>
  <si>
    <r>
      <t>MANGANESO (TMF) /</t>
    </r>
    <r>
      <rPr>
        <i/>
        <sz val="8"/>
        <rFont val="Calibri Light"/>
        <family val="2"/>
        <scheme val="major"/>
      </rPr>
      <t xml:space="preserve"> Manganese (FTM)</t>
    </r>
  </si>
  <si>
    <r>
      <t>MAGNESIO (TMF) /</t>
    </r>
    <r>
      <rPr>
        <sz val="8"/>
        <rFont val="Calibri Light"/>
        <family val="2"/>
        <scheme val="major"/>
      </rPr>
      <t xml:space="preserve"> Magnesium (FTM)</t>
    </r>
  </si>
  <si>
    <r>
      <t xml:space="preserve">VARIACIÓN INTERANUAL, JULIO / </t>
    </r>
    <r>
      <rPr>
        <i/>
        <sz val="8"/>
        <color rgb="FF000000"/>
        <rFont val="Calibri Light"/>
        <family val="2"/>
        <scheme val="major"/>
      </rPr>
      <t>YEAR-OVER-YEAR VARIATION, JULY</t>
    </r>
  </si>
  <si>
    <r>
      <t xml:space="preserve">Jul. 2024
</t>
    </r>
    <r>
      <rPr>
        <i/>
        <sz val="8"/>
        <color rgb="FF000000"/>
        <rFont val="Calibri Light"/>
        <family val="2"/>
        <scheme val="major"/>
      </rPr>
      <t>(Jul. 2024)</t>
    </r>
  </si>
  <si>
    <r>
      <t xml:space="preserve">Jul. 2025
</t>
    </r>
    <r>
      <rPr>
        <i/>
        <sz val="8"/>
        <color rgb="FF000000"/>
        <rFont val="Calibri Light"/>
        <family val="2"/>
        <scheme val="major"/>
      </rPr>
      <t>(Jul. 2025)</t>
    </r>
  </si>
  <si>
    <r>
      <t xml:space="preserve">Jun. 2025
</t>
    </r>
    <r>
      <rPr>
        <i/>
        <sz val="8"/>
        <color rgb="FF000000"/>
        <rFont val="Calibri Light"/>
        <family val="2"/>
        <scheme val="major"/>
      </rPr>
      <t>(Jun. 2025)</t>
    </r>
  </si>
  <si>
    <r>
      <t xml:space="preserve">ENERO - JULIO
</t>
    </r>
    <r>
      <rPr>
        <i/>
        <sz val="8"/>
        <color theme="1"/>
        <rFont val="Calibri Light"/>
        <family val="2"/>
        <scheme val="major"/>
      </rPr>
      <t>January - July</t>
    </r>
  </si>
  <si>
    <r>
      <t xml:space="preserve">JULIO
</t>
    </r>
    <r>
      <rPr>
        <i/>
        <sz val="8"/>
        <color theme="1"/>
        <rFont val="Calibri Light"/>
        <family val="2"/>
        <scheme val="major"/>
      </rPr>
      <t>July</t>
    </r>
  </si>
  <si>
    <r>
      <t xml:space="preserve">2025
(Ene-Jul)
</t>
    </r>
    <r>
      <rPr>
        <i/>
        <sz val="10"/>
        <color rgb="FF000000"/>
        <rFont val="Calibri Light"/>
        <family val="2"/>
        <scheme val="major"/>
      </rPr>
      <t>(Jan-Jul)</t>
    </r>
  </si>
  <si>
    <r>
      <t xml:space="preserve">VARIACIÓN INTERANUAL ACUMULADA ENERO-JULIO / </t>
    </r>
    <r>
      <rPr>
        <sz val="8"/>
        <color rgb="FF000000"/>
        <rFont val="Calibri Light"/>
        <family val="2"/>
        <scheme val="major"/>
      </rPr>
      <t>CUMULATIVE YEAR-OVER-YEAR VARIATION, JANUARY–JULY</t>
    </r>
  </si>
  <si>
    <r>
      <t xml:space="preserve">Ene-Jul 2024
</t>
    </r>
    <r>
      <rPr>
        <i/>
        <sz val="8"/>
        <color theme="1"/>
        <rFont val="Calibri Light"/>
        <family val="2"/>
        <scheme val="major"/>
      </rPr>
      <t>(Jan-Jul 2024)</t>
    </r>
  </si>
  <si>
    <r>
      <t xml:space="preserve">Ene-Jul 2025
</t>
    </r>
    <r>
      <rPr>
        <i/>
        <sz val="8"/>
        <color theme="1"/>
        <rFont val="Calibri Light"/>
        <family val="2"/>
        <scheme val="major"/>
      </rPr>
      <t>(Jan-Jul 2025)</t>
    </r>
  </si>
  <si>
    <r>
      <t xml:space="preserve">JULIO
</t>
    </r>
    <r>
      <rPr>
        <i/>
        <sz val="10"/>
        <color theme="1"/>
        <rFont val="Calibri Light"/>
        <family val="2"/>
        <scheme val="major"/>
      </rPr>
      <t>July</t>
    </r>
  </si>
  <si>
    <r>
      <rPr>
        <u/>
        <sz val="10"/>
        <color theme="1"/>
        <rFont val="Calibri Light"/>
        <family val="2"/>
        <scheme val="major"/>
      </rPr>
      <t>Fuente</t>
    </r>
    <r>
      <rPr>
        <sz val="10"/>
        <color theme="1"/>
        <rFont val="Calibri Light"/>
        <family val="2"/>
        <scheme val="major"/>
      </rPr>
      <t xml:space="preserve">:  Dirección de Gestión Minera, DGM. / </t>
    </r>
    <r>
      <rPr>
        <i/>
        <u/>
        <sz val="10"/>
        <color theme="1"/>
        <rFont val="Calibri Light"/>
        <family val="2"/>
        <scheme val="major"/>
      </rPr>
      <t>Source</t>
    </r>
    <r>
      <rPr>
        <i/>
        <sz val="10"/>
        <color theme="1"/>
        <rFont val="Calibri Light"/>
        <family val="2"/>
        <scheme val="major"/>
      </rPr>
      <t>: Mining Management Directorate, MMD.</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xml:space="preserve">: 4 de setiembre de 2025. / </t>
    </r>
    <r>
      <rPr>
        <i/>
        <u/>
        <sz val="10"/>
        <color theme="1"/>
        <rFont val="Calibri Light"/>
        <family val="2"/>
        <scheme val="major"/>
      </rPr>
      <t>Date of consultation</t>
    </r>
    <r>
      <rPr>
        <i/>
        <sz val="10"/>
        <color theme="1"/>
        <rFont val="Calibri Light"/>
        <family val="2"/>
        <scheme val="major"/>
      </rPr>
      <t>: September 4, 2025.</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xml:space="preserve">: Dirección General de Promoción y Sostenibilidad Minera, DGPSM. / </t>
    </r>
    <r>
      <rPr>
        <i/>
        <u/>
        <sz val="10"/>
        <color theme="1"/>
        <rFont val="Calibri Light"/>
        <family val="2"/>
        <scheme val="major"/>
      </rPr>
      <t>Prepared by</t>
    </r>
    <r>
      <rPr>
        <i/>
        <sz val="10"/>
        <color theme="1"/>
        <rFont val="Calibri Light"/>
        <family val="2"/>
        <scheme val="major"/>
      </rPr>
      <t>: General Directorate of Mining Promotion and Sustainability, GDPMS.</t>
    </r>
    <r>
      <rPr>
        <sz val="10"/>
        <color theme="1"/>
        <rFont val="Calibri Light"/>
        <family val="2"/>
        <scheme val="major"/>
      </rPr>
      <t xml:space="preserve">
(*) Información preliminar. Incluye producción aurífera estimada de mineros artesanales de Madre de Dios, Puno, Piura y Arequipa. / </t>
    </r>
    <r>
      <rPr>
        <i/>
        <sz val="10"/>
        <color theme="1"/>
        <rFont val="Calibri Light"/>
        <family val="2"/>
        <scheme val="major"/>
      </rPr>
      <t>(*) Preliminary information. Includes estimated gold production from artisanal miners in Madre de Dios, Puno, Piura, and Arequipa.</t>
    </r>
  </si>
  <si>
    <r>
      <rPr>
        <u/>
        <sz val="10"/>
        <color rgb="FF000000"/>
        <rFont val="Calibri Light"/>
        <family val="2"/>
        <scheme val="major"/>
      </rPr>
      <t>Fuente</t>
    </r>
    <r>
      <rPr>
        <sz val="10"/>
        <color rgb="FF000000"/>
        <rFont val="Calibri Light"/>
        <family val="2"/>
        <scheme val="major"/>
      </rPr>
      <t xml:space="preserve">:  Dirección de Gestión Minera, DGM. / </t>
    </r>
    <r>
      <rPr>
        <i/>
        <u/>
        <sz val="10"/>
        <color rgb="FF000000"/>
        <rFont val="Calibri Light"/>
        <family val="2"/>
        <scheme val="major"/>
      </rPr>
      <t>Source</t>
    </r>
    <r>
      <rPr>
        <i/>
        <sz val="10"/>
        <color rgb="FF000000"/>
        <rFont val="Calibri Light"/>
        <family val="2"/>
        <scheme val="major"/>
      </rPr>
      <t>: General Directorate of Mining, DGM.</t>
    </r>
    <r>
      <rPr>
        <sz val="10"/>
        <color rgb="FF000000"/>
        <rFont val="Calibri Light"/>
        <family val="2"/>
        <scheme val="major"/>
      </rPr>
      <t xml:space="preserve">
</t>
    </r>
    <r>
      <rPr>
        <u/>
        <sz val="10"/>
        <color rgb="FF000000"/>
        <rFont val="Calibri Light"/>
        <family val="2"/>
        <scheme val="major"/>
      </rPr>
      <t>Fecha de consulta</t>
    </r>
    <r>
      <rPr>
        <sz val="10"/>
        <color rgb="FF000000"/>
        <rFont val="Calibri Light"/>
        <family val="2"/>
        <scheme val="major"/>
      </rPr>
      <t>: 4 de setiembre de 2025. /</t>
    </r>
    <r>
      <rPr>
        <i/>
        <sz val="10"/>
        <color rgb="FF000000"/>
        <rFont val="Calibri Light"/>
        <family val="2"/>
        <scheme val="major"/>
      </rPr>
      <t xml:space="preserve"> </t>
    </r>
    <r>
      <rPr>
        <i/>
        <u/>
        <sz val="10"/>
        <color rgb="FF000000"/>
        <rFont val="Calibri Light"/>
        <family val="2"/>
        <scheme val="major"/>
      </rPr>
      <t>Date of consultation</t>
    </r>
    <r>
      <rPr>
        <i/>
        <sz val="10"/>
        <color rgb="FF000000"/>
        <rFont val="Calibri Light"/>
        <family val="2"/>
        <scheme val="major"/>
      </rPr>
      <t>: September 4, 2025.</t>
    </r>
    <r>
      <rPr>
        <sz val="10"/>
        <color rgb="FF000000"/>
        <rFont val="Calibri Light"/>
        <family val="2"/>
        <scheme val="major"/>
      </rPr>
      <t xml:space="preserve">
</t>
    </r>
    <r>
      <rPr>
        <u/>
        <sz val="10"/>
        <color rgb="FF000000"/>
        <rFont val="Calibri Light"/>
        <family val="2"/>
        <scheme val="major"/>
      </rPr>
      <t>Elaboración</t>
    </r>
    <r>
      <rPr>
        <sz val="10"/>
        <color rgb="FF000000"/>
        <rFont val="Calibri Light"/>
        <family val="2"/>
        <scheme val="major"/>
      </rPr>
      <t xml:space="preserve">: Dirección General de Promoción y Sostenibilidad Minera, DGPSM. / </t>
    </r>
    <r>
      <rPr>
        <i/>
        <u/>
        <sz val="10"/>
        <color rgb="FF000000"/>
        <rFont val="Calibri Light"/>
        <family val="2"/>
        <scheme val="major"/>
      </rPr>
      <t>Prepared by</t>
    </r>
    <r>
      <rPr>
        <i/>
        <sz val="10"/>
        <color rgb="FF000000"/>
        <rFont val="Calibri Light"/>
        <family val="2"/>
        <scheme val="major"/>
      </rPr>
      <t>: General Directorate of Mining Promotion and Sustainability, DGPSM.</t>
    </r>
    <r>
      <rPr>
        <sz val="10"/>
        <color rgb="FF000000"/>
        <rFont val="Calibri Light"/>
        <family val="2"/>
        <scheme val="major"/>
      </rPr>
      <t xml:space="preserve">
(*) Información preliminar. Incluye producción aurífera estimada de mineros artesanales de Madre de Dios, Puno, Piura y Arequipa. / </t>
    </r>
    <r>
      <rPr>
        <i/>
        <sz val="10"/>
        <color rgb="FF000000"/>
        <rFont val="Calibri Light"/>
        <family val="2"/>
        <scheme val="major"/>
      </rPr>
      <t>(*) Preliminary information. Includes estimated gold production from artisanal miners in Madre de Dios, Puno, Piura, and Arequipa.</t>
    </r>
    <r>
      <rPr>
        <sz val="10"/>
        <color rgb="FF000000"/>
        <rFont val="Calibri Light"/>
        <family val="2"/>
        <scheme val="major"/>
      </rPr>
      <t xml:space="preserve">
N/D: Información no disponible / </t>
    </r>
    <r>
      <rPr>
        <i/>
        <sz val="10"/>
        <color rgb="FF000000"/>
        <rFont val="Calibri Light"/>
        <family val="2"/>
        <scheme val="major"/>
      </rPr>
      <t>N/A: Information not available.</t>
    </r>
  </si>
  <si>
    <r>
      <rPr>
        <u/>
        <sz val="10"/>
        <color theme="1"/>
        <rFont val="Calibri Light"/>
        <family val="2"/>
        <scheme val="major"/>
      </rPr>
      <t>Fuente</t>
    </r>
    <r>
      <rPr>
        <sz val="10"/>
        <color theme="1"/>
        <rFont val="Calibri Light"/>
        <family val="2"/>
        <scheme val="major"/>
      </rPr>
      <t>:  Dirección de Gestión Minera, DGM /</t>
    </r>
    <r>
      <rPr>
        <i/>
        <sz val="10"/>
        <color theme="1"/>
        <rFont val="Calibri Light"/>
        <family val="2"/>
        <scheme val="major"/>
      </rPr>
      <t xml:space="preserve"> </t>
    </r>
    <r>
      <rPr>
        <i/>
        <u/>
        <sz val="10"/>
        <color theme="1"/>
        <rFont val="Calibri Light"/>
        <family val="2"/>
        <scheme val="major"/>
      </rPr>
      <t>Source</t>
    </r>
    <r>
      <rPr>
        <i/>
        <sz val="10"/>
        <color theme="1"/>
        <rFont val="Calibri Light"/>
        <family val="2"/>
        <scheme val="major"/>
      </rPr>
      <t>: General Directorate of Mining, DGM.</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xml:space="preserve">: 4 de setiembre de 2025. / </t>
    </r>
    <r>
      <rPr>
        <i/>
        <u/>
        <sz val="10"/>
        <color theme="1"/>
        <rFont val="Calibri Light"/>
        <family val="2"/>
        <scheme val="major"/>
      </rPr>
      <t>Date of consultation</t>
    </r>
    <r>
      <rPr>
        <i/>
        <sz val="10"/>
        <color theme="1"/>
        <rFont val="Calibri Light"/>
        <family val="2"/>
        <scheme val="major"/>
      </rPr>
      <t>:September 4, 2025.</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xml:space="preserve">: Dirección de Promoción y Sostenibilidad Minera, DGPSM. / </t>
    </r>
    <r>
      <rPr>
        <i/>
        <u/>
        <sz val="10"/>
        <color theme="1"/>
        <rFont val="Calibri Light"/>
        <family val="2"/>
        <scheme val="major"/>
      </rPr>
      <t>Prepared by</t>
    </r>
    <r>
      <rPr>
        <i/>
        <sz val="10"/>
        <color theme="1"/>
        <rFont val="Calibri Light"/>
        <family val="2"/>
        <scheme val="major"/>
      </rPr>
      <t>: General Directorate of Mining Promotion and Sustainability, DGPSM.</t>
    </r>
    <r>
      <rPr>
        <sz val="10"/>
        <color theme="1"/>
        <rFont val="Calibri Light"/>
        <family val="2"/>
        <scheme val="major"/>
      </rPr>
      <t xml:space="preserve">
(*)Incluye producción cuprífera por proceso de flotación (TMF), lixiviación y electro-obtención (TM). / </t>
    </r>
    <r>
      <rPr>
        <i/>
        <sz val="10"/>
        <color theme="1"/>
        <rFont val="Calibri Light"/>
        <family val="2"/>
        <scheme val="major"/>
      </rPr>
      <t>(*) Includes copper production through flotation process (FMT), leaching, and electrowinning (MT).</t>
    </r>
    <r>
      <rPr>
        <sz val="10"/>
        <color theme="1"/>
        <rFont val="Calibri Light"/>
        <family val="2"/>
        <scheme val="major"/>
      </rPr>
      <t xml:space="preserve">
(**) Información preliminar. Incluye producción aurífera estimada de mineros artesanales de Madre de Dios, Puno, Piura y Arequipa. / </t>
    </r>
    <r>
      <rPr>
        <i/>
        <sz val="10"/>
        <color theme="1"/>
        <rFont val="Calibri Light"/>
        <family val="2"/>
        <scheme val="major"/>
      </rPr>
      <t>(**) Preliminary information. Includes estimated gold production from artisanal miners in Madre de Dios, Puno, Piura, and Arequipa.</t>
    </r>
  </si>
  <si>
    <t>OTROS (2024: 3 titulares mineros, 2025: 3 titulares mineros)</t>
  </si>
  <si>
    <t>OTROS (2024: 30 titulares mineros, 2025: 30 titulares mineros)</t>
  </si>
  <si>
    <t>OTROS (2024: 85 titulares mineros, 2025: 80 titulares mineros)</t>
  </si>
  <si>
    <t>OTROS (2024: 31 titulares mineros, 2025: 31 titulares mineros)</t>
  </si>
  <si>
    <t>OTROS (2024: 253 titulares mineros, 2025: 257 titulares mineros)</t>
  </si>
  <si>
    <t>OTROS (2024: 49 titulares mineros, 2025: 45 titulares mineros)</t>
  </si>
  <si>
    <r>
      <t xml:space="preserve">May. / </t>
    </r>
    <r>
      <rPr>
        <i/>
        <sz val="10"/>
        <color theme="1"/>
        <rFont val="Calibri Light"/>
        <family val="2"/>
        <scheme val="major"/>
      </rPr>
      <t>May.</t>
    </r>
  </si>
  <si>
    <r>
      <t xml:space="preserve">Jun. / </t>
    </r>
    <r>
      <rPr>
        <i/>
        <sz val="10"/>
        <color rgb="FF000000"/>
        <rFont val="Calibri Light"/>
        <family val="2"/>
        <scheme val="major"/>
      </rPr>
      <t>Jun.</t>
    </r>
  </si>
  <si>
    <r>
      <t>Jul. /</t>
    </r>
    <r>
      <rPr>
        <i/>
        <sz val="10"/>
        <color rgb="FF000000"/>
        <rFont val="Calibri Light"/>
        <family val="2"/>
        <scheme val="major"/>
      </rPr>
      <t xml:space="preserve"> Jul.</t>
    </r>
  </si>
  <si>
    <t>OTROS** (2024: 3 departamentos, 2025: 3 departamentos)</t>
  </si>
  <si>
    <r>
      <rPr>
        <u/>
        <sz val="10"/>
        <color theme="1"/>
        <rFont val="Calibri Light"/>
        <family val="2"/>
        <scheme val="major"/>
      </rPr>
      <t>Fuente</t>
    </r>
    <r>
      <rPr>
        <sz val="10"/>
        <color theme="1"/>
        <rFont val="Calibri Light"/>
        <family val="2"/>
        <scheme val="major"/>
      </rPr>
      <t>:  Dirección de Gestión Minera, DGM /</t>
    </r>
    <r>
      <rPr>
        <i/>
        <sz val="10"/>
        <color theme="1"/>
        <rFont val="Calibri Light"/>
        <family val="2"/>
        <scheme val="major"/>
      </rPr>
      <t xml:space="preserve"> </t>
    </r>
    <r>
      <rPr>
        <i/>
        <u/>
        <sz val="10"/>
        <color theme="1"/>
        <rFont val="Calibri Light"/>
        <family val="2"/>
        <scheme val="major"/>
      </rPr>
      <t>Source</t>
    </r>
    <r>
      <rPr>
        <i/>
        <sz val="10"/>
        <color theme="1"/>
        <rFont val="Calibri Light"/>
        <family val="2"/>
        <scheme val="major"/>
      </rPr>
      <t>: General Directorate of Mining, DGM.</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4 de setiembre de 2025. /</t>
    </r>
    <r>
      <rPr>
        <i/>
        <sz val="10"/>
        <color theme="1"/>
        <rFont val="Calibri Light"/>
        <family val="2"/>
        <scheme val="major"/>
      </rPr>
      <t xml:space="preserve"> </t>
    </r>
    <r>
      <rPr>
        <i/>
        <u/>
        <sz val="10"/>
        <color theme="1"/>
        <rFont val="Calibri Light"/>
        <family val="2"/>
        <scheme val="major"/>
      </rPr>
      <t>Date of consultation</t>
    </r>
    <r>
      <rPr>
        <i/>
        <sz val="10"/>
        <color theme="1"/>
        <rFont val="Calibri Light"/>
        <family val="2"/>
        <scheme val="major"/>
      </rPr>
      <t>: September 4, 2025.</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Dirección de Promoción y Sostenibilidad Minera, DGPSM. /</t>
    </r>
    <r>
      <rPr>
        <i/>
        <sz val="10"/>
        <color theme="1"/>
        <rFont val="Calibri Light"/>
        <family val="2"/>
        <scheme val="major"/>
      </rPr>
      <t xml:space="preserve"> </t>
    </r>
    <r>
      <rPr>
        <i/>
        <u/>
        <sz val="10"/>
        <color theme="1"/>
        <rFont val="Calibri Light"/>
        <family val="2"/>
        <scheme val="major"/>
      </rPr>
      <t>Prepared by</t>
    </r>
    <r>
      <rPr>
        <i/>
        <sz val="10"/>
        <color theme="1"/>
        <rFont val="Calibri Light"/>
        <family val="2"/>
        <scheme val="major"/>
      </rPr>
      <t>: General Directorate of Mining Promotion and Sustainability, DGPSM.</t>
    </r>
    <r>
      <rPr>
        <sz val="10"/>
        <color theme="1"/>
        <rFont val="Calibri Light"/>
        <family val="2"/>
        <scheme val="major"/>
      </rPr>
      <t xml:space="preserve">
(*) Información preliminar. Incluye producción aurífera estimada de mineros artesanales de Madre de Dios, Puno, Piura y Arequipa. /</t>
    </r>
    <r>
      <rPr>
        <i/>
        <sz val="10"/>
        <color theme="1"/>
        <rFont val="Calibri Light"/>
        <family val="2"/>
        <scheme val="major"/>
      </rPr>
      <t xml:space="preserve"> (*) Preliminary information. Includes estimated gold production from artisanal miners in Madre de Dios, Puno, Piura, and Arequipa.</t>
    </r>
    <r>
      <rPr>
        <sz val="10"/>
        <color theme="1"/>
        <rFont val="Calibri Light"/>
        <family val="2"/>
        <scheme val="major"/>
      </rPr>
      <t xml:space="preserve">
(**) Contempla la producción metálica de molibdeno de los departamentos de Apurímac, Cusco y Junín (el titular Minera Chinalco Perú S.A. es el único que reporta molibdeno como subproducto dentro del proceso de flotación en planta para la obtención de cobre como su producto principal. Es importante mencionar que, para efectos estadísticos se está contemplando tanto la producción de producto principal como subproducto; no obstante, se precisa que Minera Chinalco Perú S.A no produce ni comercializa molibdeno). / </t>
    </r>
    <r>
      <rPr>
        <i/>
        <sz val="10"/>
        <color theme="1"/>
        <rFont val="Calibri Light"/>
        <family val="2"/>
        <scheme val="major"/>
      </rPr>
      <t>It considers the metallic molybdenum production from the departments of Apurímac, Cusco, and Junín (the titleholder Minera Chinalco Perú S.A. is the only company reporting molybdenum as a byproduct within the flotation plant process for obtaining copper as its main product. It is important to mention that, for statistical purposes, both main product and byproduct production are taken into account; however, it should be noted that Minera Chinalco Perú S.A. neither produces nor markets molybdenum).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</si>
</sst>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
    <numFmt numFmtId="165" formatCode="_-* #,##0_-;\-* #,##0_-;_-* &quot;-&quot;??_-;_-@_-"/>
    <numFmt numFmtId="166" formatCode="0.0%"/>
    <numFmt numFmtId="167" formatCode="_ * #,##0.00_ ;_ * \-#,##0.00_ ;_ * &quot;-&quot;??_ ;_ @_ "/>
    <numFmt numFmtId="168" formatCode="_ * #,##0_ ;_ * \-#,##0_ ;_ * &quot;-&quot;??_ ;_ @_ "/>
    <numFmt numFmtId="169" formatCode="0.000%"/>
    <numFmt numFmtId="170" formatCode="0.0000%"/>
  </numFmts>
  <fonts count="35" x14ac:knownFonts="1">
    <font>
      <sz val="11"/>
      <color theme="1"/>
      <name val="Calibri"/>
      <family val="2"/>
      <scheme val="minor"/>
    </font>
    <font>
      <sz val="11"/>
      <color theme="1"/>
      <name val="Calibri"/>
      <family val="2"/>
      <scheme val="minor"/>
    </font>
    <font>
      <sz val="11"/>
      <color rgb="FF000000"/>
      <name val="Calibri"/>
      <family val="2"/>
    </font>
    <font>
      <b/>
      <sz val="12"/>
      <color rgb="FF000000"/>
      <name val="Calibri Light"/>
      <family val="2"/>
      <scheme val="major"/>
    </font>
    <font>
      <sz val="10"/>
      <color theme="1"/>
      <name val="Calibri Light"/>
      <family val="2"/>
      <scheme val="major"/>
    </font>
    <font>
      <i/>
      <sz val="9"/>
      <color rgb="FF000000"/>
      <name val="Calibri Light"/>
      <family val="2"/>
      <scheme val="major"/>
    </font>
    <font>
      <b/>
      <sz val="10"/>
      <color rgb="FF000000"/>
      <name val="Calibri Light"/>
      <family val="2"/>
      <scheme val="major"/>
    </font>
    <font>
      <sz val="10"/>
      <color rgb="FF000000"/>
      <name val="Calibri Light"/>
      <family val="2"/>
      <scheme val="major"/>
    </font>
    <font>
      <b/>
      <sz val="16"/>
      <color rgb="FF000000"/>
      <name val="Calibri Light"/>
      <family val="2"/>
      <scheme val="major"/>
    </font>
    <font>
      <sz val="10"/>
      <color theme="0"/>
      <name val="Calibri Light"/>
      <family val="2"/>
      <scheme val="major"/>
    </font>
    <font>
      <i/>
      <sz val="9"/>
      <color theme="1"/>
      <name val="Calibri Light"/>
      <family val="2"/>
      <scheme val="major"/>
    </font>
    <font>
      <b/>
      <sz val="10"/>
      <color theme="1"/>
      <name val="Calibri Light"/>
      <family val="2"/>
      <scheme val="major"/>
    </font>
    <font>
      <i/>
      <sz val="10"/>
      <color theme="1"/>
      <name val="Calibri Light"/>
      <family val="2"/>
      <scheme val="major"/>
    </font>
    <font>
      <i/>
      <sz val="8"/>
      <color rgb="FF000000"/>
      <name val="Calibri Light"/>
      <family val="2"/>
      <scheme val="major"/>
    </font>
    <font>
      <i/>
      <sz val="10"/>
      <color rgb="FF000000"/>
      <name val="Calibri Light"/>
      <family val="2"/>
      <scheme val="major"/>
    </font>
    <font>
      <sz val="10"/>
      <name val="Calibri Light"/>
      <family val="2"/>
      <scheme val="major"/>
    </font>
    <font>
      <b/>
      <sz val="10"/>
      <name val="Calibri Light"/>
      <family val="2"/>
      <scheme val="major"/>
    </font>
    <font>
      <sz val="8"/>
      <color rgb="FF000000"/>
      <name val="Calibri Light"/>
      <family val="2"/>
      <scheme val="major"/>
    </font>
    <font>
      <sz val="9"/>
      <color theme="1"/>
      <name val="Calibri"/>
      <family val="2"/>
      <scheme val="minor"/>
    </font>
    <font>
      <i/>
      <sz val="8"/>
      <color theme="1"/>
      <name val="Calibri Light"/>
      <family val="2"/>
      <scheme val="major"/>
    </font>
    <font>
      <u/>
      <sz val="10"/>
      <color rgb="FF000000"/>
      <name val="Calibri Light"/>
      <family val="2"/>
      <scheme val="major"/>
    </font>
    <font>
      <i/>
      <u/>
      <sz val="10"/>
      <color rgb="FF000000"/>
      <name val="Calibri Light"/>
      <family val="2"/>
      <scheme val="major"/>
    </font>
    <font>
      <sz val="11"/>
      <color theme="0"/>
      <name val="Calibri Light"/>
      <family val="2"/>
      <scheme val="major"/>
    </font>
    <font>
      <sz val="11"/>
      <color theme="1"/>
      <name val="Calibri Light"/>
      <family val="2"/>
      <scheme val="major"/>
    </font>
    <font>
      <b/>
      <sz val="10"/>
      <color indexed="8"/>
      <name val="Calibri Light"/>
      <family val="2"/>
      <scheme val="major"/>
    </font>
    <font>
      <u/>
      <sz val="10"/>
      <color theme="1"/>
      <name val="Calibri Light"/>
      <family val="2"/>
      <scheme val="major"/>
    </font>
    <font>
      <i/>
      <u/>
      <sz val="10"/>
      <color theme="1"/>
      <name val="Calibri Light"/>
      <family val="2"/>
      <scheme val="major"/>
    </font>
    <font>
      <b/>
      <sz val="12"/>
      <color theme="1"/>
      <name val="Calibri Light"/>
      <family val="2"/>
      <scheme val="major"/>
    </font>
    <font>
      <b/>
      <i/>
      <sz val="10"/>
      <color theme="0" tint="-0.499984740745262"/>
      <name val="Calibri Light"/>
      <family val="2"/>
      <scheme val="major"/>
    </font>
    <font>
      <b/>
      <sz val="11"/>
      <color theme="1"/>
      <name val="Calibri Light"/>
      <family val="2"/>
      <scheme val="major"/>
    </font>
    <font>
      <b/>
      <sz val="12"/>
      <name val="Calibri Light"/>
      <family val="2"/>
      <scheme val="major"/>
    </font>
    <font>
      <i/>
      <sz val="9"/>
      <name val="Calibri Light"/>
      <family val="2"/>
      <scheme val="major"/>
    </font>
    <font>
      <i/>
      <sz val="8"/>
      <name val="Calibri Light"/>
      <family val="2"/>
      <scheme val="major"/>
    </font>
    <font>
      <sz val="8"/>
      <name val="Calibri Light"/>
      <family val="2"/>
      <scheme val="major"/>
    </font>
    <font>
      <sz val="10"/>
      <color theme="1"/>
      <name val="Calibri"/>
      <family val="2"/>
      <scheme val="minor"/>
    </font>
  </fonts>
  <fills count="11">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theme="2" tint="-9.9978637043366805E-2"/>
        <bgColor indexed="64"/>
      </patternFill>
    </fill>
    <fill>
      <patternFill patternType="solid">
        <fgColor rgb="FFF2F2F2"/>
        <bgColor rgb="FFFFFFFF"/>
      </patternFill>
    </fill>
    <fill>
      <patternFill patternType="solid">
        <fgColor theme="0"/>
        <bgColor rgb="FFFFFFFF"/>
      </patternFill>
    </fill>
    <fill>
      <patternFill patternType="solid">
        <fgColor rgb="FFD9D9D9"/>
        <bgColor rgb="FFFFFFFF"/>
      </patternFill>
    </fill>
    <fill>
      <patternFill patternType="solid">
        <fgColor theme="0" tint="-0.14999847407452621"/>
        <bgColor indexed="64"/>
      </patternFill>
    </fill>
    <fill>
      <patternFill patternType="solid">
        <fgColor theme="0" tint="-0.14999847407452621"/>
        <bgColor rgb="FFFFFFFF"/>
      </patternFill>
    </fill>
    <fill>
      <patternFill patternType="solid">
        <fgColor rgb="FFD0CECE"/>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18" fillId="3" borderId="0">
      <alignment horizontal="left"/>
    </xf>
    <xf numFmtId="167" fontId="1" fillId="0" borderId="0" applyFont="0" applyFill="0" applyBorder="0" applyAlignment="0" applyProtection="0"/>
  </cellStyleXfs>
  <cellXfs count="271">
    <xf numFmtId="0" fontId="0" fillId="0" borderId="0" xfId="0"/>
    <xf numFmtId="0" fontId="3" fillId="2" borderId="0" xfId="3" applyFont="1" applyFill="1" applyAlignment="1">
      <alignment vertical="center"/>
    </xf>
    <xf numFmtId="0" fontId="4" fillId="3" borderId="0" xfId="0" applyFont="1" applyFill="1" applyAlignment="1">
      <alignment vertical="center"/>
    </xf>
    <xf numFmtId="0" fontId="6" fillId="2" borderId="0" xfId="3" applyFont="1" applyFill="1" applyAlignment="1">
      <alignment horizontal="center" vertical="center"/>
    </xf>
    <xf numFmtId="0" fontId="6" fillId="2" borderId="0" xfId="3" applyFont="1" applyFill="1" applyAlignment="1">
      <alignment vertical="center"/>
    </xf>
    <xf numFmtId="0" fontId="7" fillId="2" borderId="0" xfId="3" applyFont="1" applyFill="1" applyAlignment="1">
      <alignment horizontal="center" vertical="center"/>
    </xf>
    <xf numFmtId="0" fontId="7" fillId="0" borderId="0" xfId="3" applyFont="1" applyAlignment="1">
      <alignment horizontal="center" vertical="center"/>
    </xf>
    <xf numFmtId="0" fontId="8" fillId="0" borderId="0" xfId="3" applyFont="1" applyAlignment="1">
      <alignment horizontal="center" vertical="center"/>
    </xf>
    <xf numFmtId="0" fontId="9" fillId="3" borderId="0" xfId="0" applyFont="1" applyFill="1" applyAlignment="1">
      <alignment vertical="center"/>
    </xf>
    <xf numFmtId="0" fontId="3" fillId="2" borderId="0" xfId="3" applyFont="1" applyFill="1" applyAlignment="1">
      <alignment horizontal="left" vertical="center" wrapText="1"/>
    </xf>
    <xf numFmtId="0" fontId="10" fillId="0" borderId="0" xfId="0" applyFont="1" applyAlignment="1">
      <alignment vertical="center"/>
    </xf>
    <xf numFmtId="0" fontId="11" fillId="4" borderId="1" xfId="3" applyFont="1" applyFill="1" applyBorder="1" applyAlignment="1">
      <alignment horizontal="center" vertical="center" wrapText="1"/>
    </xf>
    <xf numFmtId="0" fontId="11" fillId="4" borderId="2" xfId="3" applyFont="1" applyFill="1" applyBorder="1" applyAlignment="1">
      <alignment horizontal="center" vertical="center" wrapText="1"/>
    </xf>
    <xf numFmtId="0" fontId="11" fillId="4" borderId="3" xfId="3" applyFont="1" applyFill="1" applyBorder="1" applyAlignment="1">
      <alignment horizontal="center" vertical="center" wrapText="1"/>
    </xf>
    <xf numFmtId="0" fontId="9" fillId="3" borderId="0" xfId="0" applyFont="1" applyFill="1" applyAlignment="1">
      <alignment horizontal="center" vertical="center" wrapText="1"/>
    </xf>
    <xf numFmtId="0" fontId="4" fillId="3" borderId="0" xfId="0" applyFont="1" applyFill="1" applyAlignment="1">
      <alignment horizontal="center" vertical="center" wrapText="1"/>
    </xf>
    <xf numFmtId="0" fontId="7" fillId="0" borderId="4" xfId="3" applyFont="1" applyBorder="1" applyAlignment="1">
      <alignment horizontal="center" vertical="center"/>
    </xf>
    <xf numFmtId="0" fontId="7" fillId="0" borderId="5" xfId="3" applyFont="1" applyBorder="1" applyAlignment="1">
      <alignment horizontal="center" vertical="center" wrapText="1"/>
    </xf>
    <xf numFmtId="0" fontId="7" fillId="0" borderId="6" xfId="3" applyFont="1" applyBorder="1" applyAlignment="1">
      <alignment horizontal="center" vertical="center" wrapText="1"/>
    </xf>
    <xf numFmtId="0" fontId="7" fillId="0" borderId="7" xfId="3" applyFont="1" applyBorder="1" applyAlignment="1">
      <alignment horizontal="center" vertical="center"/>
    </xf>
    <xf numFmtId="3" fontId="7" fillId="0" borderId="0" xfId="3" applyNumberFormat="1" applyFont="1" applyAlignment="1">
      <alignment horizontal="center" vertical="center"/>
    </xf>
    <xf numFmtId="3" fontId="7" fillId="0" borderId="8" xfId="3" applyNumberFormat="1" applyFont="1" applyBorder="1" applyAlignment="1">
      <alignment horizontal="center" vertical="center"/>
    </xf>
    <xf numFmtId="3" fontId="9" fillId="0" borderId="0" xfId="3" applyNumberFormat="1" applyFont="1" applyAlignment="1">
      <alignment horizontal="center" vertical="center"/>
    </xf>
    <xf numFmtId="43" fontId="4" fillId="3" borderId="0" xfId="1" applyFont="1" applyFill="1" applyAlignment="1">
      <alignment vertical="center"/>
    </xf>
    <xf numFmtId="3" fontId="4" fillId="3" borderId="0" xfId="0" applyNumberFormat="1" applyFont="1" applyFill="1" applyAlignment="1">
      <alignment vertical="center"/>
    </xf>
    <xf numFmtId="3" fontId="7" fillId="0" borderId="5" xfId="3" applyNumberFormat="1" applyFont="1" applyBorder="1" applyAlignment="1">
      <alignment horizontal="center" vertical="center"/>
    </xf>
    <xf numFmtId="3" fontId="7" fillId="0" borderId="6" xfId="3" applyNumberFormat="1" applyFont="1" applyBorder="1" applyAlignment="1">
      <alignment horizontal="center" vertical="center"/>
    </xf>
    <xf numFmtId="0" fontId="6" fillId="4" borderId="9" xfId="3" applyFont="1" applyFill="1" applyBorder="1" applyAlignment="1">
      <alignment horizontal="center" vertical="center" wrapText="1"/>
    </xf>
    <xf numFmtId="3" fontId="6" fillId="4" borderId="10" xfId="3" applyNumberFormat="1" applyFont="1" applyFill="1" applyBorder="1" applyAlignment="1">
      <alignment horizontal="center" vertical="center"/>
    </xf>
    <xf numFmtId="2" fontId="7" fillId="0" borderId="1" xfId="3" applyNumberFormat="1" applyFont="1" applyBorder="1" applyAlignment="1">
      <alignment horizontal="center" vertical="center" wrapText="1"/>
    </xf>
    <xf numFmtId="3" fontId="7" fillId="0" borderId="2" xfId="3" applyNumberFormat="1" applyFont="1" applyBorder="1" applyAlignment="1">
      <alignment horizontal="center" vertical="center"/>
    </xf>
    <xf numFmtId="164" fontId="7" fillId="0" borderId="3" xfId="3" applyNumberFormat="1" applyFont="1" applyBorder="1" applyAlignment="1">
      <alignment horizontal="center" vertical="center"/>
    </xf>
    <xf numFmtId="3" fontId="9" fillId="2" borderId="0" xfId="3" applyNumberFormat="1" applyFont="1" applyFill="1" applyAlignment="1">
      <alignment horizontal="center" vertical="center"/>
    </xf>
    <xf numFmtId="165" fontId="4" fillId="3" borderId="0" xfId="1" applyNumberFormat="1" applyFont="1" applyFill="1" applyAlignment="1">
      <alignment vertical="center"/>
    </xf>
    <xf numFmtId="2" fontId="7" fillId="0" borderId="7" xfId="3" applyNumberFormat="1" applyFont="1" applyBorder="1" applyAlignment="1">
      <alignment horizontal="center" vertical="center"/>
    </xf>
    <xf numFmtId="164" fontId="7" fillId="0" borderId="8" xfId="3" applyNumberFormat="1" applyFont="1" applyBorder="1" applyAlignment="1">
      <alignment horizontal="center" vertical="center"/>
    </xf>
    <xf numFmtId="2" fontId="7" fillId="2" borderId="7" xfId="3" applyNumberFormat="1" applyFont="1" applyFill="1" applyBorder="1" applyAlignment="1">
      <alignment horizontal="center" vertical="center"/>
    </xf>
    <xf numFmtId="3" fontId="7" fillId="2" borderId="0" xfId="3" applyNumberFormat="1" applyFont="1" applyFill="1" applyAlignment="1">
      <alignment horizontal="center" vertical="center"/>
    </xf>
    <xf numFmtId="164" fontId="7" fillId="2" borderId="0" xfId="3" applyNumberFormat="1" applyFont="1" applyFill="1" applyAlignment="1">
      <alignment horizontal="center" vertical="center"/>
    </xf>
    <xf numFmtId="164" fontId="7" fillId="2" borderId="8" xfId="3" applyNumberFormat="1" applyFont="1" applyFill="1" applyBorder="1" applyAlignment="1">
      <alignment horizontal="center" vertical="center"/>
    </xf>
    <xf numFmtId="3" fontId="7" fillId="2" borderId="5" xfId="3" applyNumberFormat="1" applyFont="1" applyFill="1" applyBorder="1" applyAlignment="1">
      <alignment horizontal="center" vertical="center"/>
    </xf>
    <xf numFmtId="164" fontId="7" fillId="2" borderId="6" xfId="3" applyNumberFormat="1" applyFont="1" applyFill="1" applyBorder="1" applyAlignment="1">
      <alignment horizontal="center" vertical="center"/>
    </xf>
    <xf numFmtId="2" fontId="7" fillId="2" borderId="7" xfId="3" applyNumberFormat="1" applyFont="1" applyFill="1" applyBorder="1" applyAlignment="1">
      <alignment horizontal="left" vertical="center"/>
    </xf>
    <xf numFmtId="0" fontId="6" fillId="5" borderId="9" xfId="3" applyFont="1" applyFill="1" applyBorder="1" applyAlignment="1">
      <alignment horizontal="left" vertical="center"/>
    </xf>
    <xf numFmtId="0" fontId="7" fillId="5" borderId="10" xfId="3" applyFont="1" applyFill="1" applyBorder="1" applyAlignment="1">
      <alignment horizontal="center" vertical="center"/>
    </xf>
    <xf numFmtId="3" fontId="7" fillId="5" borderId="10" xfId="3" applyNumberFormat="1" applyFont="1" applyFill="1" applyBorder="1" applyAlignment="1">
      <alignment horizontal="center" vertical="center"/>
    </xf>
    <xf numFmtId="0" fontId="7" fillId="5" borderId="11" xfId="3" applyFont="1" applyFill="1" applyBorder="1" applyAlignment="1">
      <alignment horizontal="center" vertical="center"/>
    </xf>
    <xf numFmtId="0" fontId="4" fillId="3" borderId="0" xfId="0" applyFont="1" applyFill="1" applyAlignment="1">
      <alignment horizontal="left" vertical="center"/>
    </xf>
    <xf numFmtId="0" fontId="7" fillId="2" borderId="7" xfId="3" applyFont="1" applyFill="1" applyBorder="1" applyAlignment="1">
      <alignment horizontal="center" vertical="center" wrapText="1"/>
    </xf>
    <xf numFmtId="3" fontId="15" fillId="3" borderId="0" xfId="3" applyNumberFormat="1" applyFont="1" applyFill="1" applyAlignment="1">
      <alignment horizontal="center" vertical="center"/>
    </xf>
    <xf numFmtId="3" fontId="15" fillId="6" borderId="0" xfId="3" applyNumberFormat="1" applyFont="1" applyFill="1" applyAlignment="1">
      <alignment horizontal="center" vertical="center"/>
    </xf>
    <xf numFmtId="3" fontId="15" fillId="2" borderId="0" xfId="3" applyNumberFormat="1" applyFont="1" applyFill="1" applyAlignment="1">
      <alignment horizontal="center" vertical="center"/>
    </xf>
    <xf numFmtId="164" fontId="15" fillId="2" borderId="3" xfId="3" applyNumberFormat="1" applyFont="1" applyFill="1" applyBorder="1" applyAlignment="1">
      <alignment horizontal="center" vertical="center"/>
    </xf>
    <xf numFmtId="0" fontId="7" fillId="2" borderId="4" xfId="3" applyFont="1" applyFill="1" applyBorder="1" applyAlignment="1">
      <alignment horizontal="center" vertical="center" wrapText="1"/>
    </xf>
    <xf numFmtId="3" fontId="15" fillId="6" borderId="5" xfId="3" applyNumberFormat="1" applyFont="1" applyFill="1" applyBorder="1" applyAlignment="1">
      <alignment horizontal="center" vertical="center"/>
    </xf>
    <xf numFmtId="3" fontId="9" fillId="3" borderId="0" xfId="0" applyNumberFormat="1" applyFont="1" applyFill="1" applyAlignment="1">
      <alignment vertical="center"/>
    </xf>
    <xf numFmtId="0" fontId="6" fillId="7" borderId="9" xfId="3" applyFont="1" applyFill="1" applyBorder="1" applyAlignment="1">
      <alignment horizontal="center" vertical="center"/>
    </xf>
    <xf numFmtId="166" fontId="6" fillId="7" borderId="10" xfId="3" applyNumberFormat="1" applyFont="1" applyFill="1" applyBorder="1" applyAlignment="1">
      <alignment horizontal="center" vertical="center"/>
    </xf>
    <xf numFmtId="166" fontId="16" fillId="7" borderId="10" xfId="3" applyNumberFormat="1" applyFont="1" applyFill="1" applyBorder="1" applyAlignment="1">
      <alignment horizontal="center" vertical="center"/>
    </xf>
    <xf numFmtId="166" fontId="6" fillId="7" borderId="11" xfId="3" applyNumberFormat="1" applyFont="1" applyFill="1" applyBorder="1" applyAlignment="1">
      <alignment horizontal="center" vertical="center"/>
    </xf>
    <xf numFmtId="0" fontId="4" fillId="3" borderId="7" xfId="4" applyFont="1" applyBorder="1" applyAlignment="1">
      <alignment horizontal="center" vertical="center" wrapText="1"/>
    </xf>
    <xf numFmtId="3" fontId="15" fillId="3" borderId="8" xfId="3" applyNumberFormat="1" applyFont="1" applyFill="1" applyBorder="1" applyAlignment="1">
      <alignment horizontal="center" vertical="center"/>
    </xf>
    <xf numFmtId="0" fontId="16" fillId="8" borderId="9" xfId="4" applyFont="1" applyFill="1" applyBorder="1" applyAlignment="1">
      <alignment horizontal="center" vertical="center"/>
    </xf>
    <xf numFmtId="166" fontId="16" fillId="9" borderId="10" xfId="3" applyNumberFormat="1" applyFont="1" applyFill="1" applyBorder="1" applyAlignment="1">
      <alignment horizontal="center" vertical="center"/>
    </xf>
    <xf numFmtId="166" fontId="6" fillId="9" borderId="10" xfId="3" applyNumberFormat="1" applyFont="1" applyFill="1" applyBorder="1" applyAlignment="1">
      <alignment horizontal="center" vertical="center"/>
    </xf>
    <xf numFmtId="166" fontId="6" fillId="9" borderId="11" xfId="3" applyNumberFormat="1" applyFont="1" applyFill="1" applyBorder="1" applyAlignment="1">
      <alignment horizontal="center" vertical="center"/>
    </xf>
    <xf numFmtId="3" fontId="7" fillId="2" borderId="7" xfId="3" applyNumberFormat="1" applyFont="1" applyFill="1" applyBorder="1" applyAlignment="1">
      <alignment horizontal="center" vertical="center" wrapText="1"/>
    </xf>
    <xf numFmtId="3" fontId="15" fillId="3" borderId="0" xfId="4" applyNumberFormat="1" applyFont="1" applyAlignment="1">
      <alignment horizontal="center" vertical="center"/>
    </xf>
    <xf numFmtId="164" fontId="15" fillId="3" borderId="8" xfId="4" applyNumberFormat="1" applyFont="1" applyBorder="1" applyAlignment="1">
      <alignment horizontal="center" vertical="center"/>
    </xf>
    <xf numFmtId="3" fontId="7" fillId="2" borderId="4" xfId="3" applyNumberFormat="1" applyFont="1" applyFill="1" applyBorder="1" applyAlignment="1">
      <alignment horizontal="center" vertical="center" wrapText="1"/>
    </xf>
    <xf numFmtId="0" fontId="6" fillId="9" borderId="9" xfId="3" applyFont="1" applyFill="1" applyBorder="1" applyAlignment="1">
      <alignment horizontal="center" vertical="center"/>
    </xf>
    <xf numFmtId="0" fontId="6" fillId="2" borderId="1" xfId="3" applyFont="1" applyFill="1" applyBorder="1" applyAlignment="1">
      <alignment horizontal="left" vertical="center"/>
    </xf>
    <xf numFmtId="10" fontId="6" fillId="2" borderId="2" xfId="3" applyNumberFormat="1" applyFont="1" applyFill="1" applyBorder="1" applyAlignment="1">
      <alignment horizontal="center" vertical="center"/>
    </xf>
    <xf numFmtId="10" fontId="16" fillId="2" borderId="2" xfId="3" applyNumberFormat="1" applyFont="1" applyFill="1" applyBorder="1" applyAlignment="1">
      <alignment horizontal="center" vertical="center"/>
    </xf>
    <xf numFmtId="10" fontId="6" fillId="2" borderId="3" xfId="3" applyNumberFormat="1" applyFont="1" applyFill="1" applyBorder="1" applyAlignment="1">
      <alignment horizontal="center" vertical="center"/>
    </xf>
    <xf numFmtId="0" fontId="22" fillId="0" borderId="0" xfId="0" applyFont="1" applyAlignment="1">
      <alignment vertical="center"/>
    </xf>
    <xf numFmtId="0" fontId="23" fillId="0" borderId="0" xfId="0" applyFont="1" applyAlignment="1">
      <alignment vertical="center"/>
    </xf>
    <xf numFmtId="0" fontId="4" fillId="3" borderId="5" xfId="0" applyFont="1" applyFill="1" applyBorder="1" applyAlignment="1">
      <alignment vertical="center"/>
    </xf>
    <xf numFmtId="10" fontId="23" fillId="0" borderId="0" xfId="0" applyNumberFormat="1" applyFont="1" applyAlignment="1">
      <alignment horizontal="center" vertical="center"/>
    </xf>
    <xf numFmtId="0" fontId="23" fillId="0" borderId="0" xfId="0" applyFont="1" applyAlignment="1">
      <alignment horizontal="center" vertical="center"/>
    </xf>
    <xf numFmtId="0" fontId="27" fillId="3" borderId="0" xfId="0" applyFont="1" applyFill="1" applyAlignment="1">
      <alignment horizontal="left" vertical="center"/>
    </xf>
    <xf numFmtId="168" fontId="4" fillId="3" borderId="0" xfId="5" applyNumberFormat="1" applyFont="1" applyFill="1" applyAlignment="1">
      <alignment horizontal="center" vertical="center"/>
    </xf>
    <xf numFmtId="10" fontId="4" fillId="3" borderId="0" xfId="2" applyNumberFormat="1" applyFont="1" applyFill="1" applyAlignment="1">
      <alignment horizontal="center" vertical="center"/>
    </xf>
    <xf numFmtId="0" fontId="10" fillId="3" borderId="0" xfId="4" applyFont="1" applyAlignment="1">
      <alignment horizontal="left" vertical="center"/>
    </xf>
    <xf numFmtId="168" fontId="28" fillId="3" borderId="0" xfId="5" applyNumberFormat="1" applyFont="1" applyFill="1" applyAlignment="1">
      <alignment horizontal="center" vertical="center"/>
    </xf>
    <xf numFmtId="10" fontId="28" fillId="3" borderId="0" xfId="2" applyNumberFormat="1" applyFont="1" applyFill="1" applyAlignment="1">
      <alignment horizontal="center" vertical="center"/>
    </xf>
    <xf numFmtId="0" fontId="4" fillId="3" borderId="0" xfId="4" applyFont="1" applyAlignment="1">
      <alignment horizontal="left" vertical="center"/>
    </xf>
    <xf numFmtId="0" fontId="11" fillId="4" borderId="12" xfId="4" applyFont="1" applyFill="1" applyBorder="1" applyAlignment="1">
      <alignment horizontal="left" vertical="center" wrapText="1"/>
    </xf>
    <xf numFmtId="0" fontId="0" fillId="0" borderId="0" xfId="0" applyAlignment="1">
      <alignment vertical="center"/>
    </xf>
    <xf numFmtId="0" fontId="23" fillId="4" borderId="12" xfId="0" applyFont="1" applyFill="1" applyBorder="1" applyAlignment="1">
      <alignment vertical="center"/>
    </xf>
    <xf numFmtId="0" fontId="4" fillId="3" borderId="13" xfId="4" applyFont="1" applyBorder="1" applyAlignment="1">
      <alignment horizontal="left" vertical="center"/>
    </xf>
    <xf numFmtId="0" fontId="4" fillId="3" borderId="14" xfId="4" applyFont="1" applyBorder="1" applyAlignment="1">
      <alignment horizontal="left" vertical="center"/>
    </xf>
    <xf numFmtId="0" fontId="4" fillId="0" borderId="14" xfId="4" applyFont="1" applyFill="1" applyBorder="1" applyAlignment="1">
      <alignment horizontal="left" vertical="center"/>
    </xf>
    <xf numFmtId="0" fontId="15" fillId="0" borderId="15" xfId="4" applyFont="1" applyFill="1" applyBorder="1" applyAlignment="1">
      <alignment horizontal="left" vertical="center"/>
    </xf>
    <xf numFmtId="0" fontId="29" fillId="4" borderId="12" xfId="0" applyFont="1" applyFill="1" applyBorder="1" applyAlignment="1">
      <alignment vertical="center"/>
    </xf>
    <xf numFmtId="0" fontId="4" fillId="3" borderId="15" xfId="4" applyFont="1" applyBorder="1" applyAlignment="1">
      <alignment horizontal="left" vertical="center"/>
    </xf>
    <xf numFmtId="0" fontId="4" fillId="0" borderId="12" xfId="4" applyFont="1" applyFill="1" applyBorder="1" applyAlignment="1">
      <alignment horizontal="left" vertical="center"/>
    </xf>
    <xf numFmtId="0" fontId="4" fillId="0" borderId="15" xfId="4" applyFont="1" applyFill="1" applyBorder="1" applyAlignment="1">
      <alignment horizontal="left" vertical="center"/>
    </xf>
    <xf numFmtId="0" fontId="4" fillId="0" borderId="13" xfId="4" applyFont="1" applyFill="1" applyBorder="1" applyAlignment="1">
      <alignment horizontal="left" vertical="center"/>
    </xf>
    <xf numFmtId="0" fontId="29" fillId="10" borderId="12" xfId="0" applyFont="1" applyFill="1" applyBorder="1" applyAlignment="1">
      <alignment vertical="center"/>
    </xf>
    <xf numFmtId="0" fontId="5" fillId="2" borderId="0" xfId="3" applyFont="1" applyFill="1" applyAlignment="1">
      <alignment vertical="center"/>
    </xf>
    <xf numFmtId="0" fontId="30" fillId="3" borderId="0" xfId="0" applyFont="1" applyFill="1" applyAlignment="1">
      <alignment horizontal="left" vertical="center"/>
    </xf>
    <xf numFmtId="166" fontId="15" fillId="3" borderId="0" xfId="2" applyNumberFormat="1" applyFont="1" applyFill="1" applyAlignment="1">
      <alignment horizontal="center" vertical="center"/>
    </xf>
    <xf numFmtId="0" fontId="31" fillId="3" borderId="0" xfId="4" applyFont="1" applyAlignment="1">
      <alignment horizontal="left" vertical="center"/>
    </xf>
    <xf numFmtId="168" fontId="15" fillId="3" borderId="0" xfId="5" applyNumberFormat="1" applyFont="1" applyFill="1" applyAlignment="1">
      <alignment horizontal="center" vertical="center"/>
    </xf>
    <xf numFmtId="0" fontId="9" fillId="3" borderId="0" xfId="4" applyFont="1" applyAlignment="1">
      <alignment horizontal="left" vertical="center"/>
    </xf>
    <xf numFmtId="0" fontId="11" fillId="4" borderId="9" xfId="4" applyFont="1" applyFill="1" applyBorder="1" applyAlignment="1">
      <alignment horizontal="left" vertical="center" wrapText="1"/>
    </xf>
    <xf numFmtId="0" fontId="16" fillId="4" borderId="12" xfId="4" applyFont="1" applyFill="1" applyBorder="1" applyAlignment="1">
      <alignment horizontal="left" vertical="center"/>
    </xf>
    <xf numFmtId="0" fontId="15" fillId="3" borderId="14" xfId="4" applyFont="1" applyBorder="1" applyAlignment="1">
      <alignment horizontal="left" vertical="center"/>
    </xf>
    <xf numFmtId="0" fontId="15" fillId="0" borderId="14" xfId="5" applyNumberFormat="1" applyFont="1" applyFill="1" applyBorder="1" applyAlignment="1">
      <alignment horizontal="left" vertical="center"/>
    </xf>
    <xf numFmtId="0" fontId="15" fillId="0" borderId="14" xfId="4" applyFont="1" applyFill="1" applyBorder="1" applyAlignment="1">
      <alignment horizontal="left" vertical="center"/>
    </xf>
    <xf numFmtId="0" fontId="15" fillId="3" borderId="13" xfId="4" applyFont="1" applyBorder="1" applyAlignment="1">
      <alignment horizontal="left" vertical="center"/>
    </xf>
    <xf numFmtId="0" fontId="15" fillId="3" borderId="15" xfId="4" applyFont="1" applyBorder="1" applyAlignment="1">
      <alignment horizontal="left" vertical="center"/>
    </xf>
    <xf numFmtId="0" fontId="15" fillId="0" borderId="12" xfId="4" applyFont="1" applyFill="1" applyBorder="1" applyAlignment="1">
      <alignment horizontal="left" vertical="center"/>
    </xf>
    <xf numFmtId="0" fontId="4" fillId="0" borderId="9" xfId="4" applyFont="1" applyFill="1" applyBorder="1" applyAlignment="1">
      <alignment horizontal="left" vertical="center"/>
    </xf>
    <xf numFmtId="168" fontId="23" fillId="0" borderId="0" xfId="0" applyNumberFormat="1" applyFont="1" applyAlignment="1">
      <alignment vertical="center"/>
    </xf>
    <xf numFmtId="166" fontId="23" fillId="0" borderId="0" xfId="0" applyNumberFormat="1" applyFont="1" applyAlignment="1">
      <alignment horizontal="center" vertical="center"/>
    </xf>
    <xf numFmtId="0" fontId="4" fillId="3" borderId="7" xfId="0" applyFont="1" applyFill="1" applyBorder="1" applyAlignment="1">
      <alignment horizontal="center" vertical="center"/>
    </xf>
    <xf numFmtId="0" fontId="4" fillId="0" borderId="1" xfId="4" applyFont="1" applyFill="1" applyBorder="1" applyAlignment="1">
      <alignment horizontal="left" vertical="center"/>
    </xf>
    <xf numFmtId="0" fontId="4" fillId="0" borderId="7" xfId="4" applyFont="1" applyFill="1" applyBorder="1" applyAlignment="1">
      <alignment horizontal="left" vertical="center"/>
    </xf>
    <xf numFmtId="0" fontId="4" fillId="0" borderId="4" xfId="4" applyFont="1" applyFill="1" applyBorder="1" applyAlignment="1">
      <alignment horizontal="left" vertical="center"/>
    </xf>
    <xf numFmtId="0" fontId="0" fillId="0" borderId="0" xfId="0" applyAlignment="1">
      <alignment horizontal="right" vertical="center"/>
    </xf>
    <xf numFmtId="4" fontId="7" fillId="2" borderId="0" xfId="3" applyNumberFormat="1" applyFont="1" applyFill="1" applyAlignment="1">
      <alignment horizontal="center" vertical="center"/>
    </xf>
    <xf numFmtId="4" fontId="7" fillId="0" borderId="0" xfId="3" applyNumberFormat="1" applyFont="1" applyAlignment="1">
      <alignment horizontal="center" vertical="center"/>
    </xf>
    <xf numFmtId="3" fontId="7" fillId="6" borderId="5" xfId="3" applyNumberFormat="1" applyFont="1" applyFill="1" applyBorder="1" applyAlignment="1">
      <alignment horizontal="center" vertical="center"/>
    </xf>
    <xf numFmtId="0" fontId="11" fillId="4" borderId="10" xfId="5" applyNumberFormat="1" applyFont="1" applyFill="1" applyBorder="1" applyAlignment="1">
      <alignment horizontal="center" vertical="center"/>
    </xf>
    <xf numFmtId="0" fontId="11" fillId="4" borderId="9" xfId="5" applyNumberFormat="1" applyFont="1" applyFill="1" applyBorder="1" applyAlignment="1">
      <alignment horizontal="center" vertical="center"/>
    </xf>
    <xf numFmtId="3" fontId="11" fillId="4" borderId="10" xfId="5" applyNumberFormat="1" applyFont="1" applyFill="1" applyBorder="1" applyAlignment="1">
      <alignment horizontal="center" vertical="center"/>
    </xf>
    <xf numFmtId="3" fontId="4" fillId="3" borderId="1" xfId="5" applyNumberFormat="1" applyFont="1" applyFill="1" applyBorder="1" applyAlignment="1">
      <alignment horizontal="center" vertical="center"/>
    </xf>
    <xf numFmtId="3" fontId="4" fillId="3" borderId="2" xfId="5" applyNumberFormat="1" applyFont="1" applyFill="1" applyBorder="1" applyAlignment="1">
      <alignment horizontal="center" vertical="center"/>
    </xf>
    <xf numFmtId="3" fontId="4" fillId="3" borderId="7" xfId="5" applyNumberFormat="1" applyFont="1" applyFill="1" applyBorder="1" applyAlignment="1">
      <alignment horizontal="center" vertical="center"/>
    </xf>
    <xf numFmtId="3" fontId="4" fillId="3" borderId="0" xfId="5" applyNumberFormat="1" applyFont="1" applyFill="1" applyBorder="1" applyAlignment="1">
      <alignment horizontal="center" vertical="center"/>
    </xf>
    <xf numFmtId="3" fontId="4" fillId="0" borderId="7" xfId="5" applyNumberFormat="1" applyFont="1" applyFill="1" applyBorder="1" applyAlignment="1">
      <alignment horizontal="center" vertical="center"/>
    </xf>
    <xf numFmtId="3" fontId="4" fillId="0" borderId="0" xfId="5" applyNumberFormat="1" applyFont="1" applyFill="1" applyBorder="1" applyAlignment="1">
      <alignment horizontal="center" vertical="center"/>
    </xf>
    <xf numFmtId="3" fontId="4" fillId="0" borderId="4" xfId="5" applyNumberFormat="1" applyFont="1" applyFill="1" applyBorder="1" applyAlignment="1">
      <alignment horizontal="center" vertical="center"/>
    </xf>
    <xf numFmtId="3" fontId="4" fillId="0" borderId="5" xfId="5" applyNumberFormat="1" applyFont="1" applyFill="1" applyBorder="1" applyAlignment="1">
      <alignment horizontal="center" vertical="center"/>
    </xf>
    <xf numFmtId="3" fontId="11" fillId="4" borderId="9" xfId="5" applyNumberFormat="1" applyFont="1" applyFill="1" applyBorder="1" applyAlignment="1">
      <alignment horizontal="center" vertical="center"/>
    </xf>
    <xf numFmtId="166" fontId="11" fillId="4" borderId="11" xfId="2" applyNumberFormat="1" applyFont="1" applyFill="1" applyBorder="1" applyAlignment="1">
      <alignment horizontal="center" vertical="center"/>
    </xf>
    <xf numFmtId="166" fontId="11" fillId="4" borderId="12" xfId="2" applyNumberFormat="1" applyFont="1" applyFill="1" applyBorder="1" applyAlignment="1">
      <alignment horizontal="center" vertical="center"/>
    </xf>
    <xf numFmtId="166" fontId="4" fillId="3" borderId="3" xfId="2" applyNumberFormat="1" applyFont="1" applyFill="1" applyBorder="1" applyAlignment="1">
      <alignment horizontal="center" vertical="center"/>
    </xf>
    <xf numFmtId="166" fontId="4" fillId="3" borderId="0" xfId="2" applyNumberFormat="1" applyFont="1" applyFill="1" applyBorder="1" applyAlignment="1">
      <alignment horizontal="center" vertical="center"/>
    </xf>
    <xf numFmtId="166" fontId="4" fillId="3" borderId="13" xfId="2" applyNumberFormat="1" applyFont="1" applyFill="1" applyBorder="1" applyAlignment="1">
      <alignment horizontal="center" vertical="center"/>
    </xf>
    <xf numFmtId="166" fontId="4" fillId="3" borderId="8" xfId="2" applyNumberFormat="1" applyFont="1" applyFill="1" applyBorder="1" applyAlignment="1">
      <alignment horizontal="center" vertical="center"/>
    </xf>
    <xf numFmtId="166" fontId="4" fillId="3" borderId="14" xfId="2" applyNumberFormat="1" applyFont="1" applyFill="1" applyBorder="1" applyAlignment="1">
      <alignment horizontal="center" vertical="center"/>
    </xf>
    <xf numFmtId="166" fontId="4" fillId="3" borderId="6" xfId="2" applyNumberFormat="1" applyFont="1" applyFill="1" applyBorder="1" applyAlignment="1">
      <alignment horizontal="center" vertical="center"/>
    </xf>
    <xf numFmtId="166" fontId="4" fillId="3" borderId="15" xfId="2" applyNumberFormat="1" applyFont="1" applyFill="1" applyBorder="1" applyAlignment="1">
      <alignment horizontal="center" vertical="center"/>
    </xf>
    <xf numFmtId="166" fontId="4" fillId="0" borderId="0" xfId="2" applyNumberFormat="1" applyFont="1" applyFill="1" applyBorder="1" applyAlignment="1">
      <alignment horizontal="center" vertical="center"/>
    </xf>
    <xf numFmtId="166" fontId="4" fillId="0" borderId="6" xfId="2" applyNumberFormat="1" applyFont="1" applyFill="1" applyBorder="1" applyAlignment="1">
      <alignment horizontal="center" vertical="center"/>
    </xf>
    <xf numFmtId="3" fontId="4" fillId="0" borderId="1" xfId="5" applyNumberFormat="1" applyFont="1" applyFill="1" applyBorder="1" applyAlignment="1">
      <alignment horizontal="center" vertical="center"/>
    </xf>
    <xf numFmtId="3" fontId="4" fillId="0" borderId="2" xfId="5" applyNumberFormat="1" applyFont="1" applyFill="1" applyBorder="1" applyAlignment="1">
      <alignment horizontal="center" vertical="center"/>
    </xf>
    <xf numFmtId="166" fontId="4" fillId="0" borderId="3" xfId="2" applyNumberFormat="1" applyFont="1" applyFill="1" applyBorder="1" applyAlignment="1">
      <alignment horizontal="center" vertical="center"/>
    </xf>
    <xf numFmtId="166" fontId="4" fillId="0" borderId="13" xfId="2" applyNumberFormat="1" applyFont="1" applyFill="1" applyBorder="1" applyAlignment="1">
      <alignment horizontal="center" vertical="center"/>
    </xf>
    <xf numFmtId="166" fontId="4" fillId="0" borderId="8" xfId="2" applyNumberFormat="1" applyFont="1" applyFill="1" applyBorder="1" applyAlignment="1">
      <alignment horizontal="center" vertical="center"/>
    </xf>
    <xf numFmtId="166" fontId="4" fillId="0" borderId="14" xfId="2" applyNumberFormat="1" applyFont="1" applyFill="1" applyBorder="1" applyAlignment="1">
      <alignment horizontal="center" vertical="center"/>
    </xf>
    <xf numFmtId="10" fontId="4" fillId="0" borderId="14" xfId="2" applyNumberFormat="1" applyFont="1" applyFill="1" applyBorder="1" applyAlignment="1">
      <alignment horizontal="center" vertical="center"/>
    </xf>
    <xf numFmtId="166" fontId="4" fillId="0" borderId="15" xfId="2" applyNumberFormat="1" applyFont="1" applyFill="1" applyBorder="1" applyAlignment="1">
      <alignment horizontal="center" vertical="center"/>
    </xf>
    <xf numFmtId="3" fontId="11" fillId="4" borderId="0" xfId="5" applyNumberFormat="1" applyFont="1" applyFill="1" applyBorder="1" applyAlignment="1">
      <alignment horizontal="center" vertical="center"/>
    </xf>
    <xf numFmtId="166" fontId="11" fillId="4" borderId="0" xfId="2" applyNumberFormat="1" applyFont="1" applyFill="1" applyBorder="1" applyAlignment="1">
      <alignment horizontal="center" vertical="center"/>
    </xf>
    <xf numFmtId="10" fontId="4" fillId="3" borderId="14" xfId="2" applyNumberFormat="1" applyFont="1" applyFill="1" applyBorder="1" applyAlignment="1">
      <alignment horizontal="center" vertical="center"/>
    </xf>
    <xf numFmtId="3" fontId="4" fillId="3" borderId="4" xfId="5" applyNumberFormat="1" applyFont="1" applyFill="1" applyBorder="1" applyAlignment="1">
      <alignment horizontal="center" vertical="center"/>
    </xf>
    <xf numFmtId="3" fontId="4" fillId="3" borderId="5" xfId="5" applyNumberFormat="1" applyFont="1" applyFill="1" applyBorder="1" applyAlignment="1">
      <alignment horizontal="center" vertical="center"/>
    </xf>
    <xf numFmtId="3" fontId="4" fillId="0" borderId="4" xfId="5" applyNumberFormat="1" applyFont="1" applyBorder="1" applyAlignment="1">
      <alignment horizontal="center" vertical="center"/>
    </xf>
    <xf numFmtId="3" fontId="4" fillId="0" borderId="5" xfId="5" applyNumberFormat="1" applyFont="1" applyBorder="1" applyAlignment="1">
      <alignment horizontal="center" vertical="center"/>
    </xf>
    <xf numFmtId="3" fontId="4" fillId="3" borderId="9" xfId="5" applyNumberFormat="1" applyFont="1" applyFill="1" applyBorder="1" applyAlignment="1">
      <alignment horizontal="center" vertical="center"/>
    </xf>
    <xf numFmtId="3" fontId="4" fillId="3" borderId="10" xfId="5" applyNumberFormat="1" applyFont="1" applyFill="1" applyBorder="1" applyAlignment="1">
      <alignment horizontal="center" vertical="center"/>
    </xf>
    <xf numFmtId="166" fontId="4" fillId="3" borderId="11" xfId="2" applyNumberFormat="1" applyFont="1" applyFill="1" applyBorder="1" applyAlignment="1">
      <alignment horizontal="center" vertical="center"/>
    </xf>
    <xf numFmtId="166" fontId="4" fillId="3" borderId="12" xfId="2" applyNumberFormat="1" applyFont="1" applyFill="1" applyBorder="1" applyAlignment="1">
      <alignment horizontal="center" vertical="center"/>
    </xf>
    <xf numFmtId="3" fontId="4" fillId="0" borderId="7" xfId="5" applyNumberFormat="1" applyFont="1" applyBorder="1" applyAlignment="1">
      <alignment horizontal="center" vertical="center"/>
    </xf>
    <xf numFmtId="3" fontId="4" fillId="0" borderId="0" xfId="5" applyNumberFormat="1" applyFont="1" applyBorder="1" applyAlignment="1">
      <alignment horizontal="center" vertical="center"/>
    </xf>
    <xf numFmtId="3" fontId="15" fillId="0" borderId="7" xfId="5" applyNumberFormat="1" applyFont="1" applyFill="1" applyBorder="1" applyAlignment="1">
      <alignment horizontal="center" vertical="center"/>
    </xf>
    <xf numFmtId="3" fontId="11" fillId="4" borderId="1" xfId="5" applyNumberFormat="1" applyFont="1" applyFill="1" applyBorder="1" applyAlignment="1">
      <alignment horizontal="center" vertical="center"/>
    </xf>
    <xf numFmtId="3" fontId="4" fillId="3" borderId="1" xfId="2" applyNumberFormat="1" applyFont="1" applyFill="1" applyBorder="1" applyAlignment="1">
      <alignment horizontal="center" vertical="center"/>
    </xf>
    <xf numFmtId="3" fontId="4" fillId="3" borderId="0" xfId="2" applyNumberFormat="1" applyFont="1" applyFill="1" applyBorder="1" applyAlignment="1">
      <alignment horizontal="center" vertical="center"/>
    </xf>
    <xf numFmtId="166" fontId="4" fillId="3" borderId="2" xfId="2" applyNumberFormat="1" applyFont="1" applyFill="1" applyBorder="1" applyAlignment="1">
      <alignment horizontal="center" vertical="center"/>
    </xf>
    <xf numFmtId="3" fontId="4" fillId="3" borderId="7" xfId="2" applyNumberFormat="1" applyFont="1" applyFill="1" applyBorder="1" applyAlignment="1">
      <alignment horizontal="center" vertical="center"/>
    </xf>
    <xf numFmtId="164" fontId="4" fillId="3" borderId="7" xfId="2" applyNumberFormat="1" applyFont="1" applyFill="1" applyBorder="1" applyAlignment="1">
      <alignment horizontal="center" vertical="center"/>
    </xf>
    <xf numFmtId="164" fontId="4" fillId="3" borderId="0" xfId="2" applyNumberFormat="1" applyFont="1" applyFill="1" applyBorder="1" applyAlignment="1">
      <alignment horizontal="center" vertical="center"/>
    </xf>
    <xf numFmtId="164" fontId="4" fillId="3" borderId="4" xfId="2" applyNumberFormat="1" applyFont="1" applyFill="1" applyBorder="1" applyAlignment="1">
      <alignment horizontal="center" vertical="center"/>
    </xf>
    <xf numFmtId="166" fontId="4" fillId="3" borderId="5" xfId="2" applyNumberFormat="1" applyFont="1" applyFill="1" applyBorder="1" applyAlignment="1">
      <alignment horizontal="center" vertical="center"/>
    </xf>
    <xf numFmtId="3" fontId="11" fillId="4" borderId="4" xfId="5" applyNumberFormat="1" applyFont="1" applyFill="1" applyBorder="1" applyAlignment="1">
      <alignment horizontal="center" vertical="center"/>
    </xf>
    <xf numFmtId="3" fontId="4" fillId="3" borderId="2" xfId="2" applyNumberFormat="1" applyFont="1" applyFill="1" applyBorder="1" applyAlignment="1">
      <alignment horizontal="center" vertical="center"/>
    </xf>
    <xf numFmtId="166" fontId="34" fillId="3" borderId="0" xfId="2" applyNumberFormat="1" applyFont="1" applyFill="1" applyBorder="1" applyAlignment="1">
      <alignment horizontal="center" vertical="center"/>
    </xf>
    <xf numFmtId="4" fontId="4" fillId="3" borderId="0" xfId="2" applyNumberFormat="1" applyFont="1" applyFill="1" applyBorder="1" applyAlignment="1">
      <alignment horizontal="center" vertical="center"/>
    </xf>
    <xf numFmtId="3" fontId="4" fillId="3" borderId="4" xfId="2" applyNumberFormat="1" applyFont="1" applyFill="1" applyBorder="1" applyAlignment="1">
      <alignment horizontal="center" vertical="center"/>
    </xf>
    <xf numFmtId="3" fontId="4" fillId="3" borderId="5" xfId="2" applyNumberFormat="1" applyFont="1" applyFill="1" applyBorder="1" applyAlignment="1">
      <alignment horizontal="center" vertical="center"/>
    </xf>
    <xf numFmtId="10" fontId="11" fillId="4" borderId="11" xfId="2" applyNumberFormat="1" applyFont="1" applyFill="1" applyBorder="1" applyAlignment="1">
      <alignment horizontal="center" vertical="center"/>
    </xf>
    <xf numFmtId="10" fontId="11" fillId="4" borderId="12" xfId="2" applyNumberFormat="1" applyFont="1" applyFill="1" applyBorder="1" applyAlignment="1">
      <alignment horizontal="center" vertical="center"/>
    </xf>
    <xf numFmtId="0" fontId="0" fillId="0" borderId="0" xfId="0" applyAlignment="1">
      <alignment horizontal="center" vertical="center"/>
    </xf>
    <xf numFmtId="3" fontId="4" fillId="3" borderId="7" xfId="1" applyNumberFormat="1" applyFont="1" applyFill="1" applyBorder="1" applyAlignment="1">
      <alignment horizontal="center" vertical="center"/>
    </xf>
    <xf numFmtId="3" fontId="4" fillId="3" borderId="0" xfId="1" applyNumberFormat="1" applyFont="1" applyFill="1" applyBorder="1" applyAlignment="1">
      <alignment horizontal="center" vertical="center"/>
    </xf>
    <xf numFmtId="3" fontId="4" fillId="0" borderId="9" xfId="5" applyNumberFormat="1" applyFont="1" applyFill="1" applyBorder="1" applyAlignment="1">
      <alignment horizontal="center" vertical="center"/>
    </xf>
    <xf numFmtId="3" fontId="4" fillId="0" borderId="10" xfId="5" applyNumberFormat="1" applyFont="1" applyFill="1" applyBorder="1" applyAlignment="1">
      <alignment horizontal="center" vertical="center"/>
    </xf>
    <xf numFmtId="3" fontId="34" fillId="3" borderId="1" xfId="5" applyNumberFormat="1" applyFont="1" applyFill="1" applyBorder="1" applyAlignment="1">
      <alignment horizontal="center" vertical="center"/>
    </xf>
    <xf numFmtId="3" fontId="34" fillId="3" borderId="0" xfId="5" applyNumberFormat="1" applyFont="1" applyFill="1" applyBorder="1" applyAlignment="1">
      <alignment horizontal="center" vertical="center"/>
    </xf>
    <xf numFmtId="3" fontId="34" fillId="3" borderId="7" xfId="5" applyNumberFormat="1" applyFont="1" applyFill="1" applyBorder="1" applyAlignment="1">
      <alignment horizontal="center" vertical="center"/>
    </xf>
    <xf numFmtId="3" fontId="34" fillId="3" borderId="4" xfId="5" applyNumberFormat="1" applyFont="1" applyFill="1" applyBorder="1" applyAlignment="1">
      <alignment horizontal="center" vertical="center"/>
    </xf>
    <xf numFmtId="3" fontId="16" fillId="4" borderId="10" xfId="5" applyNumberFormat="1" applyFont="1" applyFill="1" applyBorder="1" applyAlignment="1">
      <alignment horizontal="center" vertical="center"/>
    </xf>
    <xf numFmtId="3" fontId="15" fillId="3" borderId="0" xfId="5" applyNumberFormat="1" applyFont="1" applyFill="1" applyBorder="1" applyAlignment="1">
      <alignment horizontal="center" vertical="center"/>
    </xf>
    <xf numFmtId="3" fontId="15" fillId="0" borderId="0" xfId="5" applyNumberFormat="1" applyFont="1" applyFill="1" applyBorder="1" applyAlignment="1">
      <alignment horizontal="center" vertical="center"/>
    </xf>
    <xf numFmtId="3" fontId="15" fillId="0" borderId="5" xfId="5" applyNumberFormat="1" applyFont="1" applyFill="1" applyBorder="1" applyAlignment="1">
      <alignment horizontal="center" vertical="center"/>
    </xf>
    <xf numFmtId="3" fontId="16" fillId="4" borderId="9" xfId="5" applyNumberFormat="1" applyFont="1" applyFill="1" applyBorder="1" applyAlignment="1">
      <alignment horizontal="center" vertical="center"/>
    </xf>
    <xf numFmtId="3" fontId="15" fillId="3" borderId="0" xfId="5" applyNumberFormat="1" applyFont="1" applyFill="1" applyAlignment="1">
      <alignment horizontal="center" vertical="center"/>
    </xf>
    <xf numFmtId="3" fontId="15" fillId="0" borderId="0" xfId="5" applyNumberFormat="1" applyFont="1" applyFill="1" applyAlignment="1">
      <alignment horizontal="center" vertical="center"/>
    </xf>
    <xf numFmtId="3" fontId="15" fillId="0" borderId="0" xfId="1" applyNumberFormat="1" applyFont="1" applyFill="1" applyBorder="1" applyAlignment="1">
      <alignment horizontal="center" vertical="center"/>
    </xf>
    <xf numFmtId="3" fontId="15" fillId="3" borderId="1" xfId="5" applyNumberFormat="1" applyFont="1" applyFill="1" applyBorder="1" applyAlignment="1">
      <alignment horizontal="center" vertical="center"/>
    </xf>
    <xf numFmtId="3" fontId="15" fillId="3" borderId="2" xfId="5" applyNumberFormat="1" applyFont="1" applyFill="1" applyBorder="1" applyAlignment="1">
      <alignment horizontal="center" vertical="center"/>
    </xf>
    <xf numFmtId="3" fontId="15" fillId="3" borderId="7" xfId="5" applyNumberFormat="1" applyFont="1" applyFill="1" applyBorder="1" applyAlignment="1">
      <alignment horizontal="center" vertical="center"/>
    </xf>
    <xf numFmtId="3" fontId="15" fillId="0" borderId="7" xfId="1" applyNumberFormat="1" applyFont="1" applyFill="1" applyBorder="1" applyAlignment="1">
      <alignment horizontal="center" vertical="center"/>
    </xf>
    <xf numFmtId="3" fontId="15" fillId="0" borderId="4" xfId="5" applyNumberFormat="1" applyFont="1" applyFill="1" applyBorder="1" applyAlignment="1">
      <alignment horizontal="center" vertical="center"/>
    </xf>
    <xf numFmtId="3" fontId="15" fillId="0" borderId="4" xfId="1" applyNumberFormat="1" applyFont="1" applyFill="1" applyBorder="1" applyAlignment="1">
      <alignment horizontal="center" vertical="center"/>
    </xf>
    <xf numFmtId="3" fontId="15" fillId="0" borderId="5" xfId="1" applyNumberFormat="1" applyFont="1" applyFill="1" applyBorder="1" applyAlignment="1">
      <alignment horizontal="center" vertical="center"/>
    </xf>
    <xf numFmtId="3" fontId="15" fillId="0" borderId="0" xfId="1" applyNumberFormat="1" applyFont="1" applyFill="1" applyAlignment="1">
      <alignment horizontal="center" vertical="center"/>
    </xf>
    <xf numFmtId="3" fontId="15" fillId="0" borderId="9" xfId="5" applyNumberFormat="1" applyFont="1" applyFill="1" applyBorder="1" applyAlignment="1">
      <alignment horizontal="center" vertical="center"/>
    </xf>
    <xf numFmtId="3" fontId="15" fillId="0" borderId="10" xfId="5" applyNumberFormat="1" applyFont="1" applyFill="1" applyBorder="1" applyAlignment="1">
      <alignment horizontal="center" vertical="center"/>
    </xf>
    <xf numFmtId="3" fontId="4" fillId="0" borderId="7" xfId="1" applyNumberFormat="1" applyFont="1" applyFill="1" applyBorder="1" applyAlignment="1">
      <alignment horizontal="center" vertical="center"/>
    </xf>
    <xf numFmtId="3" fontId="15" fillId="3" borderId="4" xfId="5" applyNumberFormat="1" applyFont="1" applyFill="1" applyBorder="1" applyAlignment="1">
      <alignment horizontal="center" vertical="center"/>
    </xf>
    <xf numFmtId="3" fontId="15" fillId="3" borderId="5" xfId="5" applyNumberFormat="1" applyFont="1" applyFill="1" applyBorder="1" applyAlignment="1">
      <alignment horizontal="center" vertical="center"/>
    </xf>
    <xf numFmtId="3" fontId="15" fillId="3" borderId="4" xfId="1" applyNumberFormat="1" applyFont="1" applyFill="1" applyBorder="1" applyAlignment="1">
      <alignment horizontal="center" vertical="center"/>
    </xf>
    <xf numFmtId="3" fontId="15" fillId="3" borderId="0" xfId="1" applyNumberFormat="1" applyFont="1" applyFill="1" applyBorder="1" applyAlignment="1">
      <alignment horizontal="center" vertical="center"/>
    </xf>
    <xf numFmtId="3" fontId="15" fillId="3" borderId="5" xfId="1" applyNumberFormat="1" applyFont="1" applyFill="1" applyBorder="1" applyAlignment="1">
      <alignment horizontal="center" vertical="center"/>
    </xf>
    <xf numFmtId="3" fontId="15" fillId="3" borderId="9" xfId="5" applyNumberFormat="1" applyFont="1" applyFill="1" applyBorder="1" applyAlignment="1">
      <alignment horizontal="center" vertical="center"/>
    </xf>
    <xf numFmtId="3" fontId="15" fillId="3" borderId="10" xfId="5" applyNumberFormat="1" applyFont="1" applyFill="1" applyBorder="1" applyAlignment="1">
      <alignment horizontal="center" vertical="center"/>
    </xf>
    <xf numFmtId="3" fontId="16" fillId="4" borderId="0" xfId="5" applyNumberFormat="1" applyFont="1" applyFill="1" applyBorder="1" applyAlignment="1">
      <alignment horizontal="center" vertical="center"/>
    </xf>
    <xf numFmtId="10" fontId="11" fillId="4" borderId="10" xfId="2" applyNumberFormat="1" applyFont="1" applyFill="1" applyBorder="1" applyAlignment="1">
      <alignment horizontal="center" vertical="center"/>
    </xf>
    <xf numFmtId="166" fontId="16" fillId="4" borderId="10" xfId="2" applyNumberFormat="1" applyFont="1" applyFill="1" applyBorder="1" applyAlignment="1">
      <alignment horizontal="center" vertical="center"/>
    </xf>
    <xf numFmtId="166" fontId="15" fillId="3" borderId="0" xfId="2" applyNumberFormat="1" applyFont="1" applyFill="1" applyBorder="1" applyAlignment="1">
      <alignment horizontal="center" vertical="center"/>
    </xf>
    <xf numFmtId="166" fontId="15" fillId="3" borderId="5" xfId="2" applyNumberFormat="1" applyFont="1" applyFill="1" applyBorder="1" applyAlignment="1">
      <alignment horizontal="center" vertical="center"/>
    </xf>
    <xf numFmtId="166" fontId="16" fillId="4" borderId="11" xfId="2" applyNumberFormat="1" applyFont="1" applyFill="1" applyBorder="1" applyAlignment="1">
      <alignment horizontal="center" vertical="center"/>
    </xf>
    <xf numFmtId="166" fontId="15" fillId="3" borderId="3" xfId="2" applyNumberFormat="1" applyFont="1" applyFill="1" applyBorder="1" applyAlignment="1">
      <alignment horizontal="center" vertical="center"/>
    </xf>
    <xf numFmtId="166" fontId="15" fillId="3" borderId="8" xfId="2" applyNumberFormat="1" applyFont="1" applyFill="1" applyBorder="1" applyAlignment="1">
      <alignment horizontal="center" vertical="center"/>
    </xf>
    <xf numFmtId="166" fontId="15" fillId="3" borderId="6" xfId="2" applyNumberFormat="1" applyFont="1" applyFill="1" applyBorder="1" applyAlignment="1">
      <alignment horizontal="center" vertical="center"/>
    </xf>
    <xf numFmtId="166" fontId="15" fillId="3" borderId="11" xfId="2" applyNumberFormat="1" applyFont="1" applyFill="1" applyBorder="1" applyAlignment="1">
      <alignment horizontal="center" vertical="center"/>
    </xf>
    <xf numFmtId="166" fontId="4" fillId="3" borderId="10" xfId="2" applyNumberFormat="1" applyFont="1" applyFill="1" applyBorder="1" applyAlignment="1">
      <alignment horizontal="center" vertical="center"/>
    </xf>
    <xf numFmtId="168" fontId="23" fillId="0" borderId="0" xfId="0" applyNumberFormat="1" applyFont="1" applyAlignment="1">
      <alignment horizontal="center" vertical="center"/>
    </xf>
    <xf numFmtId="10" fontId="16" fillId="4" borderId="11" xfId="2" applyNumberFormat="1" applyFont="1" applyFill="1" applyBorder="1" applyAlignment="1">
      <alignment horizontal="center" vertical="center"/>
    </xf>
    <xf numFmtId="166" fontId="16" fillId="4" borderId="0" xfId="2" applyNumberFormat="1" applyFont="1" applyFill="1" applyBorder="1" applyAlignment="1">
      <alignment horizontal="center" vertical="center"/>
    </xf>
    <xf numFmtId="10" fontId="15" fillId="3" borderId="8" xfId="2" applyNumberFormat="1" applyFont="1" applyFill="1" applyBorder="1" applyAlignment="1">
      <alignment horizontal="center" vertical="center"/>
    </xf>
    <xf numFmtId="10" fontId="15" fillId="3" borderId="6" xfId="2" applyNumberFormat="1" applyFont="1" applyFill="1" applyBorder="1" applyAlignment="1">
      <alignment horizontal="center" vertical="center"/>
    </xf>
    <xf numFmtId="166" fontId="16" fillId="4" borderId="12" xfId="2" applyNumberFormat="1" applyFont="1" applyFill="1" applyBorder="1" applyAlignment="1">
      <alignment horizontal="center" vertical="center"/>
    </xf>
    <xf numFmtId="166" fontId="15" fillId="3" borderId="13" xfId="2" applyNumberFormat="1" applyFont="1" applyFill="1" applyBorder="1" applyAlignment="1">
      <alignment horizontal="center" vertical="center"/>
    </xf>
    <xf numFmtId="166" fontId="15" fillId="3" borderId="14" xfId="2" applyNumberFormat="1" applyFont="1" applyFill="1" applyBorder="1" applyAlignment="1">
      <alignment horizontal="center" vertical="center"/>
    </xf>
    <xf numFmtId="10" fontId="15" fillId="3" borderId="14" xfId="2" applyNumberFormat="1" applyFont="1" applyFill="1" applyBorder="1" applyAlignment="1">
      <alignment horizontal="center" vertical="center"/>
    </xf>
    <xf numFmtId="169" fontId="15" fillId="3" borderId="15" xfId="2" applyNumberFormat="1" applyFont="1" applyFill="1" applyBorder="1" applyAlignment="1">
      <alignment horizontal="center" vertical="center"/>
    </xf>
    <xf numFmtId="170" fontId="15" fillId="3" borderId="14" xfId="2" applyNumberFormat="1" applyFont="1" applyFill="1" applyBorder="1" applyAlignment="1">
      <alignment horizontal="center" vertical="center"/>
    </xf>
    <xf numFmtId="166" fontId="15" fillId="3" borderId="15" xfId="2" applyNumberFormat="1" applyFont="1" applyFill="1" applyBorder="1" applyAlignment="1">
      <alignment horizontal="center" vertical="center"/>
    </xf>
    <xf numFmtId="166" fontId="15" fillId="3" borderId="12" xfId="2" applyNumberFormat="1" applyFont="1" applyFill="1" applyBorder="1" applyAlignment="1">
      <alignment horizontal="center" vertical="center"/>
    </xf>
    <xf numFmtId="164" fontId="4" fillId="0" borderId="5" xfId="5" applyNumberFormat="1" applyFont="1" applyFill="1" applyBorder="1" applyAlignment="1">
      <alignment horizontal="center" vertical="center"/>
    </xf>
    <xf numFmtId="4" fontId="4" fillId="0" borderId="5" xfId="5" applyNumberFormat="1" applyFont="1" applyFill="1" applyBorder="1" applyAlignment="1">
      <alignment horizontal="center" vertical="center"/>
    </xf>
    <xf numFmtId="4" fontId="4" fillId="0" borderId="4" xfId="5" applyNumberFormat="1" applyFont="1" applyFill="1" applyBorder="1" applyAlignment="1">
      <alignment horizontal="center" vertical="center"/>
    </xf>
    <xf numFmtId="0" fontId="4" fillId="3" borderId="9" xfId="0" applyFont="1" applyFill="1" applyBorder="1" applyAlignment="1">
      <alignment horizontal="left" vertical="center" wrapText="1"/>
    </xf>
    <xf numFmtId="0" fontId="4" fillId="3" borderId="10" xfId="0" applyFont="1" applyFill="1" applyBorder="1" applyAlignment="1">
      <alignment horizontal="left" vertical="center" wrapText="1"/>
    </xf>
    <xf numFmtId="0" fontId="4" fillId="3" borderId="11" xfId="0" applyFont="1" applyFill="1" applyBorder="1" applyAlignment="1">
      <alignment horizontal="left" vertical="center" wrapText="1"/>
    </xf>
    <xf numFmtId="0" fontId="3" fillId="2" borderId="0" xfId="3" applyFont="1" applyFill="1" applyAlignment="1">
      <alignment horizontal="center" vertical="center"/>
    </xf>
    <xf numFmtId="0" fontId="5" fillId="2" borderId="0" xfId="3" applyFont="1" applyFill="1" applyAlignment="1">
      <alignment horizontal="center" vertical="center"/>
    </xf>
    <xf numFmtId="0" fontId="3" fillId="2" borderId="0" xfId="3" applyFont="1" applyFill="1" applyAlignment="1">
      <alignment horizontal="left" vertical="center" wrapText="1"/>
    </xf>
    <xf numFmtId="0" fontId="7" fillId="0" borderId="7" xfId="3" applyFont="1" applyBorder="1" applyAlignment="1">
      <alignment horizontal="left" vertical="center" wrapText="1"/>
    </xf>
    <xf numFmtId="0" fontId="7" fillId="0" borderId="0" xfId="3" applyFont="1" applyAlignment="1">
      <alignment horizontal="left" vertical="center" wrapText="1"/>
    </xf>
    <xf numFmtId="0" fontId="7" fillId="0" borderId="8" xfId="3" applyFont="1" applyBorder="1" applyAlignment="1">
      <alignment horizontal="left" vertical="center" wrapText="1"/>
    </xf>
    <xf numFmtId="0" fontId="7" fillId="0" borderId="4" xfId="3" applyFont="1" applyBorder="1" applyAlignment="1">
      <alignment horizontal="left" vertical="center" wrapText="1"/>
    </xf>
    <xf numFmtId="0" fontId="7" fillId="0" borderId="5" xfId="3" applyFont="1" applyBorder="1" applyAlignment="1">
      <alignment horizontal="left" vertical="center" wrapText="1"/>
    </xf>
    <xf numFmtId="0" fontId="7" fillId="0" borderId="6" xfId="3" applyFont="1" applyBorder="1" applyAlignment="1">
      <alignment horizontal="left" vertical="center" wrapText="1"/>
    </xf>
    <xf numFmtId="0" fontId="24" fillId="0" borderId="0" xfId="0" applyFont="1" applyAlignment="1">
      <alignment horizontal="center" vertical="center" wrapText="1"/>
    </xf>
    <xf numFmtId="0" fontId="14" fillId="2" borderId="0" xfId="3" applyFont="1" applyFill="1" applyAlignment="1">
      <alignment horizontal="center" vertical="center"/>
    </xf>
    <xf numFmtId="3" fontId="11" fillId="4" borderId="9" xfId="4" applyNumberFormat="1" applyFont="1" applyFill="1" applyBorder="1" applyAlignment="1">
      <alignment horizontal="center" vertical="center" wrapText="1"/>
    </xf>
    <xf numFmtId="3" fontId="11" fillId="4" borderId="10" xfId="4" applyNumberFormat="1" applyFont="1" applyFill="1" applyBorder="1" applyAlignment="1">
      <alignment horizontal="center" vertical="center"/>
    </xf>
    <xf numFmtId="3" fontId="11" fillId="4" borderId="11" xfId="4" applyNumberFormat="1" applyFont="1" applyFill="1" applyBorder="1" applyAlignment="1">
      <alignment horizontal="center" vertical="center"/>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3" fontId="11" fillId="4" borderId="1" xfId="4" applyNumberFormat="1" applyFont="1" applyFill="1" applyBorder="1" applyAlignment="1">
      <alignment horizontal="center" vertical="center" wrapText="1"/>
    </xf>
    <xf numFmtId="3" fontId="11" fillId="4" borderId="2" xfId="4" applyNumberFormat="1" applyFont="1" applyFill="1" applyBorder="1" applyAlignment="1">
      <alignment horizontal="center" vertical="center"/>
    </xf>
  </cellXfs>
  <cellStyles count="6">
    <cellStyle name="Millares" xfId="1" builtinId="3"/>
    <cellStyle name="Millares 2 3" xfId="5" xr:uid="{91F79B58-C3C6-403F-A8E9-4300BB98F3CB}"/>
    <cellStyle name="Normal" xfId="0" builtinId="0"/>
    <cellStyle name="Normal 4 3" xfId="3" xr:uid="{D267B31E-527F-4464-A87D-B67EB82B966C}"/>
    <cellStyle name="Porcentaje" xfId="2" builtinId="5"/>
    <cellStyle name="TEXTO NORMAL" xfId="4" xr:uid="{EDAE4161-A78A-4A5B-A559-60E5C027FF5D}"/>
  </cellStyles>
  <dxfs count="1">
    <dxf>
      <fill>
        <patternFill patternType="none"/>
      </fill>
    </dxf>
  </dxfs>
  <tableStyles count="0" defaultTableStyle="TableStyleMedium2" defaultPivotStyle="PivotStyleLight16"/>
  <colors>
    <mruColors>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C00000">
                <a:alpha val="30196"/>
              </a:srgbClr>
            </a:solidFill>
          </c:spPr>
          <c:invertIfNegative val="0"/>
          <c:dPt>
            <c:idx val="7"/>
            <c:invertIfNegative val="0"/>
            <c:bubble3D val="0"/>
            <c:extLst>
              <c:ext xmlns:c16="http://schemas.microsoft.com/office/drawing/2014/chart" uri="{C3380CC4-5D6E-409C-BE32-E72D297353CC}">
                <c16:uniqueId val="{00000000-9898-4371-A9E4-B533EE1B1C1E}"/>
              </c:ext>
            </c:extLst>
          </c:dPt>
          <c:dPt>
            <c:idx val="9"/>
            <c:invertIfNegative val="0"/>
            <c:bubble3D val="0"/>
            <c:spPr>
              <a:solidFill>
                <a:srgbClr val="C00000"/>
              </a:solidFill>
            </c:spPr>
            <c:extLst>
              <c:ext xmlns:c16="http://schemas.microsoft.com/office/drawing/2014/chart" uri="{C3380CC4-5D6E-409C-BE32-E72D297353CC}">
                <c16:uniqueId val="{00000002-9898-4371-A9E4-B533EE1B1C1E}"/>
              </c:ext>
            </c:extLst>
          </c:dPt>
          <c:dLbls>
            <c:dLbl>
              <c:idx val="9"/>
              <c:spPr>
                <a:noFill/>
                <a:ln>
                  <a:noFill/>
                </a:ln>
                <a:effectLst/>
              </c:spPr>
              <c:txPr>
                <a:bodyPr/>
                <a:lstStyle/>
                <a:p>
                  <a:pPr>
                    <a:defRPr sz="1100" b="1"/>
                  </a:pPr>
                  <a:endParaRPr lang="es-PE"/>
                </a:p>
              </c:txPr>
              <c:dLblPos val="outEnd"/>
              <c:showLegendKey val="0"/>
              <c:showVal val="1"/>
              <c:showCatName val="0"/>
              <c:showSerName val="0"/>
              <c:showPercent val="0"/>
              <c:showBubbleSize val="0"/>
              <c:extLst>
                <c:ext xmlns:c16="http://schemas.microsoft.com/office/drawing/2014/chart" uri="{C3380CC4-5D6E-409C-BE32-E72D297353CC}">
                  <c16:uniqueId val="{00000002-9898-4371-A9E4-B533EE1B1C1E}"/>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'S01.C01'!$C$27:$C$36</c:f>
              <c:strCache>
                <c:ptCount val="10"/>
                <c:pt idx="0">
                  <c:v>2016</c:v>
                </c:pt>
                <c:pt idx="1">
                  <c:v>2017</c:v>
                </c:pt>
                <c:pt idx="2">
                  <c:v>2018</c:v>
                </c:pt>
                <c:pt idx="3">
                  <c:v>2019</c:v>
                </c:pt>
                <c:pt idx="4">
                  <c:v>2020</c:v>
                </c:pt>
                <c:pt idx="5">
                  <c:v>2021</c:v>
                </c:pt>
                <c:pt idx="6">
                  <c:v>2022</c:v>
                </c:pt>
                <c:pt idx="7">
                  <c:v>2023</c:v>
                </c:pt>
                <c:pt idx="8">
                  <c:v>2024</c:v>
                </c:pt>
                <c:pt idx="9">
                  <c:v>2025
(Ene-Jul)
(Jan-Jul)</c:v>
                </c:pt>
              </c:strCache>
            </c:strRef>
          </c:cat>
          <c:val>
            <c:numRef>
              <c:f>'S01.C01'!$Q$27:$Q$36</c:f>
              <c:numCache>
                <c:formatCode>#,##0</c:formatCode>
                <c:ptCount val="10"/>
                <c:pt idx="0">
                  <c:v>2352.9595047380653</c:v>
                </c:pt>
                <c:pt idx="1">
                  <c:v>2440.1811105834286</c:v>
                </c:pt>
                <c:pt idx="2">
                  <c:v>2416.8811002070697</c:v>
                </c:pt>
                <c:pt idx="3">
                  <c:v>2437.9253739027731</c:v>
                </c:pt>
                <c:pt idx="4">
                  <c:v>2150.1259121219628</c:v>
                </c:pt>
                <c:pt idx="5">
                  <c:v>2326.0353089323735</c:v>
                </c:pt>
                <c:pt idx="6">
                  <c:v>2445.2708303173977</c:v>
                </c:pt>
                <c:pt idx="7">
                  <c:v>2755.2443167853276</c:v>
                </c:pt>
                <c:pt idx="8">
                  <c:v>2736.2371072517262</c:v>
                </c:pt>
                <c:pt idx="9">
                  <c:v>1564.6662157766116</c:v>
                </c:pt>
              </c:numCache>
            </c:numRef>
          </c:val>
          <c:extLst>
            <c:ext xmlns:c16="http://schemas.microsoft.com/office/drawing/2014/chart" uri="{C3380CC4-5D6E-409C-BE32-E72D297353CC}">
              <c16:uniqueId val="{00000003-9898-4371-A9E4-B533EE1B1C1E}"/>
            </c:ext>
          </c:extLst>
        </c:ser>
        <c:dLbls>
          <c:dLblPos val="outEnd"/>
          <c:showLegendKey val="0"/>
          <c:showVal val="1"/>
          <c:showCatName val="0"/>
          <c:showSerName val="0"/>
          <c:showPercent val="0"/>
          <c:showBubbleSize val="0"/>
        </c:dLbls>
        <c:gapWidth val="150"/>
        <c:axId val="173291776"/>
        <c:axId val="173301760"/>
      </c:barChart>
      <c:catAx>
        <c:axId val="173291776"/>
        <c:scaling>
          <c:orientation val="minMax"/>
        </c:scaling>
        <c:delete val="0"/>
        <c:axPos val="b"/>
        <c:numFmt formatCode="General" sourceLinked="0"/>
        <c:majorTickMark val="out"/>
        <c:minorTickMark val="none"/>
        <c:tickLblPos val="nextTo"/>
        <c:crossAx val="173301760"/>
        <c:crosses val="autoZero"/>
        <c:auto val="1"/>
        <c:lblAlgn val="ctr"/>
        <c:lblOffset val="100"/>
        <c:noMultiLvlLbl val="0"/>
      </c:catAx>
      <c:valAx>
        <c:axId val="173301760"/>
        <c:scaling>
          <c:orientation val="minMax"/>
        </c:scaling>
        <c:delete val="0"/>
        <c:axPos val="l"/>
        <c:numFmt formatCode="#,##0" sourceLinked="1"/>
        <c:majorTickMark val="out"/>
        <c:minorTickMark val="none"/>
        <c:tickLblPos val="nextTo"/>
        <c:crossAx val="173291776"/>
        <c:crosses val="autoZero"/>
        <c:crossBetween val="between"/>
        <c:majorUnit val="1000"/>
      </c:valAx>
    </c:plotArea>
    <c:plotVisOnly val="1"/>
    <c:dispBlanksAs val="gap"/>
    <c:showDLblsOverMax val="0"/>
  </c:chart>
  <c:spPr>
    <a:ln>
      <a:noFill/>
    </a:ln>
  </c:spPr>
  <c:txPr>
    <a:bodyPr/>
    <a:lstStyle/>
    <a:p>
      <a:pPr>
        <a:defRPr>
          <a:latin typeface="+mj-lt"/>
        </a:defRPr>
      </a:pPr>
      <a:endParaRPr lang="es-PE"/>
    </a:p>
  </c:txPr>
  <c:printSettings>
    <c:headerFooter/>
    <c:pageMargins b="0.75" l="0.7" r="0.7" t="0.75" header="0.3" footer="0.3"/>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63207</xdr:colOff>
      <xdr:row>62</xdr:row>
      <xdr:rowOff>19050</xdr:rowOff>
    </xdr:from>
    <xdr:to>
      <xdr:col>15</xdr:col>
      <xdr:colOff>542924</xdr:colOff>
      <xdr:row>69</xdr:row>
      <xdr:rowOff>1</xdr:rowOff>
    </xdr:to>
    <xdr:graphicFrame macro="">
      <xdr:nvGraphicFramePr>
        <xdr:cNvPr id="2" name="2 Gráfico">
          <a:extLst>
            <a:ext uri="{FF2B5EF4-FFF2-40B4-BE49-F238E27FC236}">
              <a16:creationId xmlns:a16="http://schemas.microsoft.com/office/drawing/2014/main" id="{7A05BD03-B28A-43AA-BB20-4FA32B326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3D1A5-1E2C-4C4B-962C-18DF0D6A85A6}">
  <sheetPr>
    <tabColor rgb="FFC00000"/>
    <pageSetUpPr fitToPage="1"/>
  </sheetPr>
  <dimension ref="C3:AJ71"/>
  <sheetViews>
    <sheetView showGridLines="0" tabSelected="1" view="pageBreakPreview" zoomScaleNormal="100" zoomScaleSheetLayoutView="100" workbookViewId="0"/>
  </sheetViews>
  <sheetFormatPr baseColWidth="10" defaultColWidth="11.42578125" defaultRowHeight="12.75" x14ac:dyDescent="0.25"/>
  <cols>
    <col min="1" max="2" width="2.7109375" style="2" customWidth="1"/>
    <col min="3" max="3" width="12.85546875" style="47" customWidth="1"/>
    <col min="4" max="4" width="12.42578125" style="2" customWidth="1"/>
    <col min="5" max="5" width="13.28515625" style="2" bestFit="1" customWidth="1"/>
    <col min="6" max="16" width="12.42578125" style="2" customWidth="1"/>
    <col min="17" max="17" width="2.42578125" style="8" customWidth="1"/>
    <col min="18" max="18" width="11.42578125" style="2"/>
    <col min="19" max="19" width="12.42578125" style="2" bestFit="1" customWidth="1"/>
    <col min="20" max="20" width="14.42578125" style="2" bestFit="1" customWidth="1"/>
    <col min="21" max="22" width="12.42578125" style="2" bestFit="1" customWidth="1"/>
    <col min="23" max="23" width="11.5703125" style="2" bestFit="1" customWidth="1"/>
    <col min="24" max="24" width="13.42578125" style="2" bestFit="1" customWidth="1"/>
    <col min="25" max="26" width="11.5703125" style="2" bestFit="1" customWidth="1"/>
    <col min="27" max="27" width="11.42578125" style="2"/>
    <col min="28" max="28" width="11.5703125" style="2" bestFit="1" customWidth="1"/>
    <col min="29" max="29" width="13.42578125" style="2" bestFit="1" customWidth="1"/>
    <col min="30" max="32" width="11.5703125" style="2" bestFit="1" customWidth="1"/>
    <col min="33" max="33" width="12.42578125" style="2" bestFit="1" customWidth="1"/>
    <col min="34" max="35" width="11.5703125" style="2" bestFit="1" customWidth="1"/>
    <col min="36" max="16384" width="11.42578125" style="2"/>
  </cols>
  <sheetData>
    <row r="3" spans="3:17" ht="15.75" customHeight="1" x14ac:dyDescent="0.25">
      <c r="C3" s="252" t="s">
        <v>0</v>
      </c>
      <c r="D3" s="252"/>
      <c r="E3" s="252"/>
      <c r="F3" s="252"/>
      <c r="G3" s="252"/>
      <c r="H3" s="252"/>
      <c r="I3" s="252"/>
      <c r="J3" s="252"/>
      <c r="K3" s="252"/>
      <c r="L3" s="252"/>
      <c r="M3" s="252"/>
      <c r="N3" s="252"/>
      <c r="O3" s="252"/>
      <c r="P3" s="252"/>
      <c r="Q3" s="1"/>
    </row>
    <row r="4" spans="3:17" ht="14.25" customHeight="1" x14ac:dyDescent="0.25">
      <c r="C4" s="253" t="s">
        <v>1</v>
      </c>
      <c r="D4" s="253"/>
      <c r="E4" s="253"/>
      <c r="F4" s="253"/>
      <c r="G4" s="253"/>
      <c r="H4" s="253"/>
      <c r="I4" s="253"/>
      <c r="J4" s="253"/>
      <c r="K4" s="253"/>
      <c r="L4" s="253"/>
      <c r="M4" s="253"/>
      <c r="N4" s="253"/>
      <c r="O4" s="253"/>
      <c r="P4" s="253"/>
      <c r="Q4" s="3"/>
    </row>
    <row r="5" spans="3:17" ht="9" customHeight="1" x14ac:dyDescent="0.25">
      <c r="C5" s="4"/>
      <c r="D5" s="5"/>
      <c r="E5" s="5"/>
      <c r="F5" s="5"/>
      <c r="G5" s="5"/>
      <c r="H5" s="6"/>
      <c r="I5" s="7"/>
      <c r="J5" s="6"/>
      <c r="K5" s="5"/>
      <c r="L5" s="5"/>
      <c r="M5" s="5"/>
      <c r="N5" s="5"/>
      <c r="O5" s="5"/>
      <c r="P5" s="5"/>
    </row>
    <row r="6" spans="3:17" ht="14.45" customHeight="1" x14ac:dyDescent="0.25">
      <c r="C6" s="254" t="s">
        <v>2</v>
      </c>
      <c r="D6" s="254"/>
      <c r="E6" s="254"/>
      <c r="F6" s="254"/>
      <c r="G6" s="254"/>
      <c r="H6" s="254"/>
      <c r="I6" s="254"/>
      <c r="J6" s="254"/>
      <c r="K6" s="254"/>
      <c r="L6" s="9"/>
      <c r="M6" s="9"/>
      <c r="N6" s="9"/>
      <c r="O6" s="9"/>
      <c r="P6" s="9"/>
    </row>
    <row r="7" spans="3:17" ht="14.45" customHeight="1" x14ac:dyDescent="0.25">
      <c r="C7" s="10" t="s">
        <v>3</v>
      </c>
      <c r="D7" s="9"/>
      <c r="E7" s="9"/>
      <c r="F7" s="9"/>
      <c r="G7" s="9"/>
      <c r="H7" s="9"/>
      <c r="I7" s="9"/>
      <c r="J7" s="9"/>
      <c r="K7" s="9"/>
      <c r="L7" s="9"/>
      <c r="M7" s="9"/>
      <c r="N7" s="9"/>
      <c r="O7" s="9"/>
      <c r="P7" s="9"/>
    </row>
    <row r="8" spans="3:17" x14ac:dyDescent="0.25">
      <c r="C8" s="5"/>
      <c r="D8" s="5"/>
      <c r="E8" s="5"/>
      <c r="F8" s="5"/>
      <c r="G8" s="5"/>
      <c r="H8" s="5"/>
      <c r="I8" s="5"/>
      <c r="J8" s="5"/>
      <c r="K8" s="5"/>
      <c r="L8" s="5"/>
      <c r="M8" s="5"/>
      <c r="N8" s="5"/>
      <c r="O8" s="5"/>
      <c r="P8" s="5"/>
    </row>
    <row r="9" spans="3:17" s="15" customFormat="1" ht="29.25" customHeight="1" x14ac:dyDescent="0.25">
      <c r="C9" s="11" t="s">
        <v>4</v>
      </c>
      <c r="D9" s="12" t="s">
        <v>5</v>
      </c>
      <c r="E9" s="12" t="s">
        <v>6</v>
      </c>
      <c r="F9" s="12" t="s">
        <v>7</v>
      </c>
      <c r="G9" s="12" t="s">
        <v>8</v>
      </c>
      <c r="H9" s="12" t="s">
        <v>9</v>
      </c>
      <c r="I9" s="12" t="s">
        <v>10</v>
      </c>
      <c r="J9" s="12" t="s">
        <v>11</v>
      </c>
      <c r="K9" s="12" t="s">
        <v>12</v>
      </c>
      <c r="L9" s="12" t="s">
        <v>13</v>
      </c>
      <c r="M9" s="12" t="s">
        <v>14</v>
      </c>
      <c r="N9" s="12" t="s">
        <v>15</v>
      </c>
      <c r="O9" s="12" t="s">
        <v>16</v>
      </c>
      <c r="P9" s="13" t="s">
        <v>17</v>
      </c>
      <c r="Q9" s="14"/>
    </row>
    <row r="10" spans="3:17" ht="24" x14ac:dyDescent="0.25">
      <c r="C10" s="16"/>
      <c r="D10" s="17" t="s">
        <v>18</v>
      </c>
      <c r="E10" s="17" t="s">
        <v>19</v>
      </c>
      <c r="F10" s="17" t="s">
        <v>18</v>
      </c>
      <c r="G10" s="17" t="s">
        <v>20</v>
      </c>
      <c r="H10" s="17" t="s">
        <v>18</v>
      </c>
      <c r="I10" s="17" t="s">
        <v>18</v>
      </c>
      <c r="J10" s="17" t="s">
        <v>18</v>
      </c>
      <c r="K10" s="17" t="s">
        <v>18</v>
      </c>
      <c r="L10" s="17" t="s">
        <v>18</v>
      </c>
      <c r="M10" s="17" t="s">
        <v>18</v>
      </c>
      <c r="N10" s="17" t="s">
        <v>18</v>
      </c>
      <c r="O10" s="17" t="s">
        <v>18</v>
      </c>
      <c r="P10" s="18" t="s">
        <v>18</v>
      </c>
    </row>
    <row r="11" spans="3:17" x14ac:dyDescent="0.25">
      <c r="C11" s="19">
        <v>2000</v>
      </c>
      <c r="D11" s="20">
        <v>553924</v>
      </c>
      <c r="E11" s="20">
        <v>132585078.00000001</v>
      </c>
      <c r="F11" s="20">
        <v>910303</v>
      </c>
      <c r="G11" s="20">
        <v>2437706</v>
      </c>
      <c r="H11" s="20">
        <v>270576</v>
      </c>
      <c r="I11" s="20">
        <v>2812784.7804642497</v>
      </c>
      <c r="J11" s="20">
        <v>37410</v>
      </c>
      <c r="K11" s="20">
        <v>7193</v>
      </c>
      <c r="L11" s="20" t="s">
        <v>21</v>
      </c>
      <c r="M11" s="20" t="s">
        <v>21</v>
      </c>
      <c r="N11" s="20" t="s">
        <v>21</v>
      </c>
      <c r="O11" s="20" t="s">
        <v>21</v>
      </c>
      <c r="P11" s="21" t="s">
        <v>21</v>
      </c>
    </row>
    <row r="12" spans="3:17" x14ac:dyDescent="0.25">
      <c r="C12" s="19">
        <v>2001</v>
      </c>
      <c r="D12" s="20">
        <v>722355.34555900015</v>
      </c>
      <c r="E12" s="20">
        <v>138522109.261338</v>
      </c>
      <c r="F12" s="20">
        <v>1056629.375614</v>
      </c>
      <c r="G12" s="20">
        <v>2571113.7884550001</v>
      </c>
      <c r="H12" s="20">
        <v>289546.06610700005</v>
      </c>
      <c r="I12" s="20">
        <v>3038401.494655</v>
      </c>
      <c r="J12" s="20">
        <v>38182.076774000001</v>
      </c>
      <c r="K12" s="20">
        <v>9499.2289039999996</v>
      </c>
      <c r="L12" s="20" t="s">
        <v>21</v>
      </c>
      <c r="M12" s="20" t="s">
        <v>21</v>
      </c>
      <c r="N12" s="20" t="s">
        <v>21</v>
      </c>
      <c r="O12" s="20" t="s">
        <v>21</v>
      </c>
      <c r="P12" s="21" t="s">
        <v>21</v>
      </c>
    </row>
    <row r="13" spans="3:17" x14ac:dyDescent="0.25">
      <c r="C13" s="19">
        <v>2002</v>
      </c>
      <c r="D13" s="20">
        <v>844552.87496099994</v>
      </c>
      <c r="E13" s="20">
        <v>157529918.53579301</v>
      </c>
      <c r="F13" s="20">
        <v>1232996.9204689998</v>
      </c>
      <c r="G13" s="20">
        <v>2869638.9847490001</v>
      </c>
      <c r="H13" s="20">
        <v>305650.71951300005</v>
      </c>
      <c r="I13" s="20">
        <v>3056055.2522</v>
      </c>
      <c r="J13" s="20">
        <v>38815.044966000001</v>
      </c>
      <c r="K13" s="20">
        <v>8612.8507310000005</v>
      </c>
      <c r="L13" s="20" t="s">
        <v>21</v>
      </c>
      <c r="M13" s="20" t="s">
        <v>21</v>
      </c>
      <c r="N13" s="20" t="s">
        <v>21</v>
      </c>
      <c r="O13" s="20" t="s">
        <v>21</v>
      </c>
      <c r="P13" s="21" t="s">
        <v>21</v>
      </c>
    </row>
    <row r="14" spans="3:17" x14ac:dyDescent="0.25">
      <c r="C14" s="19">
        <v>2003</v>
      </c>
      <c r="D14" s="20">
        <v>842605.07863000024</v>
      </c>
      <c r="E14" s="20">
        <v>172624629.84419996</v>
      </c>
      <c r="F14" s="20">
        <v>1373792.267121</v>
      </c>
      <c r="G14" s="20">
        <v>2923686.4022500003</v>
      </c>
      <c r="H14" s="20">
        <v>309163.88219000009</v>
      </c>
      <c r="I14" s="20">
        <v>3484900.3702520002</v>
      </c>
      <c r="J14" s="20">
        <v>40202.178839999993</v>
      </c>
      <c r="K14" s="20">
        <v>9589.5781260000003</v>
      </c>
      <c r="L14" s="20" t="s">
        <v>21</v>
      </c>
      <c r="M14" s="20" t="s">
        <v>21</v>
      </c>
      <c r="N14" s="20" t="s">
        <v>21</v>
      </c>
      <c r="O14" s="20" t="s">
        <v>21</v>
      </c>
      <c r="P14" s="21" t="s">
        <v>21</v>
      </c>
    </row>
    <row r="15" spans="3:17" x14ac:dyDescent="0.25">
      <c r="C15" s="19">
        <v>2004</v>
      </c>
      <c r="D15" s="20">
        <v>1035574.04973</v>
      </c>
      <c r="E15" s="20">
        <v>173223817.38585296</v>
      </c>
      <c r="F15" s="20">
        <v>1209005.7091610003</v>
      </c>
      <c r="G15" s="20">
        <v>3059961.8968920005</v>
      </c>
      <c r="H15" s="20">
        <v>306210.77793799998</v>
      </c>
      <c r="I15" s="20">
        <v>4247173.7726000007</v>
      </c>
      <c r="J15" s="20">
        <v>41613.363517999998</v>
      </c>
      <c r="K15" s="20">
        <v>14246.326868</v>
      </c>
      <c r="L15" s="20" t="s">
        <v>21</v>
      </c>
      <c r="M15" s="20" t="s">
        <v>21</v>
      </c>
      <c r="N15" s="20" t="s">
        <v>21</v>
      </c>
      <c r="O15" s="20" t="s">
        <v>21</v>
      </c>
      <c r="P15" s="21" t="s">
        <v>21</v>
      </c>
    </row>
    <row r="16" spans="3:17" x14ac:dyDescent="0.25">
      <c r="C16" s="19">
        <v>2005</v>
      </c>
      <c r="D16" s="20">
        <v>1009897.918423</v>
      </c>
      <c r="E16" s="20">
        <v>208001717.81876829</v>
      </c>
      <c r="F16" s="20">
        <v>1201670.9143999997</v>
      </c>
      <c r="G16" s="20">
        <v>3193145.5305729993</v>
      </c>
      <c r="H16" s="20">
        <v>319344.80289899989</v>
      </c>
      <c r="I16" s="20">
        <v>4564989.1370999999</v>
      </c>
      <c r="J16" s="20">
        <v>42144.586211000002</v>
      </c>
      <c r="K16" s="20">
        <v>17325.373315000004</v>
      </c>
      <c r="L16" s="20" t="s">
        <v>21</v>
      </c>
      <c r="M16" s="20" t="s">
        <v>21</v>
      </c>
      <c r="N16" s="20" t="s">
        <v>21</v>
      </c>
      <c r="O16" s="20" t="s">
        <v>21</v>
      </c>
      <c r="P16" s="21" t="s">
        <v>21</v>
      </c>
    </row>
    <row r="17" spans="3:36" x14ac:dyDescent="0.25">
      <c r="C17" s="19">
        <v>2006</v>
      </c>
      <c r="D17" s="20">
        <v>1048472.4635900002</v>
      </c>
      <c r="E17" s="20">
        <v>202825998.65453294</v>
      </c>
      <c r="F17" s="20">
        <v>1203364.0679980002</v>
      </c>
      <c r="G17" s="20">
        <v>3470661.2430209992</v>
      </c>
      <c r="H17" s="20">
        <v>313332.28608800005</v>
      </c>
      <c r="I17" s="20">
        <v>4784600.5820000004</v>
      </c>
      <c r="J17" s="20">
        <v>38469.547186000011</v>
      </c>
      <c r="K17" s="20">
        <v>17209.346067999999</v>
      </c>
      <c r="L17" s="20" t="s">
        <v>21</v>
      </c>
      <c r="M17" s="20" t="s">
        <v>21</v>
      </c>
      <c r="N17" s="20" t="s">
        <v>21</v>
      </c>
      <c r="O17" s="20" t="s">
        <v>21</v>
      </c>
      <c r="P17" s="21" t="s">
        <v>21</v>
      </c>
    </row>
    <row r="18" spans="3:36" x14ac:dyDescent="0.25">
      <c r="C18" s="19">
        <v>2007</v>
      </c>
      <c r="D18" s="20">
        <v>1190273.6039159999</v>
      </c>
      <c r="E18" s="20">
        <v>170127538.95581597</v>
      </c>
      <c r="F18" s="20">
        <v>1444361.4378260002</v>
      </c>
      <c r="G18" s="20">
        <v>3501461.9256330007</v>
      </c>
      <c r="H18" s="20">
        <v>329164.77903499996</v>
      </c>
      <c r="I18" s="20">
        <v>5103597.2635999992</v>
      </c>
      <c r="J18" s="20">
        <v>39018.915689000001</v>
      </c>
      <c r="K18" s="20">
        <v>16786.886077000003</v>
      </c>
      <c r="L18" s="20" t="s">
        <v>21</v>
      </c>
      <c r="M18" s="20" t="s">
        <v>21</v>
      </c>
      <c r="N18" s="20" t="s">
        <v>21</v>
      </c>
      <c r="O18" s="20" t="s">
        <v>21</v>
      </c>
      <c r="P18" s="21" t="s">
        <v>21</v>
      </c>
    </row>
    <row r="19" spans="3:36" x14ac:dyDescent="0.25">
      <c r="C19" s="19">
        <v>2008</v>
      </c>
      <c r="D19" s="20">
        <v>1267866.5800789997</v>
      </c>
      <c r="E19" s="20">
        <v>179870472.99560794</v>
      </c>
      <c r="F19" s="20">
        <v>1602597.0080210003</v>
      </c>
      <c r="G19" s="20">
        <v>3685931.0012759985</v>
      </c>
      <c r="H19" s="20">
        <v>345109.27027199999</v>
      </c>
      <c r="I19" s="20">
        <v>5160707.0164000001</v>
      </c>
      <c r="J19" s="20">
        <v>39037.065935000006</v>
      </c>
      <c r="K19" s="20">
        <v>16720.528117000002</v>
      </c>
      <c r="L19" s="20" t="s">
        <v>21</v>
      </c>
      <c r="M19" s="20" t="s">
        <v>21</v>
      </c>
      <c r="N19" s="20" t="s">
        <v>21</v>
      </c>
      <c r="O19" s="20" t="s">
        <v>21</v>
      </c>
      <c r="P19" s="21" t="s">
        <v>21</v>
      </c>
    </row>
    <row r="20" spans="3:36" x14ac:dyDescent="0.25">
      <c r="C20" s="19">
        <v>2009</v>
      </c>
      <c r="D20" s="20">
        <v>1276249.2028349997</v>
      </c>
      <c r="E20" s="20">
        <v>183994691.50778204</v>
      </c>
      <c r="F20" s="20">
        <v>1512931.0674320005</v>
      </c>
      <c r="G20" s="20">
        <v>3922708.3963299985</v>
      </c>
      <c r="H20" s="20">
        <v>302459.11290999997</v>
      </c>
      <c r="I20" s="20">
        <v>4418768.325600001</v>
      </c>
      <c r="J20" s="20">
        <v>37502.627191</v>
      </c>
      <c r="K20" s="20">
        <v>12297.103142</v>
      </c>
      <c r="L20" s="20" t="s">
        <v>21</v>
      </c>
      <c r="M20" s="20" t="s">
        <v>21</v>
      </c>
      <c r="N20" s="20" t="s">
        <v>21</v>
      </c>
      <c r="O20" s="20" t="s">
        <v>21</v>
      </c>
      <c r="P20" s="21" t="s">
        <v>21</v>
      </c>
    </row>
    <row r="21" spans="3:36" x14ac:dyDescent="0.25">
      <c r="C21" s="19">
        <v>2010</v>
      </c>
      <c r="D21" s="20">
        <v>1247184.0293920001</v>
      </c>
      <c r="E21" s="20">
        <v>164084388.90122896</v>
      </c>
      <c r="F21" s="20">
        <v>1470449.7064990005</v>
      </c>
      <c r="G21" s="20">
        <v>3640465.4641499999</v>
      </c>
      <c r="H21" s="20">
        <v>261989.60579399997</v>
      </c>
      <c r="I21" s="20">
        <v>6042644.2223000005</v>
      </c>
      <c r="J21" s="20">
        <v>33847.813441999999</v>
      </c>
      <c r="K21" s="20">
        <v>16963.268973000002</v>
      </c>
      <c r="L21" s="20" t="s">
        <v>21</v>
      </c>
      <c r="M21" s="20" t="s">
        <v>21</v>
      </c>
      <c r="N21" s="20" t="s">
        <v>21</v>
      </c>
      <c r="O21" s="20" t="s">
        <v>21</v>
      </c>
      <c r="P21" s="21" t="s">
        <v>21</v>
      </c>
    </row>
    <row r="22" spans="3:36" x14ac:dyDescent="0.25">
      <c r="C22" s="19">
        <v>2011</v>
      </c>
      <c r="D22" s="20">
        <v>1235345.068018001</v>
      </c>
      <c r="E22" s="20">
        <v>166186716.98165271</v>
      </c>
      <c r="F22" s="20">
        <v>1256382.6002109998</v>
      </c>
      <c r="G22" s="20">
        <v>3418862.1174220056</v>
      </c>
      <c r="H22" s="20">
        <v>230199.08238500016</v>
      </c>
      <c r="I22" s="20">
        <v>7010937.8915999997</v>
      </c>
      <c r="J22" s="20">
        <v>28881.790965999993</v>
      </c>
      <c r="K22" s="20">
        <v>19141.078052000001</v>
      </c>
      <c r="L22" s="20" t="s">
        <v>21</v>
      </c>
      <c r="M22" s="20" t="s">
        <v>21</v>
      </c>
      <c r="N22" s="20" t="s">
        <v>21</v>
      </c>
      <c r="O22" s="20" t="s">
        <v>21</v>
      </c>
      <c r="P22" s="21" t="s">
        <v>21</v>
      </c>
      <c r="Q22" s="22">
        <f t="shared" ref="Q22:Q36" si="0">D22/1000</f>
        <v>1235.345068018001</v>
      </c>
      <c r="AB22" s="23"/>
      <c r="AC22" s="23"/>
      <c r="AD22" s="23"/>
      <c r="AE22" s="23"/>
      <c r="AF22" s="23"/>
      <c r="AG22" s="23"/>
      <c r="AH22" s="23"/>
      <c r="AI22" s="23"/>
      <c r="AJ22" s="24"/>
    </row>
    <row r="23" spans="3:36" x14ac:dyDescent="0.25">
      <c r="C23" s="19">
        <v>2012</v>
      </c>
      <c r="D23" s="20">
        <v>1289916.9346156276</v>
      </c>
      <c r="E23" s="20">
        <v>153780960.26084191</v>
      </c>
      <c r="F23" s="20">
        <v>1281282.431485241</v>
      </c>
      <c r="G23" s="20">
        <v>3452004.3609873233</v>
      </c>
      <c r="H23" s="20">
        <v>249236.15747171015</v>
      </c>
      <c r="I23" s="20">
        <v>6684539.3918000003</v>
      </c>
      <c r="J23" s="20">
        <v>26104.854505400006</v>
      </c>
      <c r="K23" s="20">
        <v>16790.374244900002</v>
      </c>
      <c r="L23" s="20" t="s">
        <v>21</v>
      </c>
      <c r="M23" s="20" t="s">
        <v>21</v>
      </c>
      <c r="N23" s="20" t="s">
        <v>21</v>
      </c>
      <c r="O23" s="20" t="s">
        <v>21</v>
      </c>
      <c r="P23" s="21" t="s">
        <v>21</v>
      </c>
      <c r="Q23" s="22">
        <f t="shared" si="0"/>
        <v>1289.9169346156277</v>
      </c>
      <c r="R23" s="24"/>
      <c r="AB23" s="23"/>
      <c r="AC23" s="23"/>
      <c r="AD23" s="23"/>
      <c r="AE23" s="23"/>
      <c r="AF23" s="23"/>
      <c r="AG23" s="23"/>
      <c r="AH23" s="23"/>
      <c r="AI23" s="23"/>
    </row>
    <row r="24" spans="3:36" x14ac:dyDescent="0.25">
      <c r="C24" s="19">
        <v>2013</v>
      </c>
      <c r="D24" s="20">
        <v>1363452.9126998207</v>
      </c>
      <c r="E24" s="20">
        <v>143716837.41998193</v>
      </c>
      <c r="F24" s="20">
        <v>1351048.7423302194</v>
      </c>
      <c r="G24" s="20">
        <v>3648503.3400407191</v>
      </c>
      <c r="H24" s="20">
        <v>266312.71547875</v>
      </c>
      <c r="I24" s="20">
        <v>6680658.79</v>
      </c>
      <c r="J24" s="20">
        <v>23667.787451500008</v>
      </c>
      <c r="K24" s="20">
        <v>18139.597244000001</v>
      </c>
      <c r="L24" s="20" t="s">
        <v>21</v>
      </c>
      <c r="M24" s="20" t="s">
        <v>21</v>
      </c>
      <c r="N24" s="20" t="s">
        <v>21</v>
      </c>
      <c r="O24" s="20" t="s">
        <v>21</v>
      </c>
      <c r="P24" s="21" t="s">
        <v>21</v>
      </c>
      <c r="Q24" s="22">
        <f t="shared" si="0"/>
        <v>1363.4529126998207</v>
      </c>
      <c r="R24" s="24"/>
      <c r="AB24" s="23"/>
      <c r="AC24" s="23"/>
      <c r="AD24" s="23"/>
      <c r="AE24" s="23"/>
      <c r="AF24" s="23"/>
      <c r="AG24" s="23"/>
      <c r="AH24" s="23"/>
      <c r="AI24" s="23"/>
    </row>
    <row r="25" spans="3:36" x14ac:dyDescent="0.25">
      <c r="C25" s="19">
        <v>2014</v>
      </c>
      <c r="D25" s="20">
        <v>1377373.7760182077</v>
      </c>
      <c r="E25" s="20">
        <v>129946243.44281495</v>
      </c>
      <c r="F25" s="20">
        <v>1315221.0230463955</v>
      </c>
      <c r="G25" s="20">
        <v>3738279.9180184668</v>
      </c>
      <c r="H25" s="20">
        <v>277116.52714844397</v>
      </c>
      <c r="I25" s="20">
        <v>7192591.9308000002</v>
      </c>
      <c r="J25" s="20">
        <v>23105.261867800007</v>
      </c>
      <c r="K25" s="20">
        <v>17017.692464999996</v>
      </c>
      <c r="L25" s="20" t="s">
        <v>21</v>
      </c>
      <c r="M25" s="20" t="s">
        <v>21</v>
      </c>
      <c r="N25" s="20" t="s">
        <v>21</v>
      </c>
      <c r="O25" s="20" t="s">
        <v>21</v>
      </c>
      <c r="P25" s="21" t="s">
        <v>21</v>
      </c>
      <c r="Q25" s="22">
        <f t="shared" si="0"/>
        <v>1377.3737760182078</v>
      </c>
      <c r="R25" s="24"/>
      <c r="AB25" s="23"/>
      <c r="AC25" s="23"/>
      <c r="AD25" s="23"/>
      <c r="AE25" s="23"/>
      <c r="AF25" s="23"/>
      <c r="AG25" s="23"/>
      <c r="AH25" s="23"/>
      <c r="AI25" s="23"/>
    </row>
    <row r="26" spans="3:36" x14ac:dyDescent="0.25">
      <c r="C26" s="19">
        <v>2015</v>
      </c>
      <c r="D26" s="20">
        <v>1699939.7432781935</v>
      </c>
      <c r="E26" s="20">
        <v>137378305.7952458</v>
      </c>
      <c r="F26" s="20">
        <v>1415823.5863843861</v>
      </c>
      <c r="G26" s="20">
        <v>4071094.9244271382</v>
      </c>
      <c r="H26" s="20">
        <v>314011.10750861233</v>
      </c>
      <c r="I26" s="20">
        <v>7320806.8477000007</v>
      </c>
      <c r="J26" s="20">
        <v>19510.729779199999</v>
      </c>
      <c r="K26" s="20">
        <v>20153.237616000009</v>
      </c>
      <c r="L26" s="20" t="s">
        <v>21</v>
      </c>
      <c r="M26" s="20" t="s">
        <v>21</v>
      </c>
      <c r="N26" s="20" t="s">
        <v>21</v>
      </c>
      <c r="O26" s="20" t="s">
        <v>21</v>
      </c>
      <c r="P26" s="21" t="s">
        <v>21</v>
      </c>
      <c r="Q26" s="22">
        <f t="shared" si="0"/>
        <v>1699.9397432781934</v>
      </c>
      <c r="R26" s="24"/>
      <c r="AB26" s="23"/>
      <c r="AC26" s="23"/>
      <c r="AD26" s="23"/>
      <c r="AE26" s="23"/>
      <c r="AF26" s="23"/>
      <c r="AG26" s="23"/>
      <c r="AH26" s="23"/>
      <c r="AI26" s="23"/>
    </row>
    <row r="27" spans="3:36" x14ac:dyDescent="0.25">
      <c r="C27" s="19">
        <v>2016</v>
      </c>
      <c r="D27" s="20">
        <v>2352959.5047380654</v>
      </c>
      <c r="E27" s="20">
        <v>142230636.69316867</v>
      </c>
      <c r="F27" s="20">
        <v>1329178.0227656392</v>
      </c>
      <c r="G27" s="20">
        <v>4329179.7629066529</v>
      </c>
      <c r="H27" s="20">
        <v>312806.40109176951</v>
      </c>
      <c r="I27" s="20">
        <v>7663123.9877000004</v>
      </c>
      <c r="J27" s="20">
        <v>18789.0047614</v>
      </c>
      <c r="K27" s="20">
        <v>25756.505005499999</v>
      </c>
      <c r="L27" s="20">
        <v>23251.82108854</v>
      </c>
      <c r="M27" s="20">
        <v>187.59719447999996</v>
      </c>
      <c r="N27" s="20" t="s">
        <v>21</v>
      </c>
      <c r="O27" s="20">
        <v>1194.0643193499998</v>
      </c>
      <c r="P27" s="21" t="s">
        <v>21</v>
      </c>
      <c r="Q27" s="22">
        <f t="shared" si="0"/>
        <v>2352.9595047380653</v>
      </c>
      <c r="R27" s="24"/>
      <c r="AB27" s="23"/>
      <c r="AC27" s="23"/>
      <c r="AD27" s="23"/>
      <c r="AE27" s="23"/>
      <c r="AF27" s="23"/>
      <c r="AG27" s="23"/>
      <c r="AH27" s="23"/>
      <c r="AI27" s="23"/>
    </row>
    <row r="28" spans="3:36" x14ac:dyDescent="0.25">
      <c r="C28" s="19">
        <v>2017</v>
      </c>
      <c r="D28" s="20">
        <v>2440181.1105834288</v>
      </c>
      <c r="E28" s="20">
        <v>138425832.76156646</v>
      </c>
      <c r="F28" s="20">
        <v>1466521.468671351</v>
      </c>
      <c r="G28" s="20">
        <v>4318324.2784375055</v>
      </c>
      <c r="H28" s="20">
        <v>305279.59941443987</v>
      </c>
      <c r="I28" s="20">
        <v>8668091.618999999</v>
      </c>
      <c r="J28" s="20">
        <v>17790.363566100001</v>
      </c>
      <c r="K28" s="20">
        <v>28141.125214199987</v>
      </c>
      <c r="L28" s="20">
        <v>22403.407244680002</v>
      </c>
      <c r="M28" s="20">
        <v>123.17674860000001</v>
      </c>
      <c r="N28" s="20" t="s">
        <v>21</v>
      </c>
      <c r="O28" s="20">
        <v>1133.2781170000001</v>
      </c>
      <c r="P28" s="21" t="s">
        <v>21</v>
      </c>
      <c r="Q28" s="22">
        <f t="shared" si="0"/>
        <v>2440.1811105834286</v>
      </c>
      <c r="R28" s="24"/>
      <c r="AB28" s="23"/>
      <c r="AC28" s="23"/>
      <c r="AD28" s="23"/>
      <c r="AE28" s="23"/>
      <c r="AF28" s="23"/>
      <c r="AG28" s="23"/>
      <c r="AH28" s="23"/>
      <c r="AI28" s="23"/>
    </row>
    <row r="29" spans="3:36" ht="12" customHeight="1" x14ac:dyDescent="0.25">
      <c r="C29" s="19">
        <v>2018</v>
      </c>
      <c r="D29" s="20">
        <v>2416881.1002070699</v>
      </c>
      <c r="E29" s="20">
        <v>125933914.4370804</v>
      </c>
      <c r="F29" s="20">
        <v>1471845.936649523</v>
      </c>
      <c r="G29" s="20">
        <v>3999990.1319625694</v>
      </c>
      <c r="H29" s="20">
        <v>288796.22529555805</v>
      </c>
      <c r="I29" s="20">
        <v>9096993.8719999995</v>
      </c>
      <c r="J29" s="20">
        <v>18601.344508400005</v>
      </c>
      <c r="K29" s="20">
        <v>27604.218841510006</v>
      </c>
      <c r="L29" s="20">
        <v>20407.598393799999</v>
      </c>
      <c r="M29" s="20">
        <v>145.236144</v>
      </c>
      <c r="N29" s="20" t="s">
        <v>21</v>
      </c>
      <c r="O29" s="20">
        <v>20879.636489500001</v>
      </c>
      <c r="P29" s="21" t="s">
        <v>21</v>
      </c>
      <c r="Q29" s="22">
        <f t="shared" si="0"/>
        <v>2416.8811002070697</v>
      </c>
      <c r="R29" s="24"/>
      <c r="AB29" s="23"/>
      <c r="AC29" s="23"/>
      <c r="AD29" s="23"/>
      <c r="AE29" s="23"/>
      <c r="AF29" s="23"/>
      <c r="AG29" s="23"/>
      <c r="AH29" s="23"/>
      <c r="AI29" s="23"/>
    </row>
    <row r="30" spans="3:36" x14ac:dyDescent="0.25">
      <c r="C30" s="19">
        <v>2019</v>
      </c>
      <c r="D30" s="20">
        <v>2437925.373902773</v>
      </c>
      <c r="E30" s="20">
        <v>113586028.97131993</v>
      </c>
      <c r="F30" s="20">
        <v>1382753.4838439696</v>
      </c>
      <c r="G30" s="20">
        <v>3706760.2491151234</v>
      </c>
      <c r="H30" s="20">
        <v>307020.88310454384</v>
      </c>
      <c r="I30" s="20">
        <v>9666411.8718999997</v>
      </c>
      <c r="J30" s="20">
        <v>19853.168399999995</v>
      </c>
      <c r="K30" s="20">
        <v>30441.359039579998</v>
      </c>
      <c r="L30" s="20">
        <v>24914.734069159997</v>
      </c>
      <c r="M30" s="20">
        <v>72.514848099999995</v>
      </c>
      <c r="N30" s="20" t="s">
        <v>21</v>
      </c>
      <c r="O30" s="20">
        <v>18814.2028421</v>
      </c>
      <c r="P30" s="21" t="s">
        <v>21</v>
      </c>
      <c r="Q30" s="22">
        <f t="shared" si="0"/>
        <v>2437.9253739027731</v>
      </c>
      <c r="R30" s="24"/>
      <c r="AB30" s="23"/>
      <c r="AC30" s="23"/>
      <c r="AD30" s="23"/>
      <c r="AE30" s="23"/>
      <c r="AF30" s="23"/>
      <c r="AG30" s="23"/>
      <c r="AH30" s="23"/>
      <c r="AI30" s="23"/>
    </row>
    <row r="31" spans="3:36" x14ac:dyDescent="0.25">
      <c r="C31" s="19">
        <v>2020</v>
      </c>
      <c r="D31" s="20">
        <v>2150125.9121219628</v>
      </c>
      <c r="E31" s="20">
        <v>85368457.367976174</v>
      </c>
      <c r="F31" s="20">
        <v>1334570.4777680759</v>
      </c>
      <c r="G31" s="20">
        <v>2721461.1368655483</v>
      </c>
      <c r="H31" s="20">
        <v>241547.91303967001</v>
      </c>
      <c r="I31" s="20">
        <v>8893971.5276180003</v>
      </c>
      <c r="J31" s="20">
        <v>20646.581029499997</v>
      </c>
      <c r="K31" s="20">
        <v>32184.625879069805</v>
      </c>
      <c r="L31" s="20">
        <v>19013.894022044497</v>
      </c>
      <c r="M31" s="20">
        <v>73.906293489500015</v>
      </c>
      <c r="N31" s="20">
        <v>235.52044689999997</v>
      </c>
      <c r="O31" s="20">
        <v>10119.873510295998</v>
      </c>
      <c r="P31" s="21" t="s">
        <v>21</v>
      </c>
      <c r="Q31" s="22">
        <f t="shared" si="0"/>
        <v>2150.1259121219628</v>
      </c>
      <c r="R31" s="24"/>
      <c r="AB31" s="23"/>
      <c r="AC31" s="23"/>
      <c r="AD31" s="23"/>
      <c r="AE31" s="23"/>
      <c r="AF31" s="23"/>
      <c r="AG31" s="23"/>
      <c r="AH31" s="23"/>
      <c r="AI31" s="23"/>
    </row>
    <row r="32" spans="3:36" x14ac:dyDescent="0.25">
      <c r="C32" s="19">
        <v>2021</v>
      </c>
      <c r="D32" s="20">
        <v>2326035.3089323733</v>
      </c>
      <c r="E32" s="20">
        <v>97492951.121057257</v>
      </c>
      <c r="F32" s="20">
        <v>1533134.9989912319</v>
      </c>
      <c r="G32" s="20">
        <v>3333632.4494976597</v>
      </c>
      <c r="H32" s="20">
        <v>264426.50705023162</v>
      </c>
      <c r="I32" s="20">
        <v>12149273.526027001</v>
      </c>
      <c r="J32" s="20">
        <v>26995.267701000004</v>
      </c>
      <c r="K32" s="20">
        <v>34148.029036760017</v>
      </c>
      <c r="L32" s="20">
        <v>21876.501141209999</v>
      </c>
      <c r="M32" s="20">
        <v>247.486251065</v>
      </c>
      <c r="N32" s="20">
        <v>278.81457949999998</v>
      </c>
      <c r="O32" s="20">
        <v>11390.682832689996</v>
      </c>
      <c r="P32" s="21" t="s">
        <v>21</v>
      </c>
      <c r="Q32" s="22">
        <f t="shared" si="0"/>
        <v>2326.0353089323735</v>
      </c>
      <c r="R32" s="24"/>
      <c r="AB32" s="23"/>
      <c r="AC32" s="23"/>
      <c r="AD32" s="23"/>
      <c r="AE32" s="23"/>
      <c r="AF32" s="23"/>
      <c r="AG32" s="23"/>
      <c r="AH32" s="23"/>
      <c r="AI32" s="23"/>
    </row>
    <row r="33" spans="3:35" x14ac:dyDescent="0.25">
      <c r="C33" s="19">
        <v>2022</v>
      </c>
      <c r="D33" s="20">
        <v>2445270.8303173976</v>
      </c>
      <c r="E33" s="20">
        <v>96965977.163885579</v>
      </c>
      <c r="F33" s="20">
        <v>1369649.1117797941</v>
      </c>
      <c r="G33" s="20">
        <v>3084038.7076613051</v>
      </c>
      <c r="H33" s="20">
        <v>255442.99715858512</v>
      </c>
      <c r="I33" s="20">
        <v>12936826.381839</v>
      </c>
      <c r="J33" s="20">
        <v>28231.359913</v>
      </c>
      <c r="K33" s="20">
        <v>31587.568951759989</v>
      </c>
      <c r="L33" s="20">
        <v>25378.500620530005</v>
      </c>
      <c r="M33" s="20">
        <v>251.24793746000006</v>
      </c>
      <c r="N33" s="20">
        <v>263.99886950000001</v>
      </c>
      <c r="O33" s="20">
        <v>1169.1241914</v>
      </c>
      <c r="P33" s="21" t="s">
        <v>21</v>
      </c>
      <c r="Q33" s="22">
        <f t="shared" si="0"/>
        <v>2445.2708303173977</v>
      </c>
      <c r="R33" s="24"/>
      <c r="AB33" s="23"/>
      <c r="AC33" s="23"/>
      <c r="AD33" s="23"/>
      <c r="AE33" s="23"/>
      <c r="AF33" s="23"/>
      <c r="AG33" s="23"/>
      <c r="AH33" s="23"/>
      <c r="AI33" s="23"/>
    </row>
    <row r="34" spans="3:35" x14ac:dyDescent="0.25">
      <c r="C34" s="19">
        <v>2023</v>
      </c>
      <c r="D34" s="20">
        <v>2755244.3167853276</v>
      </c>
      <c r="E34" s="20">
        <v>100985631.43873213</v>
      </c>
      <c r="F34" s="20">
        <v>1469127.1631768667</v>
      </c>
      <c r="G34" s="20">
        <v>3041393.6459926581</v>
      </c>
      <c r="H34" s="20">
        <v>273335.49825696991</v>
      </c>
      <c r="I34" s="20">
        <v>12986023.244491</v>
      </c>
      <c r="J34" s="20">
        <v>26230.046980000003</v>
      </c>
      <c r="K34" s="20">
        <v>33475.6190292315</v>
      </c>
      <c r="L34" s="20">
        <v>31161.763995300007</v>
      </c>
      <c r="M34" s="20">
        <v>303.74941249999995</v>
      </c>
      <c r="N34" s="20">
        <v>331.35815600000001</v>
      </c>
      <c r="O34" s="20">
        <v>1326.7171017999999</v>
      </c>
      <c r="P34" s="21">
        <v>22.705695600000002</v>
      </c>
      <c r="Q34" s="22">
        <f t="shared" si="0"/>
        <v>2755.2443167853276</v>
      </c>
      <c r="R34" s="24"/>
      <c r="AB34" s="23"/>
      <c r="AC34" s="23"/>
      <c r="AD34" s="23"/>
      <c r="AE34" s="23"/>
      <c r="AF34" s="23"/>
      <c r="AG34" s="23"/>
      <c r="AH34" s="23"/>
      <c r="AI34" s="23"/>
    </row>
    <row r="35" spans="3:35" x14ac:dyDescent="0.25">
      <c r="C35" s="16">
        <v>2024</v>
      </c>
      <c r="D35" s="25">
        <v>2736237.1072517261</v>
      </c>
      <c r="E35" s="25">
        <v>109597239.67250271</v>
      </c>
      <c r="F35" s="25">
        <v>1270646.9547949794</v>
      </c>
      <c r="G35" s="25">
        <v>3512301.3933015349</v>
      </c>
      <c r="H35" s="25">
        <v>291319.6266162931</v>
      </c>
      <c r="I35" s="25">
        <v>13309265.480335999</v>
      </c>
      <c r="J35" s="25">
        <v>32317.234399999998</v>
      </c>
      <c r="K35" s="25">
        <v>41941.797900007783</v>
      </c>
      <c r="L35" s="25">
        <v>32027.784417280007</v>
      </c>
      <c r="M35" s="25">
        <v>265.34277630000003</v>
      </c>
      <c r="N35" s="25">
        <v>317.31784800000003</v>
      </c>
      <c r="O35" s="25">
        <v>24159.249493900003</v>
      </c>
      <c r="P35" s="26">
        <v>40.573911600000002</v>
      </c>
      <c r="Q35" s="22">
        <f t="shared" si="0"/>
        <v>2736.2371072517262</v>
      </c>
      <c r="R35" s="24"/>
      <c r="AB35" s="23"/>
      <c r="AC35" s="23"/>
      <c r="AD35" s="23"/>
      <c r="AE35" s="23"/>
      <c r="AF35" s="23"/>
      <c r="AG35" s="23"/>
      <c r="AH35" s="23"/>
      <c r="AI35" s="23"/>
    </row>
    <row r="36" spans="3:35" ht="38.25" x14ac:dyDescent="0.25">
      <c r="C36" s="27" t="s">
        <v>131</v>
      </c>
      <c r="D36" s="28">
        <f>SUM(D37:D43)</f>
        <v>1564666.2157766116</v>
      </c>
      <c r="E36" s="28">
        <f t="shared" ref="E36:O36" si="1">SUM(E37:E43)</f>
        <v>60287654.726385877</v>
      </c>
      <c r="F36" s="28">
        <f t="shared" si="1"/>
        <v>840375.26413740683</v>
      </c>
      <c r="G36" s="28">
        <f t="shared" si="1"/>
        <v>2092614.7529623588</v>
      </c>
      <c r="H36" s="28">
        <f t="shared" si="1"/>
        <v>178220.1793666594</v>
      </c>
      <c r="I36" s="28">
        <f t="shared" si="1"/>
        <v>6092975.9230469996</v>
      </c>
      <c r="J36" s="28">
        <f t="shared" si="1"/>
        <v>19479.14014</v>
      </c>
      <c r="K36" s="28">
        <f t="shared" si="1"/>
        <v>22794.190983976103</v>
      </c>
      <c r="L36" s="28">
        <f t="shared" si="1"/>
        <v>16256.337704999998</v>
      </c>
      <c r="M36" s="28">
        <f t="shared" si="1"/>
        <v>150.48968680000002</v>
      </c>
      <c r="N36" s="28">
        <f t="shared" si="1"/>
        <v>196.94737200000003</v>
      </c>
      <c r="O36" s="28">
        <f t="shared" si="1"/>
        <v>20857.585341799997</v>
      </c>
      <c r="P36" s="28">
        <f>SUM(P37:P43)</f>
        <v>21.336172000000001</v>
      </c>
      <c r="Q36" s="22">
        <f t="shared" si="0"/>
        <v>1564.6662157766116</v>
      </c>
      <c r="R36" s="24"/>
      <c r="AB36" s="23"/>
      <c r="AC36" s="23"/>
      <c r="AD36" s="23"/>
      <c r="AE36" s="23"/>
      <c r="AF36" s="23"/>
      <c r="AG36" s="23"/>
      <c r="AH36" s="23"/>
      <c r="AI36" s="23"/>
    </row>
    <row r="37" spans="3:35" x14ac:dyDescent="0.25">
      <c r="C37" s="29" t="s">
        <v>22</v>
      </c>
      <c r="D37" s="30">
        <v>219671.15839866945</v>
      </c>
      <c r="E37" s="30">
        <v>8481520.9210064206</v>
      </c>
      <c r="F37" s="30">
        <v>91855.694164931963</v>
      </c>
      <c r="G37" s="30">
        <v>273383.0685694681</v>
      </c>
      <c r="H37" s="30">
        <v>21568.800301891904</v>
      </c>
      <c r="I37" s="30">
        <v>1161378.8055939998</v>
      </c>
      <c r="J37" s="30">
        <v>2537.2527399999999</v>
      </c>
      <c r="K37" s="30">
        <v>3231.3934248973001</v>
      </c>
      <c r="L37" s="30">
        <v>2338.8900573999999</v>
      </c>
      <c r="M37" s="30">
        <v>20.011532799999998</v>
      </c>
      <c r="N37" s="30">
        <v>30.094110000000001</v>
      </c>
      <c r="O37" s="30">
        <v>2581.9835498000002</v>
      </c>
      <c r="P37" s="31">
        <v>2.2356600000000002</v>
      </c>
      <c r="Q37" s="32">
        <v>11138766.849174995</v>
      </c>
      <c r="T37" s="33"/>
      <c r="U37" s="33"/>
      <c r="V37" s="33"/>
      <c r="W37" s="33"/>
      <c r="X37" s="33"/>
      <c r="Y37" s="33"/>
      <c r="Z37" s="33"/>
      <c r="AA37" s="33"/>
      <c r="AB37" s="23"/>
      <c r="AC37" s="23"/>
      <c r="AD37" s="23"/>
      <c r="AE37" s="23"/>
      <c r="AF37" s="23"/>
      <c r="AG37" s="23"/>
      <c r="AH37" s="23"/>
      <c r="AI37" s="23"/>
    </row>
    <row r="38" spans="3:35" x14ac:dyDescent="0.25">
      <c r="C38" s="34" t="s">
        <v>23</v>
      </c>
      <c r="D38" s="20">
        <v>217002.48869369697</v>
      </c>
      <c r="E38" s="20">
        <v>7947065.9093341008</v>
      </c>
      <c r="F38" s="20">
        <v>109459.79120289112</v>
      </c>
      <c r="G38" s="20">
        <v>297317.38332509756</v>
      </c>
      <c r="H38" s="20">
        <v>23230.586675680905</v>
      </c>
      <c r="I38" s="20">
        <v>1122169.9234620002</v>
      </c>
      <c r="J38" s="20">
        <v>2597.7712999999999</v>
      </c>
      <c r="K38" s="20">
        <v>3448.2970789000001</v>
      </c>
      <c r="L38" s="20">
        <v>2295.3407548999994</v>
      </c>
      <c r="M38" s="20">
        <v>16.554153000000003</v>
      </c>
      <c r="N38" s="20">
        <v>26.565791999999998</v>
      </c>
      <c r="O38" s="20">
        <v>3577.7138660000001</v>
      </c>
      <c r="P38" s="35">
        <v>2.8617279999999998</v>
      </c>
      <c r="Q38" s="32"/>
      <c r="T38" s="33"/>
      <c r="U38" s="33"/>
      <c r="V38" s="33"/>
      <c r="W38" s="33"/>
      <c r="X38" s="33"/>
      <c r="Y38" s="33"/>
      <c r="Z38" s="33"/>
      <c r="AA38" s="33"/>
      <c r="AB38" s="23"/>
      <c r="AC38" s="23"/>
      <c r="AD38" s="23"/>
      <c r="AE38" s="23"/>
      <c r="AF38" s="23"/>
      <c r="AG38" s="23"/>
      <c r="AH38" s="23"/>
      <c r="AI38" s="23"/>
    </row>
    <row r="39" spans="3:35" x14ac:dyDescent="0.25">
      <c r="C39" s="34" t="s">
        <v>24</v>
      </c>
      <c r="D39" s="20">
        <v>229868.94897684446</v>
      </c>
      <c r="E39" s="20">
        <v>8850716.9447445944</v>
      </c>
      <c r="F39" s="20">
        <v>119229.05424405822</v>
      </c>
      <c r="G39" s="20">
        <v>288373.17516136076</v>
      </c>
      <c r="H39" s="20">
        <v>25091.882432795606</v>
      </c>
      <c r="I39" s="20">
        <v>1218023.8837799998</v>
      </c>
      <c r="J39" s="20">
        <v>2922.6831999999999</v>
      </c>
      <c r="K39" s="20">
        <v>4034.7399693068</v>
      </c>
      <c r="L39" s="20">
        <v>1854.5507202000001</v>
      </c>
      <c r="M39" s="123">
        <v>24.502823000000003</v>
      </c>
      <c r="N39" s="20">
        <v>31.670008000000003</v>
      </c>
      <c r="O39" s="20">
        <v>2958.1502466000002</v>
      </c>
      <c r="P39" s="35">
        <v>2.6791360000000002</v>
      </c>
      <c r="Q39" s="32"/>
      <c r="T39" s="33"/>
      <c r="U39" s="33"/>
      <c r="V39" s="33"/>
      <c r="W39" s="33"/>
      <c r="X39" s="33"/>
      <c r="Y39" s="33"/>
      <c r="Z39" s="33"/>
      <c r="AA39" s="33"/>
      <c r="AB39" s="23"/>
      <c r="AC39" s="23"/>
      <c r="AD39" s="23"/>
      <c r="AE39" s="23"/>
      <c r="AF39" s="23"/>
      <c r="AG39" s="23"/>
      <c r="AH39" s="23"/>
      <c r="AI39" s="23"/>
    </row>
    <row r="40" spans="3:35" x14ac:dyDescent="0.25">
      <c r="C40" s="36" t="s">
        <v>25</v>
      </c>
      <c r="D40" s="37">
        <v>220273.34907759307</v>
      </c>
      <c r="E40" s="37">
        <v>8916681.8454674985</v>
      </c>
      <c r="F40" s="37">
        <v>137649.17032455638</v>
      </c>
      <c r="G40" s="37">
        <v>311933.92596635834</v>
      </c>
      <c r="H40" s="37">
        <v>28510.480416305996</v>
      </c>
      <c r="I40" s="37">
        <v>1091388.6164500001</v>
      </c>
      <c r="J40" s="37">
        <v>2723.0601999999999</v>
      </c>
      <c r="K40" s="37">
        <v>3212.9077212199995</v>
      </c>
      <c r="L40" s="37">
        <v>2378.2725716999998</v>
      </c>
      <c r="M40" s="38">
        <v>21.847186999999998</v>
      </c>
      <c r="N40" s="38">
        <v>27.547941999999999</v>
      </c>
      <c r="O40" s="37">
        <v>1961.2639583999999</v>
      </c>
      <c r="P40" s="39">
        <v>2.5161519999999999</v>
      </c>
      <c r="Q40" s="32"/>
      <c r="T40" s="33"/>
      <c r="U40" s="33"/>
      <c r="V40" s="33"/>
      <c r="W40" s="33"/>
      <c r="X40" s="33"/>
      <c r="Y40" s="33"/>
      <c r="Z40" s="33"/>
      <c r="AA40" s="33"/>
      <c r="AB40" s="23"/>
      <c r="AC40" s="23"/>
      <c r="AD40" s="23"/>
      <c r="AE40" s="23"/>
      <c r="AF40" s="23"/>
      <c r="AG40" s="23"/>
      <c r="AH40" s="23"/>
      <c r="AI40" s="23"/>
    </row>
    <row r="41" spans="3:35" ht="13.5" customHeight="1" x14ac:dyDescent="0.25">
      <c r="C41" s="117" t="s">
        <v>145</v>
      </c>
      <c r="D41" s="37">
        <v>220911.28287911677</v>
      </c>
      <c r="E41" s="37">
        <v>8058694.4987969501</v>
      </c>
      <c r="F41" s="37">
        <v>120959.41946630899</v>
      </c>
      <c r="G41" s="37">
        <v>313652.44260025572</v>
      </c>
      <c r="H41" s="37">
        <v>26061.362419922007</v>
      </c>
      <c r="I41" s="37">
        <v>441193.98143799999</v>
      </c>
      <c r="J41" s="37">
        <v>2871.1295</v>
      </c>
      <c r="K41" s="37">
        <v>2855.7800881120002</v>
      </c>
      <c r="L41" s="37">
        <v>2487.8129531</v>
      </c>
      <c r="M41" s="38">
        <v>22.439415</v>
      </c>
      <c r="N41" s="38">
        <v>27.668381</v>
      </c>
      <c r="O41" s="37">
        <v>3843.0657880000003</v>
      </c>
      <c r="P41" s="39">
        <v>3.6912739999999999</v>
      </c>
      <c r="Q41" s="32"/>
      <c r="T41" s="33"/>
      <c r="U41" s="33"/>
      <c r="V41" s="33"/>
      <c r="W41" s="33"/>
      <c r="X41" s="33"/>
      <c r="Y41" s="33"/>
      <c r="Z41" s="33"/>
      <c r="AA41" s="33"/>
      <c r="AB41" s="23"/>
      <c r="AC41" s="23"/>
      <c r="AD41" s="23"/>
      <c r="AE41" s="23"/>
      <c r="AF41" s="23"/>
      <c r="AG41" s="23"/>
      <c r="AH41" s="23"/>
      <c r="AI41" s="23"/>
    </row>
    <row r="42" spans="3:35" ht="13.5" customHeight="1" x14ac:dyDescent="0.25">
      <c r="C42" s="36" t="s">
        <v>146</v>
      </c>
      <c r="D42" s="37">
        <v>228931.7259096911</v>
      </c>
      <c r="E42" s="37">
        <v>8894295.897689322</v>
      </c>
      <c r="F42" s="37">
        <v>136087.19853966002</v>
      </c>
      <c r="G42" s="37">
        <v>310457.29754481843</v>
      </c>
      <c r="H42" s="37">
        <v>27426.236327062998</v>
      </c>
      <c r="I42" s="37">
        <v>17858.915341</v>
      </c>
      <c r="J42" s="37">
        <v>2794.1680000000001</v>
      </c>
      <c r="K42" s="37">
        <v>2874.2517345399997</v>
      </c>
      <c r="L42" s="37">
        <v>2331.0077547000001</v>
      </c>
      <c r="M42" s="38">
        <v>20.607745000000001</v>
      </c>
      <c r="N42" s="37">
        <v>25.639190000000003</v>
      </c>
      <c r="O42" s="37">
        <v>2300.5616680000003</v>
      </c>
      <c r="P42" s="39">
        <v>3.5141680000000002</v>
      </c>
      <c r="Q42" s="32"/>
      <c r="T42" s="33"/>
      <c r="U42" s="33"/>
      <c r="V42" s="33"/>
      <c r="W42" s="33"/>
      <c r="X42" s="33"/>
      <c r="Y42" s="33"/>
      <c r="Z42" s="33"/>
      <c r="AA42" s="33"/>
      <c r="AB42" s="23"/>
      <c r="AC42" s="23"/>
      <c r="AD42" s="23"/>
      <c r="AE42" s="23"/>
      <c r="AF42" s="23"/>
      <c r="AG42" s="23"/>
      <c r="AH42" s="23"/>
      <c r="AI42" s="23"/>
    </row>
    <row r="43" spans="3:35" ht="13.5" customHeight="1" x14ac:dyDescent="0.25">
      <c r="C43" s="36" t="s">
        <v>147</v>
      </c>
      <c r="D43" s="37">
        <v>228007.26184099991</v>
      </c>
      <c r="E43" s="37">
        <v>9138678.7093469985</v>
      </c>
      <c r="F43" s="37">
        <v>125134.93619500002</v>
      </c>
      <c r="G43" s="37">
        <v>297497.45979500015</v>
      </c>
      <c r="H43" s="37">
        <v>26330.830793000005</v>
      </c>
      <c r="I43" s="37">
        <v>1040961.796982</v>
      </c>
      <c r="J43" s="37">
        <v>3033.0752000000002</v>
      </c>
      <c r="K43" s="37">
        <v>3136.8209670000001</v>
      </c>
      <c r="L43" s="37">
        <v>2570.4628929999999</v>
      </c>
      <c r="M43" s="122">
        <v>24.526831000000001</v>
      </c>
      <c r="N43" s="38">
        <v>27.761948999999998</v>
      </c>
      <c r="O43" s="37">
        <v>3634.8462650000006</v>
      </c>
      <c r="P43" s="39">
        <v>3.8380540000000001</v>
      </c>
      <c r="Q43" s="32"/>
      <c r="T43" s="33"/>
      <c r="U43" s="33"/>
      <c r="V43" s="33"/>
      <c r="W43" s="33"/>
      <c r="X43" s="33"/>
      <c r="Y43" s="33"/>
      <c r="Z43" s="33"/>
      <c r="AA43" s="33"/>
      <c r="AB43" s="23"/>
      <c r="AC43" s="23"/>
      <c r="AD43" s="23"/>
      <c r="AE43" s="23"/>
      <c r="AF43" s="23"/>
      <c r="AG43" s="23"/>
      <c r="AH43" s="23"/>
      <c r="AI43" s="23"/>
    </row>
    <row r="44" spans="3:35" x14ac:dyDescent="0.25">
      <c r="C44" s="43" t="s">
        <v>125</v>
      </c>
      <c r="D44" s="44"/>
      <c r="E44" s="44"/>
      <c r="F44" s="45"/>
      <c r="G44" s="44"/>
      <c r="H44" s="44"/>
      <c r="I44" s="44"/>
      <c r="J44" s="44"/>
      <c r="K44" s="44"/>
      <c r="L44" s="44"/>
      <c r="M44" s="44"/>
      <c r="N44" s="44"/>
      <c r="O44" s="44"/>
      <c r="P44" s="46"/>
      <c r="R44" s="24"/>
      <c r="S44" s="47"/>
    </row>
    <row r="45" spans="3:35" ht="24" x14ac:dyDescent="0.25">
      <c r="C45" s="48" t="s">
        <v>126</v>
      </c>
      <c r="D45" s="49">
        <v>223593.50799819099</v>
      </c>
      <c r="E45" s="50">
        <v>8497715.0590460543</v>
      </c>
      <c r="F45" s="50">
        <v>106722.379202909</v>
      </c>
      <c r="G45" s="50">
        <v>289166.78179339383</v>
      </c>
      <c r="H45" s="50">
        <v>26066.796739928999</v>
      </c>
      <c r="I45" s="50">
        <v>1041562.64579</v>
      </c>
      <c r="J45" s="50">
        <v>2820.0151000000001</v>
      </c>
      <c r="K45" s="50">
        <v>3801.1640480399997</v>
      </c>
      <c r="L45" s="51">
        <v>3995.9850443999999</v>
      </c>
      <c r="M45" s="51">
        <v>23.380024299999999</v>
      </c>
      <c r="N45" s="50">
        <v>26.369333999999998</v>
      </c>
      <c r="O45" s="51">
        <v>1969.7420953999999</v>
      </c>
      <c r="P45" s="52">
        <v>3.9313997999999999</v>
      </c>
      <c r="R45" s="24"/>
      <c r="S45" s="47"/>
    </row>
    <row r="46" spans="3:35" ht="24" x14ac:dyDescent="0.25">
      <c r="C46" s="53" t="s">
        <v>127</v>
      </c>
      <c r="D46" s="54">
        <v>228007.26184099991</v>
      </c>
      <c r="E46" s="54">
        <v>9138678.7093469985</v>
      </c>
      <c r="F46" s="54">
        <v>125134.93619500002</v>
      </c>
      <c r="G46" s="54">
        <v>297497.45979500015</v>
      </c>
      <c r="H46" s="54">
        <v>26330.830793000005</v>
      </c>
      <c r="I46" s="54">
        <v>1040961.796982</v>
      </c>
      <c r="J46" s="54">
        <v>3033.0752000000002</v>
      </c>
      <c r="K46" s="54">
        <v>3136.8209670000001</v>
      </c>
      <c r="L46" s="40">
        <v>2570.4628929999999</v>
      </c>
      <c r="M46" s="40">
        <v>24.526831000000001</v>
      </c>
      <c r="N46" s="124">
        <v>27.761948999999998</v>
      </c>
      <c r="O46" s="40">
        <v>3634.8462650000006</v>
      </c>
      <c r="P46" s="41">
        <v>3.8380540000000001</v>
      </c>
      <c r="Q46" s="55"/>
      <c r="R46" s="24"/>
      <c r="S46" s="23"/>
      <c r="T46" s="23"/>
      <c r="U46" s="23"/>
      <c r="V46" s="23"/>
      <c r="W46" s="23"/>
      <c r="X46" s="23"/>
      <c r="Y46" s="23"/>
      <c r="Z46" s="23"/>
    </row>
    <row r="47" spans="3:35" x14ac:dyDescent="0.25">
      <c r="C47" s="56" t="s">
        <v>26</v>
      </c>
      <c r="D47" s="57">
        <f t="shared" ref="D47:P47" si="2">+D46/D45-1</f>
        <v>1.9740080480532773E-2</v>
      </c>
      <c r="E47" s="57">
        <f>+E46/E45-1</f>
        <v>7.542776450460309E-2</v>
      </c>
      <c r="F47" s="58">
        <f>+F46/F45-1</f>
        <v>0.17252760976293091</v>
      </c>
      <c r="G47" s="58">
        <f>+G46/G45-1</f>
        <v>2.8809249630749267E-2</v>
      </c>
      <c r="H47" s="58">
        <f t="shared" si="2"/>
        <v>1.0129133077044328E-2</v>
      </c>
      <c r="I47" s="57">
        <f t="shared" si="2"/>
        <v>-5.7687246218807164E-4</v>
      </c>
      <c r="J47" s="57">
        <f t="shared" si="2"/>
        <v>7.5552822394461705E-2</v>
      </c>
      <c r="K47" s="57">
        <f t="shared" si="2"/>
        <v>-0.17477358847023605</v>
      </c>
      <c r="L47" s="57">
        <f t="shared" si="2"/>
        <v>-0.35673861027026021</v>
      </c>
      <c r="M47" s="57">
        <f t="shared" si="2"/>
        <v>4.9050706076468886E-2</v>
      </c>
      <c r="N47" s="57">
        <f t="shared" si="2"/>
        <v>5.2811914021036577E-2</v>
      </c>
      <c r="O47" s="57">
        <f t="shared" si="2"/>
        <v>0.84534121166855813</v>
      </c>
      <c r="P47" s="59">
        <f t="shared" si="2"/>
        <v>-2.3743654868171871E-2</v>
      </c>
      <c r="R47" s="24"/>
      <c r="S47" s="23"/>
      <c r="T47" s="23"/>
      <c r="U47" s="23"/>
      <c r="V47" s="23"/>
      <c r="W47" s="23"/>
      <c r="X47" s="23"/>
      <c r="Y47" s="23"/>
      <c r="Z47" s="23"/>
    </row>
    <row r="48" spans="3:35" x14ac:dyDescent="0.25">
      <c r="C48" s="42"/>
      <c r="D48" s="37"/>
      <c r="E48" s="37"/>
      <c r="F48" s="37"/>
      <c r="G48" s="37"/>
      <c r="H48" s="37"/>
      <c r="I48" s="37"/>
      <c r="J48" s="37"/>
      <c r="K48" s="37"/>
      <c r="L48" s="37"/>
      <c r="M48" s="37"/>
      <c r="N48" s="37"/>
      <c r="O48" s="37"/>
      <c r="P48" s="39"/>
      <c r="Q48" s="32"/>
      <c r="T48" s="33"/>
      <c r="U48" s="33"/>
      <c r="V48" s="33"/>
      <c r="W48" s="33"/>
      <c r="X48" s="33"/>
      <c r="Y48" s="33"/>
      <c r="Z48" s="33"/>
      <c r="AA48" s="33"/>
      <c r="AB48" s="23"/>
      <c r="AC48" s="23"/>
      <c r="AD48" s="23"/>
      <c r="AE48" s="23"/>
      <c r="AF48" s="23"/>
      <c r="AG48" s="23"/>
      <c r="AH48" s="23"/>
      <c r="AI48" s="23"/>
    </row>
    <row r="49" spans="3:35" x14ac:dyDescent="0.25">
      <c r="C49" s="43" t="s">
        <v>132</v>
      </c>
      <c r="D49" s="44"/>
      <c r="E49" s="44"/>
      <c r="F49" s="45"/>
      <c r="G49" s="44"/>
      <c r="H49" s="44"/>
      <c r="I49" s="44"/>
      <c r="J49" s="44"/>
      <c r="K49" s="44"/>
      <c r="L49" s="44"/>
      <c r="M49" s="44"/>
      <c r="N49" s="44"/>
      <c r="O49" s="44"/>
      <c r="P49" s="46"/>
      <c r="R49" s="24"/>
      <c r="S49" s="23"/>
      <c r="T49" s="23"/>
      <c r="U49" s="23"/>
      <c r="V49" s="23"/>
      <c r="W49" s="23"/>
      <c r="X49" s="23"/>
      <c r="Y49" s="23"/>
      <c r="Z49" s="23"/>
    </row>
    <row r="50" spans="3:35" ht="24" x14ac:dyDescent="0.25">
      <c r="C50" s="60" t="s">
        <v>133</v>
      </c>
      <c r="D50" s="49">
        <v>1514531.9733985451</v>
      </c>
      <c r="E50" s="49">
        <v>61995836.506440975</v>
      </c>
      <c r="F50" s="49">
        <v>736325.24293817498</v>
      </c>
      <c r="G50" s="49">
        <v>1931255.6546894214</v>
      </c>
      <c r="H50" s="49">
        <v>166919.85109403401</v>
      </c>
      <c r="I50" s="49">
        <v>7857312.8106919993</v>
      </c>
      <c r="J50" s="49">
        <v>19144.9735</v>
      </c>
      <c r="K50" s="49">
        <v>24357.129152705002</v>
      </c>
      <c r="L50" s="49">
        <v>17675.055585479997</v>
      </c>
      <c r="M50" s="49">
        <v>156.1590041</v>
      </c>
      <c r="N50" s="49">
        <v>178.723028</v>
      </c>
      <c r="O50" s="49">
        <v>8232.5018104999999</v>
      </c>
      <c r="P50" s="61">
        <v>24.921010900000002</v>
      </c>
      <c r="R50" s="24"/>
      <c r="S50" s="23"/>
      <c r="T50" s="23"/>
      <c r="U50" s="23"/>
      <c r="V50" s="23"/>
      <c r="W50" s="23"/>
      <c r="X50" s="23"/>
      <c r="Y50" s="23"/>
      <c r="Z50" s="23"/>
    </row>
    <row r="51" spans="3:35" ht="24" x14ac:dyDescent="0.25">
      <c r="C51" s="60" t="s">
        <v>134</v>
      </c>
      <c r="D51" s="49">
        <v>1564666.2157766116</v>
      </c>
      <c r="E51" s="49">
        <v>60287654.726385877</v>
      </c>
      <c r="F51" s="49">
        <v>840375.26413740683</v>
      </c>
      <c r="G51" s="49">
        <v>2092614.7529623588</v>
      </c>
      <c r="H51" s="49">
        <v>178220.17936665943</v>
      </c>
      <c r="I51" s="49">
        <v>6092975.9230469996</v>
      </c>
      <c r="J51" s="49">
        <v>19479.14014</v>
      </c>
      <c r="K51" s="49">
        <v>22794.190983976103</v>
      </c>
      <c r="L51" s="49">
        <v>16256.337704999998</v>
      </c>
      <c r="M51" s="49">
        <v>150.48968680000002</v>
      </c>
      <c r="N51" s="49">
        <v>196.94737200000003</v>
      </c>
      <c r="O51" s="49">
        <v>20857.585341799997</v>
      </c>
      <c r="P51" s="61">
        <v>21.336172000000001</v>
      </c>
      <c r="R51" s="24"/>
      <c r="S51" s="23"/>
      <c r="T51" s="23"/>
      <c r="U51" s="23"/>
      <c r="V51" s="23"/>
      <c r="W51" s="23"/>
      <c r="X51" s="23"/>
      <c r="Y51" s="23"/>
      <c r="Z51" s="23"/>
    </row>
    <row r="52" spans="3:35" x14ac:dyDescent="0.25">
      <c r="C52" s="62" t="s">
        <v>26</v>
      </c>
      <c r="D52" s="63">
        <f t="shared" ref="D52:P52" si="3">+D51/D50-1</f>
        <v>3.3102135351799511E-2</v>
      </c>
      <c r="E52" s="64">
        <f t="shared" si="3"/>
        <v>-2.7553169314485038E-2</v>
      </c>
      <c r="F52" s="63">
        <f t="shared" si="3"/>
        <v>0.14130986571102566</v>
      </c>
      <c r="G52" s="63">
        <f t="shared" si="3"/>
        <v>8.3551392008162972E-2</v>
      </c>
      <c r="H52" s="63">
        <f t="shared" si="3"/>
        <v>6.7699127446857243E-2</v>
      </c>
      <c r="I52" s="64">
        <f t="shared" si="3"/>
        <v>-0.22454711046302522</v>
      </c>
      <c r="J52" s="64">
        <f t="shared" si="3"/>
        <v>1.7454536565433276E-2</v>
      </c>
      <c r="K52" s="64">
        <f t="shared" si="3"/>
        <v>-6.4167585552886264E-2</v>
      </c>
      <c r="L52" s="64">
        <f t="shared" si="3"/>
        <v>-8.026667150317035E-2</v>
      </c>
      <c r="M52" s="64">
        <f>+M51/M50-1</f>
        <v>-3.6304773667546697E-2</v>
      </c>
      <c r="N52" s="63">
        <f>+N51/N50-1</f>
        <v>0.101969758480144</v>
      </c>
      <c r="O52" s="63">
        <f>+O51/O50-1</f>
        <v>1.5335658372036503</v>
      </c>
      <c r="P52" s="65">
        <f t="shared" si="3"/>
        <v>-0.14384805313014015</v>
      </c>
      <c r="R52" s="24"/>
      <c r="S52" s="23"/>
      <c r="T52" s="23"/>
      <c r="U52" s="23"/>
      <c r="V52" s="23"/>
      <c r="W52" s="23"/>
      <c r="X52" s="23"/>
      <c r="Y52" s="23"/>
      <c r="Z52" s="23"/>
    </row>
    <row r="53" spans="3:35" x14ac:dyDescent="0.25">
      <c r="C53" s="42"/>
      <c r="D53" s="37"/>
      <c r="E53" s="37"/>
      <c r="F53" s="37"/>
      <c r="G53" s="37"/>
      <c r="H53" s="37"/>
      <c r="I53" s="37"/>
      <c r="J53" s="37"/>
      <c r="K53" s="37"/>
      <c r="L53" s="37"/>
      <c r="M53" s="37"/>
      <c r="N53" s="37"/>
      <c r="O53" s="37"/>
      <c r="P53" s="39"/>
      <c r="Q53" s="32"/>
      <c r="T53" s="33"/>
      <c r="U53" s="33"/>
      <c r="V53" s="33"/>
      <c r="W53" s="33"/>
      <c r="X53" s="33"/>
      <c r="Y53" s="33"/>
      <c r="Z53" s="33"/>
      <c r="AA53" s="33"/>
      <c r="AB53" s="23"/>
      <c r="AC53" s="23"/>
      <c r="AD53" s="23"/>
      <c r="AE53" s="23"/>
      <c r="AF53" s="23"/>
      <c r="AG53" s="23"/>
      <c r="AH53" s="23"/>
      <c r="AI53" s="23"/>
    </row>
    <row r="54" spans="3:35" x14ac:dyDescent="0.25">
      <c r="C54" s="43" t="s">
        <v>27</v>
      </c>
      <c r="D54" s="44"/>
      <c r="E54" s="44"/>
      <c r="F54" s="45"/>
      <c r="G54" s="44"/>
      <c r="H54" s="44"/>
      <c r="I54" s="44"/>
      <c r="J54" s="44"/>
      <c r="K54" s="44"/>
      <c r="L54" s="44"/>
      <c r="M54" s="44"/>
      <c r="N54" s="44"/>
      <c r="O54" s="44"/>
      <c r="P54" s="46"/>
      <c r="Q54" s="32"/>
      <c r="T54" s="33"/>
      <c r="U54" s="33"/>
      <c r="V54" s="33"/>
      <c r="W54" s="33"/>
      <c r="X54" s="33"/>
      <c r="Y54" s="33"/>
      <c r="Z54" s="33"/>
      <c r="AA54" s="33"/>
      <c r="AB54" s="23"/>
      <c r="AC54" s="23"/>
      <c r="AD54" s="23"/>
      <c r="AE54" s="23"/>
      <c r="AF54" s="23"/>
      <c r="AG54" s="23"/>
      <c r="AH54" s="23"/>
      <c r="AI54" s="23"/>
    </row>
    <row r="55" spans="3:35" ht="24" x14ac:dyDescent="0.25">
      <c r="C55" s="66" t="s">
        <v>128</v>
      </c>
      <c r="D55" s="67">
        <v>228931.7259096911</v>
      </c>
      <c r="E55" s="67">
        <v>8894295.897689322</v>
      </c>
      <c r="F55" s="67">
        <v>136087.19853966002</v>
      </c>
      <c r="G55" s="67">
        <v>310457.29754481837</v>
      </c>
      <c r="H55" s="67">
        <v>27426.236327063001</v>
      </c>
      <c r="I55" s="67">
        <v>17858.915341</v>
      </c>
      <c r="J55" s="67">
        <v>2794.1680000000001</v>
      </c>
      <c r="K55" s="67">
        <v>2874.2517345399997</v>
      </c>
      <c r="L55" s="67">
        <v>2331.0077547000001</v>
      </c>
      <c r="M55" s="67">
        <v>20.607745000000001</v>
      </c>
      <c r="N55" s="67">
        <v>25.639190000000003</v>
      </c>
      <c r="O55" s="67">
        <v>2300.5616680000003</v>
      </c>
      <c r="P55" s="68">
        <v>3.5141680000000002</v>
      </c>
      <c r="Q55" s="32"/>
      <c r="T55" s="33"/>
      <c r="U55" s="33"/>
      <c r="V55" s="33"/>
      <c r="W55" s="33"/>
      <c r="X55" s="33"/>
      <c r="Y55" s="33"/>
      <c r="Z55" s="33"/>
      <c r="AA55" s="33"/>
      <c r="AB55" s="23"/>
      <c r="AC55" s="23"/>
      <c r="AD55" s="23"/>
      <c r="AE55" s="23"/>
      <c r="AF55" s="23"/>
      <c r="AG55" s="23"/>
      <c r="AH55" s="23"/>
      <c r="AI55" s="23"/>
    </row>
    <row r="56" spans="3:35" ht="24" x14ac:dyDescent="0.25">
      <c r="C56" s="69" t="s">
        <v>127</v>
      </c>
      <c r="D56" s="40">
        <v>228007.26184099991</v>
      </c>
      <c r="E56" s="40">
        <v>9138678.7093469985</v>
      </c>
      <c r="F56" s="40">
        <v>125134.93619500002</v>
      </c>
      <c r="G56" s="40">
        <v>297497.45979500015</v>
      </c>
      <c r="H56" s="40">
        <v>26330.830793000005</v>
      </c>
      <c r="I56" s="40">
        <v>1040961.796982</v>
      </c>
      <c r="J56" s="40">
        <v>3033.0752000000002</v>
      </c>
      <c r="K56" s="40">
        <v>3136.8209670000001</v>
      </c>
      <c r="L56" s="40">
        <v>2570.4628929999999</v>
      </c>
      <c r="M56" s="40">
        <v>24.526831000000001</v>
      </c>
      <c r="N56" s="40">
        <v>27.761948999999998</v>
      </c>
      <c r="O56" s="40">
        <v>3634.8462650000006</v>
      </c>
      <c r="P56" s="41">
        <v>3.8380540000000001</v>
      </c>
      <c r="Q56" s="32"/>
      <c r="T56" s="33"/>
      <c r="U56" s="33"/>
      <c r="V56" s="33"/>
      <c r="W56" s="33"/>
      <c r="X56" s="33"/>
      <c r="Y56" s="33"/>
      <c r="Z56" s="33"/>
      <c r="AA56" s="33"/>
      <c r="AB56" s="23"/>
      <c r="AC56" s="23"/>
      <c r="AD56" s="23"/>
      <c r="AE56" s="23"/>
      <c r="AF56" s="23"/>
      <c r="AG56" s="23"/>
      <c r="AH56" s="23"/>
      <c r="AI56" s="23"/>
    </row>
    <row r="57" spans="3:35" x14ac:dyDescent="0.25">
      <c r="C57" s="70" t="s">
        <v>26</v>
      </c>
      <c r="D57" s="64">
        <f t="shared" ref="D57:M57" si="4">+D56/D55-1</f>
        <v>-4.0381649376804996E-3</v>
      </c>
      <c r="E57" s="64">
        <f t="shared" si="4"/>
        <v>2.7476352762354717E-2</v>
      </c>
      <c r="F57" s="64">
        <f t="shared" si="4"/>
        <v>-8.047973991813917E-2</v>
      </c>
      <c r="G57" s="64">
        <f t="shared" si="4"/>
        <v>-4.1744348908233753E-2</v>
      </c>
      <c r="H57" s="64">
        <f t="shared" si="4"/>
        <v>-3.9940060349516471E-2</v>
      </c>
      <c r="I57" s="64" t="s">
        <v>81</v>
      </c>
      <c r="J57" s="64">
        <f t="shared" si="4"/>
        <v>8.5502088636044915E-2</v>
      </c>
      <c r="K57" s="64">
        <f t="shared" si="4"/>
        <v>9.1352204577175744E-2</v>
      </c>
      <c r="L57" s="64">
        <f t="shared" si="4"/>
        <v>0.10272601531126946</v>
      </c>
      <c r="M57" s="64">
        <f t="shared" si="4"/>
        <v>0.19017539279528162</v>
      </c>
      <c r="N57" s="64">
        <f>+N56/N55-1</f>
        <v>8.2793528188682908E-2</v>
      </c>
      <c r="O57" s="64">
        <f>+O56/O55-1</f>
        <v>0.57998210417891749</v>
      </c>
      <c r="P57" s="65">
        <f>+P56/P55-1</f>
        <v>9.2165770105470113E-2</v>
      </c>
      <c r="Q57" s="32"/>
      <c r="T57" s="33"/>
      <c r="U57" s="33"/>
      <c r="V57" s="33"/>
      <c r="W57" s="33"/>
      <c r="X57" s="33"/>
      <c r="Y57" s="33"/>
      <c r="Z57" s="33"/>
      <c r="AA57" s="33"/>
      <c r="AB57" s="23"/>
      <c r="AC57" s="23"/>
      <c r="AD57" s="23"/>
      <c r="AE57" s="23"/>
      <c r="AF57" s="23"/>
      <c r="AG57" s="23"/>
      <c r="AH57" s="23"/>
      <c r="AI57" s="23"/>
    </row>
    <row r="58" spans="3:35" x14ac:dyDescent="0.25">
      <c r="C58" s="71"/>
      <c r="D58" s="72"/>
      <c r="E58" s="73"/>
      <c r="F58" s="72"/>
      <c r="G58" s="72"/>
      <c r="H58" s="72"/>
      <c r="I58" s="72"/>
      <c r="J58" s="72"/>
      <c r="K58" s="72"/>
      <c r="L58" s="72"/>
      <c r="M58" s="72"/>
      <c r="N58" s="72"/>
      <c r="O58" s="72"/>
      <c r="P58" s="74"/>
      <c r="R58" s="24"/>
      <c r="S58" s="23"/>
      <c r="T58" s="23"/>
      <c r="U58" s="23"/>
      <c r="V58" s="23"/>
      <c r="W58" s="23"/>
      <c r="X58" s="23"/>
      <c r="Y58" s="23"/>
      <c r="Z58" s="23"/>
    </row>
    <row r="59" spans="3:35" s="76" customFormat="1" ht="77.25" customHeight="1" x14ac:dyDescent="0.25">
      <c r="C59" s="255" t="s">
        <v>137</v>
      </c>
      <c r="D59" s="256"/>
      <c r="E59" s="256"/>
      <c r="F59" s="256"/>
      <c r="G59" s="256"/>
      <c r="H59" s="256"/>
      <c r="I59" s="256"/>
      <c r="J59" s="256"/>
      <c r="K59" s="256"/>
      <c r="L59" s="256"/>
      <c r="M59" s="256"/>
      <c r="N59" s="256"/>
      <c r="O59" s="256"/>
      <c r="P59" s="257"/>
      <c r="Q59" s="75"/>
    </row>
    <row r="60" spans="3:35" s="76" customFormat="1" ht="41.25" customHeight="1" x14ac:dyDescent="0.25">
      <c r="C60" s="258" t="s">
        <v>28</v>
      </c>
      <c r="D60" s="259"/>
      <c r="E60" s="259"/>
      <c r="F60" s="259"/>
      <c r="G60" s="259"/>
      <c r="H60" s="259"/>
      <c r="I60" s="259"/>
      <c r="J60" s="259"/>
      <c r="K60" s="259"/>
      <c r="L60" s="259"/>
      <c r="M60" s="259"/>
      <c r="N60" s="259"/>
      <c r="O60" s="259"/>
      <c r="P60" s="260"/>
      <c r="Q60" s="75"/>
    </row>
    <row r="61" spans="3:35" s="76" customFormat="1" ht="15" x14ac:dyDescent="0.25">
      <c r="Q61" s="75"/>
    </row>
    <row r="62" spans="3:35" ht="36.6" customHeight="1" x14ac:dyDescent="0.25">
      <c r="C62" s="261" t="s">
        <v>29</v>
      </c>
      <c r="D62" s="261"/>
      <c r="E62" s="261"/>
      <c r="F62" s="261"/>
      <c r="G62" s="261"/>
      <c r="H62" s="261"/>
      <c r="I62" s="261"/>
      <c r="J62" s="261"/>
      <c r="K62" s="261"/>
      <c r="L62" s="261"/>
      <c r="M62" s="261"/>
      <c r="N62" s="261"/>
      <c r="O62" s="261"/>
      <c r="P62" s="261"/>
    </row>
    <row r="63" spans="3:35" ht="36.75" customHeight="1" x14ac:dyDescent="0.25"/>
    <row r="64" spans="3:35" ht="36.75" customHeight="1" x14ac:dyDescent="0.25"/>
    <row r="65" spans="3:36" ht="36.75" customHeight="1" x14ac:dyDescent="0.25"/>
    <row r="66" spans="3:36" s="8" customFormat="1" ht="36.75" customHeight="1" x14ac:dyDescent="0.25">
      <c r="C66" s="47"/>
      <c r="D66" s="2"/>
      <c r="E66" s="2"/>
      <c r="F66" s="2"/>
      <c r="G66" s="2"/>
      <c r="H66" s="2"/>
      <c r="I66" s="2"/>
      <c r="J66" s="2"/>
      <c r="K66" s="2"/>
      <c r="L66" s="2"/>
      <c r="M66" s="2"/>
      <c r="N66" s="2"/>
      <c r="O66" s="2"/>
      <c r="P66" s="2"/>
      <c r="R66" s="2"/>
      <c r="S66" s="2"/>
      <c r="T66" s="2"/>
      <c r="U66" s="2"/>
      <c r="V66" s="2"/>
      <c r="W66" s="2"/>
      <c r="X66" s="2"/>
      <c r="Y66" s="2"/>
      <c r="Z66" s="2"/>
      <c r="AA66" s="2"/>
      <c r="AB66" s="2"/>
      <c r="AC66" s="2"/>
      <c r="AD66" s="2"/>
      <c r="AE66" s="2"/>
      <c r="AF66" s="2"/>
      <c r="AG66" s="2"/>
      <c r="AH66" s="2"/>
      <c r="AI66" s="2"/>
      <c r="AJ66" s="2"/>
    </row>
    <row r="67" spans="3:36" s="8" customFormat="1" ht="36.75" customHeight="1" x14ac:dyDescent="0.25">
      <c r="C67" s="47"/>
      <c r="D67" s="2"/>
      <c r="E67" s="2"/>
      <c r="F67" s="2"/>
      <c r="G67" s="2"/>
      <c r="H67" s="2"/>
      <c r="I67" s="2"/>
      <c r="J67" s="2"/>
      <c r="K67" s="2"/>
      <c r="L67" s="2"/>
      <c r="M67" s="2"/>
      <c r="N67" s="2"/>
      <c r="O67" s="2"/>
      <c r="P67" s="2"/>
      <c r="R67" s="2"/>
      <c r="S67" s="2"/>
      <c r="T67" s="2"/>
      <c r="U67" s="2"/>
      <c r="V67" s="2"/>
      <c r="W67" s="2"/>
      <c r="X67" s="2"/>
      <c r="Y67" s="2"/>
      <c r="Z67" s="2"/>
      <c r="AA67" s="2"/>
      <c r="AB67" s="2"/>
      <c r="AC67" s="2"/>
      <c r="AD67" s="2"/>
      <c r="AE67" s="2"/>
      <c r="AF67" s="2"/>
      <c r="AG67" s="2"/>
      <c r="AH67" s="2"/>
      <c r="AI67" s="2"/>
      <c r="AJ67" s="2"/>
    </row>
    <row r="68" spans="3:36" ht="36.75" customHeight="1" x14ac:dyDescent="0.25"/>
    <row r="69" spans="3:36" s="8" customFormat="1" ht="36.75" customHeight="1" x14ac:dyDescent="0.25">
      <c r="C69" s="2"/>
      <c r="D69" s="2"/>
      <c r="E69" s="2"/>
      <c r="F69" s="2"/>
      <c r="G69" s="2"/>
      <c r="H69" s="2"/>
      <c r="I69" s="2"/>
      <c r="J69" s="2"/>
      <c r="K69" s="2"/>
      <c r="L69" s="2"/>
      <c r="M69" s="2"/>
      <c r="N69" s="2"/>
      <c r="O69" s="2"/>
      <c r="P69" s="2"/>
      <c r="R69" s="2"/>
      <c r="S69" s="2"/>
      <c r="T69" s="2"/>
      <c r="U69" s="2"/>
      <c r="V69" s="2"/>
      <c r="W69" s="2"/>
      <c r="X69" s="2"/>
      <c r="Y69" s="2"/>
      <c r="Z69" s="2"/>
      <c r="AA69" s="2"/>
      <c r="AB69" s="2"/>
      <c r="AC69" s="2"/>
      <c r="AD69" s="2"/>
      <c r="AE69" s="2"/>
      <c r="AF69" s="2"/>
      <c r="AG69" s="2"/>
      <c r="AH69" s="2"/>
      <c r="AI69" s="2"/>
      <c r="AJ69" s="2"/>
    </row>
    <row r="70" spans="3:36" s="8" customFormat="1" x14ac:dyDescent="0.25">
      <c r="C70" s="47"/>
      <c r="D70" s="2"/>
      <c r="E70" s="2"/>
      <c r="F70" s="2"/>
      <c r="G70" s="2"/>
      <c r="H70" s="2"/>
      <c r="I70" s="2"/>
      <c r="J70" s="2"/>
      <c r="K70" s="77"/>
      <c r="L70" s="77"/>
      <c r="M70" s="77"/>
      <c r="N70" s="77"/>
      <c r="O70" s="77"/>
      <c r="P70" s="77"/>
      <c r="R70" s="2"/>
      <c r="S70" s="2"/>
      <c r="T70" s="2"/>
      <c r="U70" s="2"/>
      <c r="V70" s="2"/>
      <c r="W70" s="2"/>
      <c r="X70" s="2"/>
      <c r="Y70" s="2"/>
      <c r="Z70" s="2"/>
      <c r="AA70" s="2"/>
      <c r="AB70" s="2"/>
      <c r="AC70" s="2"/>
      <c r="AD70" s="2"/>
      <c r="AE70" s="2"/>
      <c r="AF70" s="2"/>
      <c r="AG70" s="2"/>
      <c r="AH70" s="2"/>
      <c r="AI70" s="2"/>
      <c r="AJ70" s="2"/>
    </row>
    <row r="71" spans="3:36" s="8" customFormat="1" ht="67.5" customHeight="1" x14ac:dyDescent="0.25">
      <c r="C71" s="249" t="s">
        <v>136</v>
      </c>
      <c r="D71" s="250"/>
      <c r="E71" s="250"/>
      <c r="F71" s="250"/>
      <c r="G71" s="250"/>
      <c r="H71" s="250"/>
      <c r="I71" s="250"/>
      <c r="J71" s="250"/>
      <c r="K71" s="250"/>
      <c r="L71" s="250"/>
      <c r="M71" s="250"/>
      <c r="N71" s="250"/>
      <c r="O71" s="250"/>
      <c r="P71" s="251"/>
      <c r="R71" s="2"/>
      <c r="S71" s="2"/>
      <c r="T71" s="2"/>
      <c r="U71" s="2"/>
      <c r="V71" s="2"/>
      <c r="W71" s="2"/>
      <c r="X71" s="2"/>
      <c r="Y71" s="2"/>
      <c r="Z71" s="2"/>
      <c r="AA71" s="2"/>
      <c r="AB71" s="2"/>
      <c r="AC71" s="2"/>
      <c r="AD71" s="2"/>
      <c r="AE71" s="2"/>
      <c r="AF71" s="2"/>
      <c r="AG71" s="2"/>
      <c r="AH71" s="2"/>
      <c r="AI71" s="2"/>
      <c r="AJ71" s="2"/>
    </row>
  </sheetData>
  <mergeCells count="7">
    <mergeCell ref="C71:P71"/>
    <mergeCell ref="C3:P3"/>
    <mergeCell ref="C4:P4"/>
    <mergeCell ref="C6:K6"/>
    <mergeCell ref="C59:P59"/>
    <mergeCell ref="C60:P60"/>
    <mergeCell ref="C62:P62"/>
  </mergeCells>
  <conditionalFormatting sqref="F47:H47 M47 O47 D52 F52:H52 N52:O52 D58:P58">
    <cfRule type="cellIs" dxfId="0" priority="1" operator="lessThan">
      <formula>0</formula>
    </cfRule>
  </conditionalFormatting>
  <printOptions horizontalCentered="1" verticalCentered="1"/>
  <pageMargins left="0.25" right="0.25" top="0.75" bottom="0.75" header="0.3" footer="0.3"/>
  <pageSetup paperSize="8" scale="7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2B6B2-9BC8-4C6D-A6E3-63F662DE15D2}">
  <sheetPr>
    <tabColor rgb="FFC00000"/>
  </sheetPr>
  <dimension ref="B1:Q109"/>
  <sheetViews>
    <sheetView showGridLines="0" view="pageBreakPreview" zoomScaleNormal="100" zoomScaleSheetLayoutView="100" workbookViewId="0"/>
  </sheetViews>
  <sheetFormatPr baseColWidth="10" defaultColWidth="11.5703125" defaultRowHeight="15" x14ac:dyDescent="0.25"/>
  <cols>
    <col min="1" max="2" width="3.7109375" style="76" customWidth="1"/>
    <col min="3" max="3" width="50.140625" style="76" customWidth="1"/>
    <col min="4" max="5" width="11.85546875" style="76" customWidth="1"/>
    <col min="6" max="6" width="14" style="78" customWidth="1"/>
    <col min="7" max="8" width="12.42578125" style="76" customWidth="1"/>
    <col min="9" max="9" width="12" style="76" customWidth="1"/>
    <col min="10" max="10" width="10.85546875" style="79" customWidth="1"/>
    <col min="11" max="11" width="3.7109375" style="76" customWidth="1"/>
    <col min="12" max="16384" width="11.5703125" style="76"/>
  </cols>
  <sheetData>
    <row r="1" spans="2:17" ht="10.5" customHeight="1" x14ac:dyDescent="0.25"/>
    <row r="2" spans="2:17" ht="10.5" customHeight="1" x14ac:dyDescent="0.25"/>
    <row r="3" spans="2:17" ht="15.75" x14ac:dyDescent="0.25">
      <c r="C3" s="252" t="s">
        <v>0</v>
      </c>
      <c r="D3" s="252"/>
      <c r="E3" s="252"/>
      <c r="F3" s="252"/>
      <c r="G3" s="252"/>
      <c r="H3" s="252"/>
      <c r="I3" s="252"/>
      <c r="J3" s="252"/>
      <c r="K3" s="4"/>
      <c r="L3" s="4"/>
      <c r="M3" s="4"/>
      <c r="N3" s="4"/>
      <c r="O3" s="4"/>
      <c r="P3" s="4"/>
      <c r="Q3" s="4"/>
    </row>
    <row r="4" spans="2:17" x14ac:dyDescent="0.25">
      <c r="B4" s="253" t="s">
        <v>1</v>
      </c>
      <c r="C4" s="262"/>
      <c r="D4" s="262"/>
      <c r="E4" s="262"/>
      <c r="F4" s="262"/>
      <c r="G4" s="262"/>
      <c r="H4" s="262"/>
      <c r="I4" s="262"/>
      <c r="J4" s="262"/>
      <c r="K4" s="262"/>
      <c r="L4" s="4"/>
      <c r="M4" s="4"/>
      <c r="N4" s="4"/>
      <c r="O4" s="4"/>
      <c r="P4" s="4"/>
      <c r="Q4" s="4"/>
    </row>
    <row r="5" spans="2:17" x14ac:dyDescent="0.25">
      <c r="C5" s="4"/>
      <c r="D5" s="4"/>
      <c r="E5" s="4"/>
      <c r="F5" s="3"/>
      <c r="G5" s="4"/>
      <c r="H5" s="4"/>
      <c r="I5" s="4"/>
      <c r="J5" s="3"/>
      <c r="K5" s="4"/>
      <c r="L5" s="4"/>
      <c r="M5" s="4"/>
      <c r="N5" s="4"/>
      <c r="O5" s="4"/>
      <c r="P5" s="4"/>
      <c r="Q5" s="4"/>
    </row>
    <row r="6" spans="2:17" ht="15.75" x14ac:dyDescent="0.25">
      <c r="C6" s="80" t="s">
        <v>30</v>
      </c>
      <c r="D6" s="81"/>
      <c r="E6" s="81"/>
      <c r="F6" s="82"/>
    </row>
    <row r="7" spans="2:17" x14ac:dyDescent="0.25">
      <c r="C7" s="83" t="s">
        <v>31</v>
      </c>
      <c r="D7" s="84"/>
      <c r="E7" s="84"/>
      <c r="F7" s="85"/>
    </row>
    <row r="8" spans="2:17" ht="27" customHeight="1" x14ac:dyDescent="0.25">
      <c r="C8" s="86"/>
      <c r="D8" s="263" t="s">
        <v>135</v>
      </c>
      <c r="E8" s="264"/>
      <c r="F8" s="265"/>
      <c r="G8" s="263" t="s">
        <v>129</v>
      </c>
      <c r="H8" s="264"/>
      <c r="I8" s="264"/>
      <c r="J8" s="265"/>
    </row>
    <row r="9" spans="2:17" ht="25.5" customHeight="1" x14ac:dyDescent="0.25">
      <c r="C9" s="87" t="s">
        <v>32</v>
      </c>
      <c r="D9" s="126">
        <v>2024</v>
      </c>
      <c r="E9" s="125">
        <v>2025</v>
      </c>
      <c r="F9" s="185" t="s">
        <v>26</v>
      </c>
      <c r="G9" s="126">
        <v>2024</v>
      </c>
      <c r="H9" s="125">
        <v>2025</v>
      </c>
      <c r="I9" s="185" t="s">
        <v>26</v>
      </c>
      <c r="J9" s="186" t="s">
        <v>33</v>
      </c>
    </row>
    <row r="10" spans="2:17" s="88" customFormat="1" ht="6.75" customHeight="1" x14ac:dyDescent="0.25">
      <c r="D10" s="187"/>
      <c r="E10" s="187"/>
      <c r="F10" s="187"/>
      <c r="G10" s="187"/>
      <c r="H10" s="187"/>
      <c r="I10" s="187"/>
      <c r="J10" s="187"/>
    </row>
    <row r="11" spans="2:17" x14ac:dyDescent="0.25">
      <c r="C11" s="89" t="s">
        <v>34</v>
      </c>
      <c r="D11" s="136">
        <f>SUM(D12:D22)</f>
        <v>223593.50799819099</v>
      </c>
      <c r="E11" s="127">
        <f>SUM(E12:E22)</f>
        <v>228007.261841</v>
      </c>
      <c r="F11" s="137">
        <f t="shared" ref="F11:F74" si="0">(E11-D11)/D11</f>
        <v>1.9740080480533068E-2</v>
      </c>
      <c r="G11" s="136">
        <f>SUM(G12:G22)</f>
        <v>1514531.9733985453</v>
      </c>
      <c r="H11" s="127">
        <f>SUM(H12:H22)</f>
        <v>1564666.2157766118</v>
      </c>
      <c r="I11" s="137">
        <f t="shared" ref="I11:I74" si="1">(H11-G11)/G11</f>
        <v>3.3102135351799421E-2</v>
      </c>
      <c r="J11" s="138">
        <f>SUM(J12:J22)</f>
        <v>0.99999999999999978</v>
      </c>
    </row>
    <row r="12" spans="2:17" x14ac:dyDescent="0.25">
      <c r="C12" s="90" t="s">
        <v>36</v>
      </c>
      <c r="D12" s="128">
        <v>25192.023512</v>
      </c>
      <c r="E12" s="129">
        <v>37704.023022000001</v>
      </c>
      <c r="F12" s="139">
        <f t="shared" si="0"/>
        <v>0.49666512513534372</v>
      </c>
      <c r="G12" s="131">
        <v>149905.66071199998</v>
      </c>
      <c r="H12" s="131">
        <v>248346.78284</v>
      </c>
      <c r="I12" s="140">
        <f t="shared" si="1"/>
        <v>0.6566871568454371</v>
      </c>
      <c r="J12" s="141">
        <f>(H12/$H$11)</f>
        <v>0.15872189246237076</v>
      </c>
    </row>
    <row r="13" spans="2:17" x14ac:dyDescent="0.25">
      <c r="C13" s="91" t="s">
        <v>35</v>
      </c>
      <c r="D13" s="130">
        <v>34213.011414492001</v>
      </c>
      <c r="E13" s="131">
        <v>33116.708420000003</v>
      </c>
      <c r="F13" s="142">
        <f t="shared" si="0"/>
        <v>-3.204345215947943E-2</v>
      </c>
      <c r="G13" s="131">
        <v>244514.925686484</v>
      </c>
      <c r="H13" s="131">
        <v>243380.69891124603</v>
      </c>
      <c r="I13" s="140">
        <f t="shared" si="1"/>
        <v>-4.6386811441207114E-3</v>
      </c>
      <c r="J13" s="143">
        <f t="shared" ref="J13:J22" si="2">(H13/$H$11)</f>
        <v>0.15554799896439614</v>
      </c>
    </row>
    <row r="14" spans="2:17" x14ac:dyDescent="0.25">
      <c r="C14" s="91" t="s">
        <v>78</v>
      </c>
      <c r="D14" s="130">
        <v>40342.7595009</v>
      </c>
      <c r="E14" s="131">
        <v>31615.375296000002</v>
      </c>
      <c r="F14" s="142">
        <f t="shared" si="0"/>
        <v>-0.21633086860866074</v>
      </c>
      <c r="G14" s="131">
        <v>262597.75064550003</v>
      </c>
      <c r="H14" s="131">
        <v>233642.75613170001</v>
      </c>
      <c r="I14" s="140">
        <f t="shared" si="1"/>
        <v>-0.11026368063939927</v>
      </c>
      <c r="J14" s="143">
        <f t="shared" si="2"/>
        <v>0.14932434392451743</v>
      </c>
    </row>
    <row r="15" spans="2:17" x14ac:dyDescent="0.25">
      <c r="C15" s="91" t="s">
        <v>37</v>
      </c>
      <c r="D15" s="130">
        <v>35269.608087299996</v>
      </c>
      <c r="E15" s="131">
        <v>26440.278170999998</v>
      </c>
      <c r="F15" s="142">
        <f t="shared" si="0"/>
        <v>-0.25033819186324596</v>
      </c>
      <c r="G15" s="131">
        <v>260429.71771500001</v>
      </c>
      <c r="H15" s="131">
        <v>192952.37247900997</v>
      </c>
      <c r="I15" s="140">
        <f t="shared" si="1"/>
        <v>-0.25910002064293425</v>
      </c>
      <c r="J15" s="143">
        <f t="shared" si="2"/>
        <v>0.12331855224677381</v>
      </c>
    </row>
    <row r="16" spans="2:17" x14ac:dyDescent="0.25">
      <c r="C16" s="91" t="s">
        <v>38</v>
      </c>
      <c r="D16" s="130">
        <v>23063.352579999999</v>
      </c>
      <c r="E16" s="131">
        <v>27453.265200999998</v>
      </c>
      <c r="F16" s="142">
        <f t="shared" si="0"/>
        <v>0.19034147814255023</v>
      </c>
      <c r="G16" s="131">
        <v>170394.0430006033</v>
      </c>
      <c r="H16" s="131">
        <v>184069.67764132872</v>
      </c>
      <c r="I16" s="140">
        <f t="shared" si="1"/>
        <v>8.0258877598655229E-2</v>
      </c>
      <c r="J16" s="143">
        <f t="shared" si="2"/>
        <v>0.11764149809419061</v>
      </c>
    </row>
    <row r="17" spans="3:10" x14ac:dyDescent="0.25">
      <c r="C17" s="91" t="s">
        <v>39</v>
      </c>
      <c r="D17" s="130">
        <v>18138.718499999999</v>
      </c>
      <c r="E17" s="131">
        <v>21357.734680000001</v>
      </c>
      <c r="F17" s="142">
        <f t="shared" si="0"/>
        <v>0.17746657130160559</v>
      </c>
      <c r="G17" s="131">
        <v>99150.429140000007</v>
      </c>
      <c r="H17" s="131">
        <v>140494.53549799998</v>
      </c>
      <c r="I17" s="140">
        <f t="shared" si="1"/>
        <v>0.4169836350342192</v>
      </c>
      <c r="J17" s="143">
        <f t="shared" si="2"/>
        <v>8.9792017033017132E-2</v>
      </c>
    </row>
    <row r="18" spans="3:10" x14ac:dyDescent="0.25">
      <c r="C18" s="91" t="s">
        <v>67</v>
      </c>
      <c r="D18" s="130">
        <v>9134.1342663300002</v>
      </c>
      <c r="E18" s="131">
        <v>11145.863519</v>
      </c>
      <c r="F18" s="142">
        <f t="shared" si="0"/>
        <v>0.22024301307739502</v>
      </c>
      <c r="G18" s="131">
        <v>65314.531825310005</v>
      </c>
      <c r="H18" s="131">
        <v>79409.08502061</v>
      </c>
      <c r="I18" s="140">
        <f t="shared" si="1"/>
        <v>0.21579505818088435</v>
      </c>
      <c r="J18" s="143">
        <f t="shared" si="2"/>
        <v>5.0751453709375213E-2</v>
      </c>
    </row>
    <row r="19" spans="3:10" x14ac:dyDescent="0.25">
      <c r="C19" s="92" t="s">
        <v>40</v>
      </c>
      <c r="D19" s="132">
        <v>10836.86292</v>
      </c>
      <c r="E19" s="133">
        <v>12588.684010000001</v>
      </c>
      <c r="F19" s="142">
        <f t="shared" si="0"/>
        <v>0.16165389402194277</v>
      </c>
      <c r="G19" s="131">
        <v>80271.283881199997</v>
      </c>
      <c r="H19" s="131">
        <v>60670.537133999998</v>
      </c>
      <c r="I19" s="140">
        <f t="shared" si="1"/>
        <v>-0.24418130369272203</v>
      </c>
      <c r="J19" s="143">
        <f t="shared" si="2"/>
        <v>3.8775386419324313E-2</v>
      </c>
    </row>
    <row r="20" spans="3:10" x14ac:dyDescent="0.25">
      <c r="C20" s="92" t="s">
        <v>41</v>
      </c>
      <c r="D20" s="132">
        <v>5667.5320208399999</v>
      </c>
      <c r="E20" s="133">
        <v>5920.4644250000001</v>
      </c>
      <c r="F20" s="142">
        <f t="shared" si="0"/>
        <v>4.4628314975538944E-2</v>
      </c>
      <c r="G20" s="131">
        <v>49460.075611339998</v>
      </c>
      <c r="H20" s="131">
        <v>47923.471304550003</v>
      </c>
      <c r="I20" s="140">
        <f t="shared" si="1"/>
        <v>-3.1067568898695521E-2</v>
      </c>
      <c r="J20" s="143">
        <f t="shared" si="2"/>
        <v>3.0628558871748569E-2</v>
      </c>
    </row>
    <row r="21" spans="3:10" x14ac:dyDescent="0.25">
      <c r="C21" s="92" t="s">
        <v>42</v>
      </c>
      <c r="D21" s="132">
        <v>7029.7476999999999</v>
      </c>
      <c r="E21" s="133">
        <v>4906.6627939999998</v>
      </c>
      <c r="F21" s="142">
        <f t="shared" si="0"/>
        <v>-0.30201438182482709</v>
      </c>
      <c r="G21" s="131">
        <v>32688.654940099997</v>
      </c>
      <c r="H21" s="131">
        <v>30048.979637600001</v>
      </c>
      <c r="I21" s="140">
        <f t="shared" si="1"/>
        <v>-8.0752031777907143E-2</v>
      </c>
      <c r="J21" s="143">
        <f t="shared" si="2"/>
        <v>1.9204721962176059E-2</v>
      </c>
    </row>
    <row r="22" spans="3:10" x14ac:dyDescent="0.25">
      <c r="C22" s="93" t="s">
        <v>144</v>
      </c>
      <c r="D22" s="134">
        <v>14705.757496329008</v>
      </c>
      <c r="E22" s="135">
        <v>15758.202302999998</v>
      </c>
      <c r="F22" s="144">
        <f t="shared" si="0"/>
        <v>7.1566854474086866E-2</v>
      </c>
      <c r="G22" s="131">
        <v>99804.900241008057</v>
      </c>
      <c r="H22" s="131">
        <v>103727.31917856709</v>
      </c>
      <c r="I22" s="140">
        <f t="shared" si="1"/>
        <v>3.9300865269011949E-2</v>
      </c>
      <c r="J22" s="145">
        <f t="shared" si="2"/>
        <v>6.6293576312109942E-2</v>
      </c>
    </row>
    <row r="23" spans="3:10" x14ac:dyDescent="0.25">
      <c r="C23" s="89" t="s">
        <v>43</v>
      </c>
      <c r="D23" s="136">
        <f>SUM(D24:D34)</f>
        <v>8497715.0590460524</v>
      </c>
      <c r="E23" s="127">
        <f>SUM(E24:E34)</f>
        <v>9138678.7093470003</v>
      </c>
      <c r="F23" s="137">
        <f t="shared" si="0"/>
        <v>7.5427764504603437E-2</v>
      </c>
      <c r="G23" s="136">
        <f>SUM(G24:G34)</f>
        <v>61995836.506440952</v>
      </c>
      <c r="H23" s="127">
        <f>SUM(H24:H34)</f>
        <v>60287654.726385877</v>
      </c>
      <c r="I23" s="137">
        <f t="shared" si="1"/>
        <v>-2.7553169314484646E-2</v>
      </c>
      <c r="J23" s="138">
        <f>SUM(J24:J34)</f>
        <v>1</v>
      </c>
    </row>
    <row r="24" spans="3:10" x14ac:dyDescent="0.25">
      <c r="C24" s="90" t="s">
        <v>44</v>
      </c>
      <c r="D24" s="131">
        <v>840190.6324</v>
      </c>
      <c r="E24" s="131">
        <v>1430734.9979999999</v>
      </c>
      <c r="F24" s="140">
        <f t="shared" si="0"/>
        <v>0.70286949512054553</v>
      </c>
      <c r="G24" s="128">
        <v>6088653.4670000002</v>
      </c>
      <c r="H24" s="129">
        <v>8779240.8999000005</v>
      </c>
      <c r="I24" s="139">
        <f t="shared" si="1"/>
        <v>0.44190188314752388</v>
      </c>
      <c r="J24" s="141">
        <f>(H24/$H$23)</f>
        <v>0.14562253150739371</v>
      </c>
    </row>
    <row r="25" spans="3:10" x14ac:dyDescent="0.25">
      <c r="C25" s="91" t="s">
        <v>45</v>
      </c>
      <c r="D25" s="131">
        <v>704961.43862000003</v>
      </c>
      <c r="E25" s="131">
        <v>764391.71025</v>
      </c>
      <c r="F25" s="140">
        <f t="shared" si="0"/>
        <v>8.4302868744619466E-2</v>
      </c>
      <c r="G25" s="130">
        <v>5298277.6952999998</v>
      </c>
      <c r="H25" s="131">
        <v>4357009.27618</v>
      </c>
      <c r="I25" s="142">
        <f t="shared" si="1"/>
        <v>-0.17765554643445375</v>
      </c>
      <c r="J25" s="143">
        <f t="shared" ref="J25:J34" si="3">(H25/$H$23)</f>
        <v>7.2270339523973617E-2</v>
      </c>
    </row>
    <row r="26" spans="3:10" x14ac:dyDescent="0.25">
      <c r="C26" s="91" t="s">
        <v>49</v>
      </c>
      <c r="D26" s="131">
        <v>501772.56476400001</v>
      </c>
      <c r="E26" s="131">
        <v>585133.27099999995</v>
      </c>
      <c r="F26" s="140">
        <f t="shared" si="0"/>
        <v>0.16613245141293684</v>
      </c>
      <c r="G26" s="130">
        <v>4458336.0541130798</v>
      </c>
      <c r="H26" s="131">
        <v>3319438.2920000004</v>
      </c>
      <c r="I26" s="142">
        <f t="shared" si="1"/>
        <v>-0.25545354775631562</v>
      </c>
      <c r="J26" s="143">
        <f t="shared" si="3"/>
        <v>5.5060000377609546E-2</v>
      </c>
    </row>
    <row r="27" spans="3:10" x14ac:dyDescent="0.25">
      <c r="C27" s="91" t="s">
        <v>47</v>
      </c>
      <c r="D27" s="131">
        <v>552261.65922000003</v>
      </c>
      <c r="E27" s="131">
        <v>349816.82694</v>
      </c>
      <c r="F27" s="140">
        <f t="shared" si="0"/>
        <v>-0.36657412098085507</v>
      </c>
      <c r="G27" s="130">
        <v>3691770.9121200005</v>
      </c>
      <c r="H27" s="131">
        <v>3234700.0777399996</v>
      </c>
      <c r="I27" s="142">
        <f t="shared" si="1"/>
        <v>-0.1238080166023974</v>
      </c>
      <c r="J27" s="143">
        <f t="shared" si="3"/>
        <v>5.3654435429950145E-2</v>
      </c>
    </row>
    <row r="28" spans="3:10" x14ac:dyDescent="0.25">
      <c r="C28" s="92" t="s">
        <v>48</v>
      </c>
      <c r="D28" s="133">
        <v>516248.23499999999</v>
      </c>
      <c r="E28" s="133">
        <v>489048.462</v>
      </c>
      <c r="F28" s="140">
        <f t="shared" si="0"/>
        <v>-5.2687391754472512E-2</v>
      </c>
      <c r="G28" s="130">
        <v>3443908.6439999999</v>
      </c>
      <c r="H28" s="131">
        <v>3194159.6429999997</v>
      </c>
      <c r="I28" s="142">
        <f t="shared" si="1"/>
        <v>-7.2519055183160708E-2</v>
      </c>
      <c r="J28" s="143">
        <f t="shared" si="3"/>
        <v>5.2981985408067693E-2</v>
      </c>
    </row>
    <row r="29" spans="3:10" x14ac:dyDescent="0.25">
      <c r="C29" s="92" t="s">
        <v>50</v>
      </c>
      <c r="D29" s="133">
        <v>381118.54</v>
      </c>
      <c r="E29" s="133">
        <v>360819</v>
      </c>
      <c r="F29" s="140">
        <f t="shared" si="0"/>
        <v>-5.326306088389187E-2</v>
      </c>
      <c r="G29" s="130">
        <v>2630357.4561600001</v>
      </c>
      <c r="H29" s="131">
        <v>2554077.23</v>
      </c>
      <c r="I29" s="142">
        <f t="shared" si="1"/>
        <v>-2.8999946749199583E-2</v>
      </c>
      <c r="J29" s="143">
        <f t="shared" si="3"/>
        <v>4.2364846361856674E-2</v>
      </c>
    </row>
    <row r="30" spans="3:10" x14ac:dyDescent="0.25">
      <c r="C30" s="92" t="s">
        <v>52</v>
      </c>
      <c r="D30" s="133">
        <v>352373.78268399998</v>
      </c>
      <c r="E30" s="133">
        <v>396601.93702800001</v>
      </c>
      <c r="F30" s="140">
        <f t="shared" si="0"/>
        <v>0.12551488367584585</v>
      </c>
      <c r="G30" s="130">
        <v>2379381.3493959997</v>
      </c>
      <c r="H30" s="131">
        <v>2384553.3812250001</v>
      </c>
      <c r="I30" s="142">
        <f t="shared" si="1"/>
        <v>2.1736876395678896E-3</v>
      </c>
      <c r="J30" s="143">
        <f t="shared" si="3"/>
        <v>3.9552929899947846E-2</v>
      </c>
    </row>
    <row r="31" spans="3:10" x14ac:dyDescent="0.25">
      <c r="C31" s="92" t="s">
        <v>53</v>
      </c>
      <c r="D31" s="133">
        <v>153374.6384</v>
      </c>
      <c r="E31" s="133">
        <v>346250.84</v>
      </c>
      <c r="F31" s="140">
        <f t="shared" si="0"/>
        <v>1.2575495115234125</v>
      </c>
      <c r="G31" s="130">
        <v>1360197.8778000001</v>
      </c>
      <c r="H31" s="131">
        <v>2250036.0410000002</v>
      </c>
      <c r="I31" s="142">
        <f t="shared" si="1"/>
        <v>0.65419758236884962</v>
      </c>
      <c r="J31" s="143">
        <f t="shared" si="3"/>
        <v>3.7321671430274352E-2</v>
      </c>
    </row>
    <row r="32" spans="3:10" x14ac:dyDescent="0.25">
      <c r="C32" s="92" t="s">
        <v>51</v>
      </c>
      <c r="D32" s="133">
        <v>299200.44261974999</v>
      </c>
      <c r="E32" s="133">
        <v>290499.68023499998</v>
      </c>
      <c r="F32" s="140">
        <f t="shared" si="0"/>
        <v>-2.9080045164932108E-2</v>
      </c>
      <c r="G32" s="130">
        <v>1771881.3717503538</v>
      </c>
      <c r="H32" s="131">
        <v>2013347.7786581418</v>
      </c>
      <c r="I32" s="142">
        <f t="shared" si="1"/>
        <v>0.13627684717360922</v>
      </c>
      <c r="J32" s="143">
        <f t="shared" si="3"/>
        <v>3.3395689180408063E-2</v>
      </c>
    </row>
    <row r="33" spans="3:10" x14ac:dyDescent="0.25">
      <c r="C33" s="92" t="s">
        <v>54</v>
      </c>
      <c r="D33" s="133">
        <v>277450.99617945799</v>
      </c>
      <c r="E33" s="133">
        <v>245065.95422499999</v>
      </c>
      <c r="F33" s="140">
        <f t="shared" si="0"/>
        <v>-0.11672346612700946</v>
      </c>
      <c r="G33" s="130">
        <v>2109415.9475271581</v>
      </c>
      <c r="H33" s="131">
        <v>1830149.4680720449</v>
      </c>
      <c r="I33" s="142">
        <f t="shared" si="1"/>
        <v>-0.13239042768330911</v>
      </c>
      <c r="J33" s="143">
        <f t="shared" si="3"/>
        <v>3.0356952453667933E-2</v>
      </c>
    </row>
    <row r="34" spans="3:10" x14ac:dyDescent="0.25">
      <c r="C34" s="93" t="s">
        <v>143</v>
      </c>
      <c r="D34" s="133">
        <v>3918762.1291588461</v>
      </c>
      <c r="E34" s="133">
        <v>3880316.0296690003</v>
      </c>
      <c r="F34" s="146">
        <f t="shared" si="0"/>
        <v>-9.8107765214364203E-3</v>
      </c>
      <c r="G34" s="134">
        <v>28763655.731274359</v>
      </c>
      <c r="H34" s="135">
        <v>26370942.638610691</v>
      </c>
      <c r="I34" s="147">
        <f t="shared" si="1"/>
        <v>-8.3185291710403189E-2</v>
      </c>
      <c r="J34" s="145">
        <f t="shared" si="3"/>
        <v>0.43741861842685043</v>
      </c>
    </row>
    <row r="35" spans="3:10" x14ac:dyDescent="0.25">
      <c r="C35" s="94" t="s">
        <v>55</v>
      </c>
      <c r="D35" s="136">
        <f>SUM(D36:D46)</f>
        <v>106722.37920290901</v>
      </c>
      <c r="E35" s="127">
        <f>SUM(E36:E46)</f>
        <v>125134.936195</v>
      </c>
      <c r="F35" s="137">
        <f t="shared" si="0"/>
        <v>0.17252760976293063</v>
      </c>
      <c r="G35" s="136">
        <f>SUM(G36:G46)</f>
        <v>736325.24293817487</v>
      </c>
      <c r="H35" s="127">
        <f>SUM(H36:H46)</f>
        <v>840375.26413740648</v>
      </c>
      <c r="I35" s="137">
        <f t="shared" si="1"/>
        <v>0.14130986571102536</v>
      </c>
      <c r="J35" s="138">
        <f>SUM(J36:J46)</f>
        <v>1.0000000000000002</v>
      </c>
    </row>
    <row r="36" spans="3:10" x14ac:dyDescent="0.25">
      <c r="C36" s="90" t="s">
        <v>37</v>
      </c>
      <c r="D36" s="131">
        <v>23941.098710099999</v>
      </c>
      <c r="E36" s="131">
        <v>47023.378404000003</v>
      </c>
      <c r="F36" s="140">
        <f t="shared" si="0"/>
        <v>0.96412783612818542</v>
      </c>
      <c r="G36" s="148">
        <v>172007.01053609999</v>
      </c>
      <c r="H36" s="149">
        <v>303584.16166884999</v>
      </c>
      <c r="I36" s="150">
        <f t="shared" si="1"/>
        <v>0.76495225818214685</v>
      </c>
      <c r="J36" s="151">
        <f>(H36/$H$35)</f>
        <v>0.36124833110177329</v>
      </c>
    </row>
    <row r="37" spans="3:10" x14ac:dyDescent="0.25">
      <c r="C37" s="91" t="s">
        <v>56</v>
      </c>
      <c r="D37" s="131">
        <v>14820.042165536001</v>
      </c>
      <c r="E37" s="131">
        <v>14618.292056999999</v>
      </c>
      <c r="F37" s="140">
        <f t="shared" si="0"/>
        <v>-1.3613328915161359E-2</v>
      </c>
      <c r="G37" s="132">
        <v>87081.336738475991</v>
      </c>
      <c r="H37" s="133">
        <v>96542.239450120003</v>
      </c>
      <c r="I37" s="152">
        <f t="shared" si="1"/>
        <v>0.10864443594908448</v>
      </c>
      <c r="J37" s="153">
        <f t="shared" ref="J37:J46" si="4">(H37/$H$35)</f>
        <v>0.11487991564008571</v>
      </c>
    </row>
    <row r="38" spans="3:10" x14ac:dyDescent="0.25">
      <c r="C38" s="91" t="s">
        <v>57</v>
      </c>
      <c r="D38" s="131">
        <v>10082.834000000001</v>
      </c>
      <c r="E38" s="131">
        <v>8432.112000000001</v>
      </c>
      <c r="F38" s="140">
        <f t="shared" si="0"/>
        <v>-0.16371607427038862</v>
      </c>
      <c r="G38" s="132">
        <v>62402.895400000001</v>
      </c>
      <c r="H38" s="133">
        <v>51647.586500000005</v>
      </c>
      <c r="I38" s="152">
        <f t="shared" si="1"/>
        <v>-0.17235272227448595</v>
      </c>
      <c r="J38" s="153">
        <f t="shared" si="4"/>
        <v>6.1457766195692438E-2</v>
      </c>
    </row>
    <row r="39" spans="3:10" x14ac:dyDescent="0.25">
      <c r="C39" s="91" t="s">
        <v>59</v>
      </c>
      <c r="D39" s="131">
        <v>7914.837724</v>
      </c>
      <c r="E39" s="131">
        <v>6803.480517</v>
      </c>
      <c r="F39" s="140">
        <f t="shared" si="0"/>
        <v>-0.14041440213360967</v>
      </c>
      <c r="G39" s="132">
        <v>61231.025311999991</v>
      </c>
      <c r="H39" s="133">
        <v>32156.221278000001</v>
      </c>
      <c r="I39" s="152">
        <f t="shared" si="1"/>
        <v>-0.47483777849302061</v>
      </c>
      <c r="J39" s="154">
        <f t="shared" si="4"/>
        <v>3.8264121577883878E-2</v>
      </c>
    </row>
    <row r="40" spans="3:10" x14ac:dyDescent="0.25">
      <c r="C40" s="92" t="s">
        <v>58</v>
      </c>
      <c r="D40" s="133">
        <v>4906.5333540000001</v>
      </c>
      <c r="E40" s="133">
        <v>4709.3742300000004</v>
      </c>
      <c r="F40" s="146">
        <f t="shared" si="0"/>
        <v>-4.0182978444295678E-2</v>
      </c>
      <c r="G40" s="132">
        <v>31587.853112000001</v>
      </c>
      <c r="H40" s="133">
        <v>31749.291926000005</v>
      </c>
      <c r="I40" s="152">
        <f t="shared" si="1"/>
        <v>5.1107877900912228E-3</v>
      </c>
      <c r="J40" s="154">
        <f t="shared" si="4"/>
        <v>3.777989819653807E-2</v>
      </c>
    </row>
    <row r="41" spans="3:10" x14ac:dyDescent="0.25">
      <c r="C41" s="92" t="s">
        <v>61</v>
      </c>
      <c r="D41" s="133">
        <v>4793.8171224000007</v>
      </c>
      <c r="E41" s="133">
        <v>4470.553191</v>
      </c>
      <c r="F41" s="146">
        <f t="shared" si="0"/>
        <v>-6.7433513449958279E-2</v>
      </c>
      <c r="G41" s="132">
        <v>31718.859922299998</v>
      </c>
      <c r="H41" s="133">
        <v>29279.718499899998</v>
      </c>
      <c r="I41" s="152">
        <f t="shared" si="1"/>
        <v>-7.6898773422974048E-2</v>
      </c>
      <c r="J41" s="154">
        <f t="shared" si="4"/>
        <v>3.4841242655986343E-2</v>
      </c>
    </row>
    <row r="42" spans="3:10" x14ac:dyDescent="0.25">
      <c r="C42" s="92" t="s">
        <v>60</v>
      </c>
      <c r="D42" s="133">
        <v>4277.3769199059998</v>
      </c>
      <c r="E42" s="133">
        <v>4254.5052180000002</v>
      </c>
      <c r="F42" s="146">
        <f t="shared" si="0"/>
        <v>-5.3471326783383344E-3</v>
      </c>
      <c r="G42" s="132">
        <v>28015.439879684</v>
      </c>
      <c r="H42" s="133">
        <v>29162.170321778998</v>
      </c>
      <c r="I42" s="152">
        <f t="shared" si="1"/>
        <v>4.093208769948941E-2</v>
      </c>
      <c r="J42" s="154">
        <f t="shared" si="4"/>
        <v>3.4701366837245229E-2</v>
      </c>
    </row>
    <row r="43" spans="3:10" x14ac:dyDescent="0.25">
      <c r="C43" s="92" t="s">
        <v>39</v>
      </c>
      <c r="D43" s="133">
        <v>4338.5230000000001</v>
      </c>
      <c r="E43" s="133">
        <v>4274.03388</v>
      </c>
      <c r="F43" s="146">
        <f t="shared" si="0"/>
        <v>-1.4864302897552965E-2</v>
      </c>
      <c r="G43" s="132">
        <v>37121.299537999999</v>
      </c>
      <c r="H43" s="133">
        <v>28616.711080999998</v>
      </c>
      <c r="I43" s="152">
        <f t="shared" si="1"/>
        <v>-0.22910265973566202</v>
      </c>
      <c r="J43" s="154">
        <f t="shared" si="4"/>
        <v>3.4052300564050147E-2</v>
      </c>
    </row>
    <row r="44" spans="3:10" x14ac:dyDescent="0.25">
      <c r="C44" s="92" t="s">
        <v>63</v>
      </c>
      <c r="D44" s="133">
        <v>3236.0991617199998</v>
      </c>
      <c r="E44" s="133">
        <v>3893.0745069999998</v>
      </c>
      <c r="F44" s="146">
        <f t="shared" si="0"/>
        <v>0.20301459023610852</v>
      </c>
      <c r="G44" s="132">
        <v>28355.11280404</v>
      </c>
      <c r="H44" s="133">
        <v>24812.053537510001</v>
      </c>
      <c r="I44" s="152">
        <f t="shared" si="1"/>
        <v>-0.12495310073410072</v>
      </c>
      <c r="J44" s="153">
        <f t="shared" si="4"/>
        <v>2.9524968899433335E-2</v>
      </c>
    </row>
    <row r="45" spans="3:10" x14ac:dyDescent="0.25">
      <c r="C45" s="92" t="s">
        <v>62</v>
      </c>
      <c r="D45" s="133">
        <v>3272.4712260000001</v>
      </c>
      <c r="E45" s="133">
        <v>2594.6459</v>
      </c>
      <c r="F45" s="146">
        <f t="shared" si="0"/>
        <v>-0.20712949914261525</v>
      </c>
      <c r="G45" s="132">
        <v>25017.856086600001</v>
      </c>
      <c r="H45" s="133">
        <v>22741.143188900001</v>
      </c>
      <c r="I45" s="152">
        <f t="shared" si="1"/>
        <v>-9.1003517240609857E-2</v>
      </c>
      <c r="J45" s="153">
        <f t="shared" si="4"/>
        <v>2.7060700331586255E-2</v>
      </c>
    </row>
    <row r="46" spans="3:10" x14ac:dyDescent="0.25">
      <c r="C46" s="93" t="s">
        <v>142</v>
      </c>
      <c r="D46" s="133">
        <v>25138.745819247</v>
      </c>
      <c r="E46" s="133">
        <v>24061.486290999997</v>
      </c>
      <c r="F46" s="146">
        <f>(E46-D46)/D46</f>
        <v>-4.2852556606949727E-2</v>
      </c>
      <c r="G46" s="134">
        <v>171786.55360897497</v>
      </c>
      <c r="H46" s="135">
        <v>190083.96668534764</v>
      </c>
      <c r="I46" s="144">
        <f t="shared" si="1"/>
        <v>0.10651248710665516</v>
      </c>
      <c r="J46" s="155">
        <f t="shared" si="4"/>
        <v>0.22618938799972549</v>
      </c>
    </row>
    <row r="47" spans="3:10" x14ac:dyDescent="0.25">
      <c r="C47" s="94" t="s">
        <v>64</v>
      </c>
      <c r="D47" s="136">
        <f>SUM(D48:D58)</f>
        <v>289166.78179339378</v>
      </c>
      <c r="E47" s="127">
        <f>SUM(E48:E58)</f>
        <v>297497.45979500003</v>
      </c>
      <c r="F47" s="137">
        <f t="shared" si="0"/>
        <v>2.8809249630749167E-2</v>
      </c>
      <c r="G47" s="156">
        <f>SUM(G48:G58)</f>
        <v>1931255.6546894209</v>
      </c>
      <c r="H47" s="156">
        <f>SUM(H48:H58)</f>
        <v>2092614.7529623585</v>
      </c>
      <c r="I47" s="157">
        <f t="shared" si="1"/>
        <v>8.3551392008163153E-2</v>
      </c>
      <c r="J47" s="138">
        <f>SUM(J48:J58)</f>
        <v>0.99999999999999989</v>
      </c>
    </row>
    <row r="48" spans="3:10" x14ac:dyDescent="0.25">
      <c r="C48" s="90" t="s">
        <v>37</v>
      </c>
      <c r="D48" s="128">
        <v>29679.887284710399</v>
      </c>
      <c r="E48" s="129">
        <v>45401.543319000004</v>
      </c>
      <c r="F48" s="139">
        <f t="shared" si="0"/>
        <v>0.5297074036527295</v>
      </c>
      <c r="G48" s="128">
        <v>198903.94730202178</v>
      </c>
      <c r="H48" s="129">
        <v>293039.75094378856</v>
      </c>
      <c r="I48" s="139">
        <f t="shared" si="1"/>
        <v>0.47327267718235938</v>
      </c>
      <c r="J48" s="141">
        <f>(H48/$H$47)</f>
        <v>0.14003521218081544</v>
      </c>
    </row>
    <row r="49" spans="3:10" x14ac:dyDescent="0.25">
      <c r="C49" s="91" t="s">
        <v>65</v>
      </c>
      <c r="D49" s="130">
        <v>35707.896850415003</v>
      </c>
      <c r="E49" s="131">
        <v>33812.951503000004</v>
      </c>
      <c r="F49" s="142">
        <f t="shared" si="0"/>
        <v>-5.3067962959374805E-2</v>
      </c>
      <c r="G49" s="130">
        <v>189082.39661043652</v>
      </c>
      <c r="H49" s="131">
        <v>227453.36012733052</v>
      </c>
      <c r="I49" s="142">
        <f t="shared" si="1"/>
        <v>0.20293250035300267</v>
      </c>
      <c r="J49" s="143">
        <f t="shared" ref="J49:J58" si="5">(H49/$H$47)</f>
        <v>0.10869337502535609</v>
      </c>
    </row>
    <row r="50" spans="3:10" x14ac:dyDescent="0.25">
      <c r="C50" s="91" t="s">
        <v>39</v>
      </c>
      <c r="D50" s="130">
        <v>22449.423746647801</v>
      </c>
      <c r="E50" s="131">
        <v>19966.953098000002</v>
      </c>
      <c r="F50" s="142">
        <f t="shared" si="0"/>
        <v>-0.11058059559406228</v>
      </c>
      <c r="G50" s="130">
        <v>146118.20046093571</v>
      </c>
      <c r="H50" s="131">
        <v>134828.42524037921</v>
      </c>
      <c r="I50" s="142">
        <f t="shared" si="1"/>
        <v>-7.7264674660257632E-2</v>
      </c>
      <c r="J50" s="143">
        <f t="shared" si="5"/>
        <v>6.4430600543894989E-2</v>
      </c>
    </row>
    <row r="51" spans="3:10" x14ac:dyDescent="0.25">
      <c r="C51" s="91" t="s">
        <v>56</v>
      </c>
      <c r="D51" s="130">
        <v>21818.687250427</v>
      </c>
      <c r="E51" s="131">
        <v>16443.792782</v>
      </c>
      <c r="F51" s="142">
        <f t="shared" si="0"/>
        <v>-0.24634362309408925</v>
      </c>
      <c r="G51" s="130">
        <v>114348.38943522659</v>
      </c>
      <c r="H51" s="131">
        <v>123494.2210799857</v>
      </c>
      <c r="I51" s="142">
        <f t="shared" si="1"/>
        <v>7.9982164068343298E-2</v>
      </c>
      <c r="J51" s="143">
        <f t="shared" si="5"/>
        <v>5.9014312550919441E-2</v>
      </c>
    </row>
    <row r="52" spans="3:10" x14ac:dyDescent="0.25">
      <c r="C52" s="91" t="s">
        <v>50</v>
      </c>
      <c r="D52" s="130">
        <v>16266.315629910399</v>
      </c>
      <c r="E52" s="131">
        <v>14849.337186999999</v>
      </c>
      <c r="F52" s="142">
        <f t="shared" si="0"/>
        <v>-8.7111210377897069E-2</v>
      </c>
      <c r="G52" s="130">
        <v>110853.9030847629</v>
      </c>
      <c r="H52" s="131">
        <v>106952.05378387059</v>
      </c>
      <c r="I52" s="142">
        <f t="shared" si="1"/>
        <v>-3.5198122865451258E-2</v>
      </c>
      <c r="J52" s="143">
        <f t="shared" si="5"/>
        <v>5.1109289768920221E-2</v>
      </c>
    </row>
    <row r="53" spans="3:10" x14ac:dyDescent="0.25">
      <c r="C53" s="92" t="s">
        <v>35</v>
      </c>
      <c r="D53" s="132">
        <v>14847.144987285199</v>
      </c>
      <c r="E53" s="133">
        <v>13893.590779</v>
      </c>
      <c r="F53" s="142">
        <f t="shared" si="0"/>
        <v>-6.4224752240367014E-2</v>
      </c>
      <c r="G53" s="130">
        <v>104181.02055912818</v>
      </c>
      <c r="H53" s="131">
        <v>104103.9662674494</v>
      </c>
      <c r="I53" s="142">
        <f t="shared" si="1"/>
        <v>-7.3961928252612376E-4</v>
      </c>
      <c r="J53" s="143">
        <f t="shared" si="5"/>
        <v>4.9748271209536864E-2</v>
      </c>
    </row>
    <row r="54" spans="3:10" x14ac:dyDescent="0.25">
      <c r="C54" s="92" t="s">
        <v>36</v>
      </c>
      <c r="D54" s="132">
        <v>7597.9854711217004</v>
      </c>
      <c r="E54" s="133">
        <v>13309.312411000001</v>
      </c>
      <c r="F54" s="142">
        <f t="shared" si="0"/>
        <v>0.75168963688938584</v>
      </c>
      <c r="G54" s="130">
        <v>56149.561683370994</v>
      </c>
      <c r="H54" s="131">
        <v>86893.638740484603</v>
      </c>
      <c r="I54" s="142">
        <f t="shared" si="1"/>
        <v>0.54753903922670588</v>
      </c>
      <c r="J54" s="143">
        <f t="shared" si="5"/>
        <v>4.15239539994047E-2</v>
      </c>
    </row>
    <row r="55" spans="3:10" x14ac:dyDescent="0.25">
      <c r="C55" s="92" t="s">
        <v>58</v>
      </c>
      <c r="D55" s="132">
        <v>11074.462622442599</v>
      </c>
      <c r="E55" s="133">
        <v>12243.943107999999</v>
      </c>
      <c r="F55" s="142">
        <f t="shared" si="0"/>
        <v>0.10560155606895334</v>
      </c>
      <c r="G55" s="130">
        <v>79616.576250507103</v>
      </c>
      <c r="H55" s="131">
        <v>80239.839067833818</v>
      </c>
      <c r="I55" s="142">
        <f t="shared" si="1"/>
        <v>7.8283046907928946E-3</v>
      </c>
      <c r="J55" s="143">
        <f t="shared" si="5"/>
        <v>3.8344295792736939E-2</v>
      </c>
    </row>
    <row r="56" spans="3:10" x14ac:dyDescent="0.25">
      <c r="C56" s="92" t="s">
        <v>66</v>
      </c>
      <c r="D56" s="132">
        <v>11406.0074959638</v>
      </c>
      <c r="E56" s="133">
        <v>12592.988664</v>
      </c>
      <c r="F56" s="142">
        <f t="shared" si="0"/>
        <v>0.10406631491836493</v>
      </c>
      <c r="G56" s="130">
        <v>78112.278566947207</v>
      </c>
      <c r="H56" s="131">
        <v>77762.174139292401</v>
      </c>
      <c r="I56" s="142">
        <f t="shared" si="1"/>
        <v>-4.4820665083370173E-3</v>
      </c>
      <c r="J56" s="143">
        <f t="shared" si="5"/>
        <v>3.7160291462731157E-2</v>
      </c>
    </row>
    <row r="57" spans="3:10" x14ac:dyDescent="0.25">
      <c r="C57" s="92" t="s">
        <v>67</v>
      </c>
      <c r="D57" s="132">
        <v>4874.9200847950997</v>
      </c>
      <c r="E57" s="133">
        <v>8889.5574460000007</v>
      </c>
      <c r="F57" s="142">
        <f t="shared" si="0"/>
        <v>0.82352885613993454</v>
      </c>
      <c r="G57" s="130">
        <v>40908.583140082497</v>
      </c>
      <c r="H57" s="131">
        <v>69836.210911582893</v>
      </c>
      <c r="I57" s="142">
        <f t="shared" si="1"/>
        <v>0.70712856694264037</v>
      </c>
      <c r="J57" s="143">
        <f t="shared" si="5"/>
        <v>3.3372703127855223E-2</v>
      </c>
    </row>
    <row r="58" spans="3:10" x14ac:dyDescent="0.25">
      <c r="C58" s="93" t="s">
        <v>141</v>
      </c>
      <c r="D58" s="134">
        <v>113444.05036967478</v>
      </c>
      <c r="E58" s="135">
        <v>106093.48949800001</v>
      </c>
      <c r="F58" s="147">
        <f t="shared" si="0"/>
        <v>-6.4794591234373602E-2</v>
      </c>
      <c r="G58" s="134">
        <v>812980.79759600165</v>
      </c>
      <c r="H58" s="135">
        <v>788011.11266036076</v>
      </c>
      <c r="I58" s="144">
        <f t="shared" si="1"/>
        <v>-3.0713745034909416E-2</v>
      </c>
      <c r="J58" s="145">
        <f t="shared" si="5"/>
        <v>0.37656769433782888</v>
      </c>
    </row>
    <row r="59" spans="3:10" x14ac:dyDescent="0.25">
      <c r="C59" s="94" t="s">
        <v>68</v>
      </c>
      <c r="D59" s="136">
        <f>SUM(D60:D70)</f>
        <v>26066.796739928999</v>
      </c>
      <c r="E59" s="127">
        <f>SUM(E60:E70)</f>
        <v>26330.830792999997</v>
      </c>
      <c r="F59" s="137">
        <f t="shared" si="0"/>
        <v>1.0129133077044026E-2</v>
      </c>
      <c r="G59" s="136">
        <f>SUM(G60:G70)</f>
        <v>166919.85109403398</v>
      </c>
      <c r="H59" s="127">
        <f>SUM(H60:H70)</f>
        <v>178220.17936665937</v>
      </c>
      <c r="I59" s="137">
        <f t="shared" si="1"/>
        <v>6.769912744685698E-2</v>
      </c>
      <c r="J59" s="138">
        <f>SUM(J60:J70)</f>
        <v>1</v>
      </c>
    </row>
    <row r="60" spans="3:10" x14ac:dyDescent="0.25">
      <c r="C60" s="90" t="s">
        <v>56</v>
      </c>
      <c r="D60" s="131">
        <v>2837.6198878719997</v>
      </c>
      <c r="E60" s="131">
        <v>2498.0608030000003</v>
      </c>
      <c r="F60" s="140">
        <f t="shared" si="0"/>
        <v>-0.11966334403112851</v>
      </c>
      <c r="G60" s="128">
        <v>14812.770565367999</v>
      </c>
      <c r="H60" s="129">
        <v>16793.826367865004</v>
      </c>
      <c r="I60" s="139">
        <f t="shared" si="1"/>
        <v>0.13373972098971676</v>
      </c>
      <c r="J60" s="141">
        <f>(H60/$H$59)</f>
        <v>9.4230779183059873E-2</v>
      </c>
    </row>
    <row r="61" spans="3:10" x14ac:dyDescent="0.25">
      <c r="C61" s="91" t="s">
        <v>58</v>
      </c>
      <c r="D61" s="131">
        <v>2231.7341070000002</v>
      </c>
      <c r="E61" s="131">
        <v>2402.8685459999997</v>
      </c>
      <c r="F61" s="140">
        <f t="shared" si="0"/>
        <v>7.6682270734324293E-2</v>
      </c>
      <c r="G61" s="130">
        <v>16136.709854000001</v>
      </c>
      <c r="H61" s="131">
        <v>16082.704029999999</v>
      </c>
      <c r="I61" s="142">
        <f t="shared" si="1"/>
        <v>-3.3467679897965443E-3</v>
      </c>
      <c r="J61" s="143">
        <f t="shared" ref="J61:J70" si="6">(H61/$H$59)</f>
        <v>9.0240645515861709E-2</v>
      </c>
    </row>
    <row r="62" spans="3:10" x14ac:dyDescent="0.25">
      <c r="C62" s="91" t="s">
        <v>60</v>
      </c>
      <c r="D62" s="131">
        <v>1948.382403217</v>
      </c>
      <c r="E62" s="131">
        <v>2471.1671679999999</v>
      </c>
      <c r="F62" s="140">
        <f t="shared" si="0"/>
        <v>0.26831733027347354</v>
      </c>
      <c r="G62" s="130">
        <v>11410.694726658001</v>
      </c>
      <c r="H62" s="131">
        <v>14884.849849100001</v>
      </c>
      <c r="I62" s="142">
        <f t="shared" si="1"/>
        <v>0.30446482056220264</v>
      </c>
      <c r="J62" s="143">
        <f t="shared" si="6"/>
        <v>8.3519441524502205E-2</v>
      </c>
    </row>
    <row r="63" spans="3:10" x14ac:dyDescent="0.25">
      <c r="C63" s="91" t="s">
        <v>69</v>
      </c>
      <c r="D63" s="131">
        <v>1876.2924798000001</v>
      </c>
      <c r="E63" s="131">
        <v>1883.4267579999998</v>
      </c>
      <c r="F63" s="140">
        <f t="shared" si="0"/>
        <v>3.8023273433149206E-3</v>
      </c>
      <c r="G63" s="130">
        <v>11314.618780300001</v>
      </c>
      <c r="H63" s="131">
        <v>12771.1539263</v>
      </c>
      <c r="I63" s="142">
        <f t="shared" si="1"/>
        <v>0.12873037742429172</v>
      </c>
      <c r="J63" s="143">
        <f t="shared" si="6"/>
        <v>7.1659415738918111E-2</v>
      </c>
    </row>
    <row r="64" spans="3:10" x14ac:dyDescent="0.25">
      <c r="C64" s="92" t="s">
        <v>65</v>
      </c>
      <c r="D64" s="133">
        <v>2422.6807853</v>
      </c>
      <c r="E64" s="133">
        <v>1838.1777510000002</v>
      </c>
      <c r="F64" s="140">
        <f t="shared" si="0"/>
        <v>-0.24126291744523864</v>
      </c>
      <c r="G64" s="130">
        <v>13150.179457779999</v>
      </c>
      <c r="H64" s="131">
        <v>11976.264331399998</v>
      </c>
      <c r="I64" s="142">
        <f t="shared" si="1"/>
        <v>-8.9269894007832848E-2</v>
      </c>
      <c r="J64" s="143">
        <f t="shared" si="6"/>
        <v>6.7199260902777794E-2</v>
      </c>
    </row>
    <row r="65" spans="3:10" x14ac:dyDescent="0.25">
      <c r="C65" s="92" t="s">
        <v>70</v>
      </c>
      <c r="D65" s="133">
        <v>1191.2471436999999</v>
      </c>
      <c r="E65" s="133">
        <v>1081.6554719999999</v>
      </c>
      <c r="F65" s="140">
        <f t="shared" si="0"/>
        <v>-9.1997426629380652E-2</v>
      </c>
      <c r="G65" s="130">
        <v>7887.2613488999996</v>
      </c>
      <c r="H65" s="131">
        <v>9563.2114184000002</v>
      </c>
      <c r="I65" s="142">
        <f t="shared" si="1"/>
        <v>0.21248821300104856</v>
      </c>
      <c r="J65" s="158">
        <f t="shared" si="6"/>
        <v>5.3659532003529353E-2</v>
      </c>
    </row>
    <row r="66" spans="3:10" x14ac:dyDescent="0.25">
      <c r="C66" s="92" t="s">
        <v>71</v>
      </c>
      <c r="D66" s="133">
        <v>1532.626385</v>
      </c>
      <c r="E66" s="133">
        <v>1401.988681</v>
      </c>
      <c r="F66" s="140">
        <f t="shared" si="0"/>
        <v>-8.5237801775153429E-2</v>
      </c>
      <c r="G66" s="130">
        <v>10767.099261999998</v>
      </c>
      <c r="H66" s="131">
        <v>9550.4767740000007</v>
      </c>
      <c r="I66" s="142">
        <f t="shared" si="1"/>
        <v>-0.11299445267434161</v>
      </c>
      <c r="J66" s="158">
        <f t="shared" si="6"/>
        <v>5.3588077444089145E-2</v>
      </c>
    </row>
    <row r="67" spans="3:10" x14ac:dyDescent="0.25">
      <c r="C67" s="92" t="s">
        <v>66</v>
      </c>
      <c r="D67" s="133">
        <v>1024.2756651499999</v>
      </c>
      <c r="E67" s="133">
        <v>1483.909815</v>
      </c>
      <c r="F67" s="140">
        <f t="shared" si="0"/>
        <v>0.44874067156783326</v>
      </c>
      <c r="G67" s="130">
        <v>5231.0313002479998</v>
      </c>
      <c r="H67" s="131">
        <v>9235.9519960850012</v>
      </c>
      <c r="I67" s="142">
        <f t="shared" si="1"/>
        <v>0.76560824548060546</v>
      </c>
      <c r="J67" s="143">
        <f t="shared" si="6"/>
        <v>5.182326731409867E-2</v>
      </c>
    </row>
    <row r="68" spans="3:10" x14ac:dyDescent="0.25">
      <c r="C68" s="92" t="s">
        <v>62</v>
      </c>
      <c r="D68" s="133">
        <v>818.40580319999992</v>
      </c>
      <c r="E68" s="133">
        <v>814.17751900000007</v>
      </c>
      <c r="F68" s="140">
        <f t="shared" si="0"/>
        <v>-5.1664885359647807E-3</v>
      </c>
      <c r="G68" s="130">
        <v>8398.1298739999984</v>
      </c>
      <c r="H68" s="131">
        <v>7746.7608191999998</v>
      </c>
      <c r="I68" s="142">
        <f t="shared" si="1"/>
        <v>-7.7561202859768821E-2</v>
      </c>
      <c r="J68" s="143">
        <f t="shared" si="6"/>
        <v>4.3467360692429138E-2</v>
      </c>
    </row>
    <row r="69" spans="3:10" x14ac:dyDescent="0.25">
      <c r="C69" s="92" t="s">
        <v>37</v>
      </c>
      <c r="D69" s="133">
        <v>89.214839999999995</v>
      </c>
      <c r="E69" s="133">
        <v>808.91373699999997</v>
      </c>
      <c r="F69" s="140">
        <f t="shared" si="0"/>
        <v>8.067031191223343</v>
      </c>
      <c r="G69" s="130">
        <v>497.38382939999997</v>
      </c>
      <c r="H69" s="131">
        <v>7227.5199191999991</v>
      </c>
      <c r="I69" s="142" t="s">
        <v>81</v>
      </c>
      <c r="J69" s="143">
        <f t="shared" si="6"/>
        <v>4.0553880850554745E-2</v>
      </c>
    </row>
    <row r="70" spans="3:10" x14ac:dyDescent="0.25">
      <c r="C70" s="93" t="s">
        <v>140</v>
      </c>
      <c r="D70" s="133">
        <v>10094.317239689999</v>
      </c>
      <c r="E70" s="133">
        <v>9646.4845429999987</v>
      </c>
      <c r="F70" s="146">
        <f t="shared" si="0"/>
        <v>-4.4364832811986547E-2</v>
      </c>
      <c r="G70" s="134">
        <v>67313.972095379984</v>
      </c>
      <c r="H70" s="135">
        <v>62387.459935109386</v>
      </c>
      <c r="I70" s="144">
        <f t="shared" si="1"/>
        <v>-7.3187066621028057E-2</v>
      </c>
      <c r="J70" s="145">
        <f t="shared" si="6"/>
        <v>0.35005833883017934</v>
      </c>
    </row>
    <row r="71" spans="3:10" x14ac:dyDescent="0.25">
      <c r="C71" s="94" t="s">
        <v>73</v>
      </c>
      <c r="D71" s="136">
        <f>SUM(D72:D73)</f>
        <v>1041562.64579</v>
      </c>
      <c r="E71" s="127">
        <f>SUM(E72:E73)</f>
        <v>1040961.796982</v>
      </c>
      <c r="F71" s="137">
        <f t="shared" si="0"/>
        <v>-5.7687246218805343E-4</v>
      </c>
      <c r="G71" s="136">
        <f>SUM(G72:G73)</f>
        <v>7857312.8106919993</v>
      </c>
      <c r="H71" s="127">
        <f>SUM(H72:H73)</f>
        <v>6092975.9230469996</v>
      </c>
      <c r="I71" s="137">
        <f t="shared" si="1"/>
        <v>-0.22454711046302522</v>
      </c>
      <c r="J71" s="138">
        <f>SUM(J72:J73)</f>
        <v>1</v>
      </c>
    </row>
    <row r="72" spans="3:10" x14ac:dyDescent="0.25">
      <c r="C72" s="90" t="s">
        <v>74</v>
      </c>
      <c r="D72" s="128">
        <v>1030214.589</v>
      </c>
      <c r="E72" s="129">
        <v>1018129.4808</v>
      </c>
      <c r="F72" s="139">
        <f t="shared" si="0"/>
        <v>-1.1730670802993275E-2</v>
      </c>
      <c r="G72" s="128">
        <v>7741686.5732999993</v>
      </c>
      <c r="H72" s="129">
        <v>5962035.7491809996</v>
      </c>
      <c r="I72" s="139">
        <f t="shared" si="1"/>
        <v>-0.22987895560855795</v>
      </c>
      <c r="J72" s="141">
        <f>(H72/$H$71)</f>
        <v>0.97850965184833372</v>
      </c>
    </row>
    <row r="73" spans="3:10" x14ac:dyDescent="0.25">
      <c r="C73" s="95" t="s">
        <v>59</v>
      </c>
      <c r="D73" s="159">
        <v>11348.056790000001</v>
      </c>
      <c r="E73" s="160">
        <v>22832.316181999999</v>
      </c>
      <c r="F73" s="144">
        <f t="shared" si="0"/>
        <v>1.0120022841373177</v>
      </c>
      <c r="G73" s="161">
        <v>115626.23739200001</v>
      </c>
      <c r="H73" s="162">
        <v>130940.17386599998</v>
      </c>
      <c r="I73" s="144">
        <f t="shared" si="1"/>
        <v>0.13244343861231203</v>
      </c>
      <c r="J73" s="145">
        <f>(H73/$H$71)</f>
        <v>2.1490348151666238E-2</v>
      </c>
    </row>
    <row r="74" spans="3:10" x14ac:dyDescent="0.25">
      <c r="C74" s="94" t="s">
        <v>75</v>
      </c>
      <c r="D74" s="136">
        <f>D75</f>
        <v>2820.0151000000001</v>
      </c>
      <c r="E74" s="127">
        <f>E75</f>
        <v>3033.0751999999998</v>
      </c>
      <c r="F74" s="137">
        <f t="shared" si="0"/>
        <v>7.5552822394461538E-2</v>
      </c>
      <c r="G74" s="136">
        <f>G75</f>
        <v>19144.9735</v>
      </c>
      <c r="H74" s="127">
        <f>H75</f>
        <v>19479.14014</v>
      </c>
      <c r="I74" s="137">
        <f t="shared" si="1"/>
        <v>1.745453656543319E-2</v>
      </c>
      <c r="J74" s="138">
        <f>SUM(J75)</f>
        <v>1</v>
      </c>
    </row>
    <row r="75" spans="3:10" x14ac:dyDescent="0.25">
      <c r="C75" s="96" t="s">
        <v>76</v>
      </c>
      <c r="D75" s="133">
        <v>2820.0151000000001</v>
      </c>
      <c r="E75" s="133">
        <v>3033.0751999999998</v>
      </c>
      <c r="F75" s="140">
        <f t="shared" ref="F75:F88" si="7">(E75-D75)/D75</f>
        <v>7.5552822394461538E-2</v>
      </c>
      <c r="G75" s="163">
        <v>19144.9735</v>
      </c>
      <c r="H75" s="164">
        <v>19479.14014</v>
      </c>
      <c r="I75" s="165">
        <f t="shared" ref="I75:I89" si="8">(H75-G75)/G75</f>
        <v>1.745453656543319E-2</v>
      </c>
      <c r="J75" s="166">
        <f>(H75/$H$74)</f>
        <v>1</v>
      </c>
    </row>
    <row r="76" spans="3:10" x14ac:dyDescent="0.25">
      <c r="C76" s="94" t="s">
        <v>77</v>
      </c>
      <c r="D76" s="136">
        <f>SUM(D77:D81)</f>
        <v>3801.1640480400001</v>
      </c>
      <c r="E76" s="127">
        <f>SUM(E77:E81)</f>
        <v>3136.8209670000006</v>
      </c>
      <c r="F76" s="137">
        <f t="shared" si="7"/>
        <v>-0.17477358847023605</v>
      </c>
      <c r="G76" s="136">
        <f>SUM(G77:G81)</f>
        <v>24357.129152704998</v>
      </c>
      <c r="H76" s="127">
        <f>SUM(H77:H81)</f>
        <v>22794.190983976099</v>
      </c>
      <c r="I76" s="137">
        <f t="shared" si="8"/>
        <v>-6.4167585552886292E-2</v>
      </c>
      <c r="J76" s="138">
        <f>SUM(J77:J81)</f>
        <v>1</v>
      </c>
    </row>
    <row r="77" spans="3:10" x14ac:dyDescent="0.25">
      <c r="C77" s="90" t="s">
        <v>35</v>
      </c>
      <c r="D77" s="128">
        <v>1200.6340782</v>
      </c>
      <c r="E77" s="129">
        <v>1234.802214</v>
      </c>
      <c r="F77" s="139">
        <f t="shared" si="7"/>
        <v>2.8458409119309032E-2</v>
      </c>
      <c r="G77" s="128">
        <v>7957.2434697000008</v>
      </c>
      <c r="H77" s="129">
        <v>8450.0727275999998</v>
      </c>
      <c r="I77" s="139">
        <f t="shared" si="8"/>
        <v>6.1934671193186366E-2</v>
      </c>
      <c r="J77" s="141">
        <f>(H77/$H$76)</f>
        <v>0.37071167533606464</v>
      </c>
    </row>
    <row r="78" spans="3:10" x14ac:dyDescent="0.25">
      <c r="C78" s="91" t="s">
        <v>78</v>
      </c>
      <c r="D78" s="130">
        <v>921.94243349999999</v>
      </c>
      <c r="E78" s="131">
        <v>776.54232400000001</v>
      </c>
      <c r="F78" s="142">
        <f t="shared" si="7"/>
        <v>-0.15771061642971876</v>
      </c>
      <c r="G78" s="130">
        <v>5108.1303390000003</v>
      </c>
      <c r="H78" s="131">
        <v>5477.1723145000005</v>
      </c>
      <c r="I78" s="142">
        <f t="shared" si="8"/>
        <v>7.224599824370305E-2</v>
      </c>
      <c r="J78" s="143">
        <f t="shared" ref="J78:J81" si="9">(H78/$H$76)</f>
        <v>0.24028807683283662</v>
      </c>
    </row>
    <row r="79" spans="3:10" x14ac:dyDescent="0.25">
      <c r="C79" s="91" t="s">
        <v>38</v>
      </c>
      <c r="D79" s="130">
        <v>305.01587699999999</v>
      </c>
      <c r="E79" s="131">
        <v>371.612189</v>
      </c>
      <c r="F79" s="142">
        <f t="shared" si="7"/>
        <v>0.21833719823050396</v>
      </c>
      <c r="G79" s="167">
        <v>3398.4630471249998</v>
      </c>
      <c r="H79" s="168">
        <v>2737.8359852460999</v>
      </c>
      <c r="I79" s="142">
        <f t="shared" si="8"/>
        <v>-0.19438995002101642</v>
      </c>
      <c r="J79" s="143">
        <f t="shared" si="9"/>
        <v>0.1201111277505198</v>
      </c>
    </row>
    <row r="80" spans="3:10" x14ac:dyDescent="0.25">
      <c r="C80" s="92" t="s">
        <v>37</v>
      </c>
      <c r="D80" s="132">
        <v>881.7799248</v>
      </c>
      <c r="E80" s="131">
        <v>226.92296200000001</v>
      </c>
      <c r="F80" s="142">
        <f t="shared" si="7"/>
        <v>-0.74265351748457042</v>
      </c>
      <c r="G80" s="167">
        <v>4595.8896196999995</v>
      </c>
      <c r="H80" s="168">
        <v>2486.2516989999999</v>
      </c>
      <c r="I80" s="142">
        <f t="shared" si="8"/>
        <v>-0.45902710797430074</v>
      </c>
      <c r="J80" s="143">
        <f t="shared" si="9"/>
        <v>0.10907391715493608</v>
      </c>
    </row>
    <row r="81" spans="3:10" x14ac:dyDescent="0.25">
      <c r="C81" s="92" t="s">
        <v>139</v>
      </c>
      <c r="D81" s="169">
        <v>491.79173453999999</v>
      </c>
      <c r="E81" s="133">
        <v>526.94127800000001</v>
      </c>
      <c r="F81" s="142">
        <f t="shared" si="7"/>
        <v>7.1472416047978785E-2</v>
      </c>
      <c r="G81" s="130">
        <v>3297.40267718</v>
      </c>
      <c r="H81" s="131">
        <v>3642.85825763</v>
      </c>
      <c r="I81" s="142">
        <f t="shared" si="8"/>
        <v>0.10476596711731917</v>
      </c>
      <c r="J81" s="143">
        <f t="shared" si="9"/>
        <v>0.15981520292564289</v>
      </c>
    </row>
    <row r="82" spans="3:10" x14ac:dyDescent="0.25">
      <c r="C82" s="94" t="s">
        <v>79</v>
      </c>
      <c r="D82" s="170">
        <f>SUM(D83:D90)</f>
        <v>3995.9850443999999</v>
      </c>
      <c r="E82" s="127">
        <f>SUM(E83:E90)</f>
        <v>2570.4628929999999</v>
      </c>
      <c r="F82" s="137">
        <f t="shared" si="7"/>
        <v>-0.35673861027026021</v>
      </c>
      <c r="G82" s="136">
        <f>SUM(G83:G90)</f>
        <v>17675.055585479997</v>
      </c>
      <c r="H82" s="127">
        <f>SUM(H83:H90)</f>
        <v>16256.337705000002</v>
      </c>
      <c r="I82" s="137">
        <f t="shared" si="8"/>
        <v>-8.0266671503170114E-2</v>
      </c>
      <c r="J82" s="138">
        <f>SUM(J83:J90)</f>
        <v>1</v>
      </c>
    </row>
    <row r="83" spans="3:10" x14ac:dyDescent="0.25">
      <c r="C83" s="118" t="s">
        <v>42</v>
      </c>
      <c r="D83" s="171">
        <v>2569.5971380000001</v>
      </c>
      <c r="E83" s="172">
        <v>1742.488433</v>
      </c>
      <c r="F83" s="173">
        <f t="shared" si="7"/>
        <v>-0.32188263785340504</v>
      </c>
      <c r="G83" s="192">
        <v>9950.4837246000006</v>
      </c>
      <c r="H83" s="193">
        <v>10556.055877500001</v>
      </c>
      <c r="I83" s="140">
        <f t="shared" si="8"/>
        <v>6.0858564232699509E-2</v>
      </c>
      <c r="J83" s="141">
        <f>(H83/$H$82)</f>
        <v>0.64935018385188004</v>
      </c>
    </row>
    <row r="84" spans="3:10" x14ac:dyDescent="0.25">
      <c r="C84" s="119" t="s">
        <v>39</v>
      </c>
      <c r="D84" s="174">
        <v>1310.7878000000001</v>
      </c>
      <c r="E84" s="172">
        <v>675.18524000000002</v>
      </c>
      <c r="F84" s="140">
        <f t="shared" si="7"/>
        <v>-0.48490118690454703</v>
      </c>
      <c r="G84" s="194">
        <v>6853.0369360000004</v>
      </c>
      <c r="H84" s="193">
        <v>4475.3876280000004</v>
      </c>
      <c r="I84" s="140">
        <f t="shared" si="8"/>
        <v>-0.34694826982616456</v>
      </c>
      <c r="J84" s="143">
        <f t="shared" ref="J84:J89" si="10">(H84/$H$82)</f>
        <v>0.27530109851393492</v>
      </c>
    </row>
    <row r="85" spans="3:10" x14ac:dyDescent="0.25">
      <c r="C85" s="119" t="s">
        <v>72</v>
      </c>
      <c r="D85" s="174">
        <v>83.141002</v>
      </c>
      <c r="E85" s="172">
        <v>94.438706999999994</v>
      </c>
      <c r="F85" s="140">
        <f t="shared" si="7"/>
        <v>0.13588608181556427</v>
      </c>
      <c r="G85" s="194">
        <v>602.11898699999995</v>
      </c>
      <c r="H85" s="193">
        <v>802.49481100000003</v>
      </c>
      <c r="I85" s="140">
        <f t="shared" si="8"/>
        <v>0.33278443019768134</v>
      </c>
      <c r="J85" s="143">
        <f t="shared" si="10"/>
        <v>4.9365043071981383E-2</v>
      </c>
    </row>
    <row r="86" spans="3:10" x14ac:dyDescent="0.25">
      <c r="C86" s="119" t="s">
        <v>65</v>
      </c>
      <c r="D86" s="174">
        <v>31.1244774</v>
      </c>
      <c r="E86" s="172">
        <v>54.096688</v>
      </c>
      <c r="F86" s="140">
        <f t="shared" si="7"/>
        <v>0.73807538371712544</v>
      </c>
      <c r="G86" s="194">
        <v>243.95309039999998</v>
      </c>
      <c r="H86" s="193">
        <v>398.43860949999998</v>
      </c>
      <c r="I86" s="140">
        <f t="shared" si="8"/>
        <v>0.63325911898347498</v>
      </c>
      <c r="J86" s="143">
        <f t="shared" si="10"/>
        <v>2.4509739938378079E-2</v>
      </c>
    </row>
    <row r="87" spans="3:10" x14ac:dyDescent="0.25">
      <c r="C87" s="119" t="s">
        <v>80</v>
      </c>
      <c r="D87" s="188">
        <v>0</v>
      </c>
      <c r="E87" s="172">
        <v>3.8618250000000001</v>
      </c>
      <c r="F87" s="140" t="s">
        <v>81</v>
      </c>
      <c r="G87" s="194">
        <v>2.0419200000000002</v>
      </c>
      <c r="H87" s="193">
        <v>16.077293999999998</v>
      </c>
      <c r="I87" s="140">
        <f t="shared" si="8"/>
        <v>6.8736160084626219</v>
      </c>
      <c r="J87" s="143">
        <f t="shared" si="10"/>
        <v>9.8898622135876668E-4</v>
      </c>
    </row>
    <row r="88" spans="3:10" x14ac:dyDescent="0.25">
      <c r="C88" s="119" t="s">
        <v>82</v>
      </c>
      <c r="D88" s="175">
        <v>0.84319999999999995</v>
      </c>
      <c r="E88" s="176">
        <v>0.39200000000000002</v>
      </c>
      <c r="F88" s="140">
        <f t="shared" si="7"/>
        <v>-0.53510436432637565</v>
      </c>
      <c r="G88" s="194">
        <v>5.41906</v>
      </c>
      <c r="H88" s="193">
        <v>5.2055000000000007</v>
      </c>
      <c r="I88" s="140">
        <f t="shared" si="8"/>
        <v>-3.940904880182159E-2</v>
      </c>
      <c r="J88" s="158">
        <f t="shared" si="10"/>
        <v>3.2021357420490424E-4</v>
      </c>
    </row>
    <row r="89" spans="3:10" x14ac:dyDescent="0.25">
      <c r="C89" s="119" t="s">
        <v>83</v>
      </c>
      <c r="D89" s="188">
        <v>0</v>
      </c>
      <c r="E89" s="189">
        <v>0</v>
      </c>
      <c r="F89" s="140" t="s">
        <v>46</v>
      </c>
      <c r="G89" s="194">
        <v>16.869692800000003</v>
      </c>
      <c r="H89" s="193">
        <v>2.6779850000000001</v>
      </c>
      <c r="I89" s="140">
        <f t="shared" si="8"/>
        <v>-0.84125466706779628</v>
      </c>
      <c r="J89" s="158">
        <f t="shared" si="10"/>
        <v>1.6473482826186156E-4</v>
      </c>
    </row>
    <row r="90" spans="3:10" x14ac:dyDescent="0.25">
      <c r="C90" s="120" t="s">
        <v>84</v>
      </c>
      <c r="D90" s="177">
        <v>0.491427</v>
      </c>
      <c r="E90" s="189">
        <v>0</v>
      </c>
      <c r="F90" s="178" t="s">
        <v>46</v>
      </c>
      <c r="G90" s="195">
        <v>1.1321746800000001</v>
      </c>
      <c r="H90" s="193">
        <v>0</v>
      </c>
      <c r="I90" s="140" t="s">
        <v>46</v>
      </c>
      <c r="J90" s="145" t="s">
        <v>46</v>
      </c>
    </row>
    <row r="91" spans="3:10" x14ac:dyDescent="0.25">
      <c r="C91" s="94" t="s">
        <v>85</v>
      </c>
      <c r="D91" s="179">
        <f>SUM(D92:D97)</f>
        <v>23.380024299999999</v>
      </c>
      <c r="E91" s="127">
        <f>SUM(E92:E97)</f>
        <v>24.526831000000001</v>
      </c>
      <c r="F91" s="137">
        <f t="shared" ref="F91:F96" si="11">(E91-D91)/D91</f>
        <v>4.905070607646899E-2</v>
      </c>
      <c r="G91" s="136">
        <f>SUM(G92:G97)</f>
        <v>156.15900409999998</v>
      </c>
      <c r="H91" s="127">
        <f>SUM(H92:H97)</f>
        <v>150.48968680000002</v>
      </c>
      <c r="I91" s="137">
        <f t="shared" ref="I91:I96" si="12">(H91-G91)/G91</f>
        <v>-3.6304773667546468E-2</v>
      </c>
      <c r="J91" s="138">
        <f>SUM(J92:J97)</f>
        <v>1</v>
      </c>
    </row>
    <row r="92" spans="3:10" x14ac:dyDescent="0.25">
      <c r="C92" s="98" t="s">
        <v>58</v>
      </c>
      <c r="D92" s="174">
        <v>13.922082</v>
      </c>
      <c r="E92" s="180">
        <v>18.831792</v>
      </c>
      <c r="F92" s="181">
        <f t="shared" si="11"/>
        <v>0.35265630528537328</v>
      </c>
      <c r="G92" s="171">
        <v>98.128845999999996</v>
      </c>
      <c r="H92" s="172">
        <v>109.41370000000001</v>
      </c>
      <c r="I92" s="181">
        <f t="shared" si="12"/>
        <v>0.11500037409998698</v>
      </c>
      <c r="J92" s="141">
        <f>(H92/$H$91)</f>
        <v>0.72705115098957063</v>
      </c>
    </row>
    <row r="93" spans="3:10" x14ac:dyDescent="0.25">
      <c r="C93" s="92" t="s">
        <v>86</v>
      </c>
      <c r="D93" s="174">
        <v>5.5306100000000002</v>
      </c>
      <c r="E93" s="172">
        <v>3.8742030000000001</v>
      </c>
      <c r="F93" s="181">
        <f t="shared" si="11"/>
        <v>-0.29949806621692726</v>
      </c>
      <c r="G93" s="174">
        <v>38.829276000000007</v>
      </c>
      <c r="H93" s="172">
        <v>28.6043448</v>
      </c>
      <c r="I93" s="181">
        <f t="shared" si="12"/>
        <v>-0.26333046230375262</v>
      </c>
      <c r="J93" s="143">
        <f t="shared" ref="J93:J96" si="13">(H93/$H$91)</f>
        <v>0.19007511682853737</v>
      </c>
    </row>
    <row r="94" spans="3:10" x14ac:dyDescent="0.25">
      <c r="C94" s="92" t="s">
        <v>87</v>
      </c>
      <c r="D94" s="174">
        <v>3.4448569999999998</v>
      </c>
      <c r="E94" s="172">
        <v>1.4939100000000001</v>
      </c>
      <c r="F94" s="181">
        <f t="shared" si="11"/>
        <v>-0.56633613528805404</v>
      </c>
      <c r="G94" s="174">
        <v>16.726027000000002</v>
      </c>
      <c r="H94" s="172">
        <v>9.4155700000000007</v>
      </c>
      <c r="I94" s="181">
        <f t="shared" si="12"/>
        <v>-0.43707074011060726</v>
      </c>
      <c r="J94" s="143">
        <f t="shared" si="13"/>
        <v>6.2566214338084458E-2</v>
      </c>
    </row>
    <row r="95" spans="3:10" x14ac:dyDescent="0.25">
      <c r="C95" s="92" t="s">
        <v>72</v>
      </c>
      <c r="D95" s="188">
        <v>0</v>
      </c>
      <c r="E95" s="176">
        <v>0.28692600000000001</v>
      </c>
      <c r="F95" s="181" t="s">
        <v>81</v>
      </c>
      <c r="G95" s="174">
        <v>0.93070399999999998</v>
      </c>
      <c r="H95" s="172">
        <v>2.4109720000000001</v>
      </c>
      <c r="I95" s="181">
        <f t="shared" si="12"/>
        <v>1.5904820437002529</v>
      </c>
      <c r="J95" s="143">
        <f t="shared" si="13"/>
        <v>1.602084535669324E-2</v>
      </c>
    </row>
    <row r="96" spans="3:10" x14ac:dyDescent="0.25">
      <c r="C96" s="92" t="s">
        <v>82</v>
      </c>
      <c r="D96" s="174">
        <v>0.20399999999999999</v>
      </c>
      <c r="E96" s="182">
        <v>0.04</v>
      </c>
      <c r="F96" s="181">
        <f t="shared" si="11"/>
        <v>-0.8039215686274509</v>
      </c>
      <c r="G96" s="174">
        <v>0.92979999999999996</v>
      </c>
      <c r="H96" s="172">
        <v>0.64510000000000012</v>
      </c>
      <c r="I96" s="181">
        <f t="shared" si="12"/>
        <v>-0.30619488061948791</v>
      </c>
      <c r="J96" s="143">
        <f t="shared" si="13"/>
        <v>4.2866724871142466E-3</v>
      </c>
    </row>
    <row r="97" spans="3:10" x14ac:dyDescent="0.25">
      <c r="C97" s="97" t="s">
        <v>84</v>
      </c>
      <c r="D97" s="177">
        <v>0.27847529999999998</v>
      </c>
      <c r="E97" s="189">
        <v>0</v>
      </c>
      <c r="F97" s="181" t="s">
        <v>46</v>
      </c>
      <c r="G97" s="183">
        <v>0.61435109999999993</v>
      </c>
      <c r="H97" s="189">
        <v>0</v>
      </c>
      <c r="I97" s="181" t="s">
        <v>46</v>
      </c>
      <c r="J97" s="145" t="s">
        <v>46</v>
      </c>
    </row>
    <row r="98" spans="3:10" x14ac:dyDescent="0.25">
      <c r="C98" s="94" t="s">
        <v>88</v>
      </c>
      <c r="D98" s="136">
        <f>SUM(D99:D101)</f>
        <v>26.369333999999998</v>
      </c>
      <c r="E98" s="127">
        <f>SUM(E99:E101)</f>
        <v>27.761948999999998</v>
      </c>
      <c r="F98" s="137">
        <f t="shared" ref="F98:F101" si="14">(E98-D98)/D98</f>
        <v>5.2811914021036681E-2</v>
      </c>
      <c r="G98" s="136">
        <f>SUM(G99:G101)</f>
        <v>178.723028</v>
      </c>
      <c r="H98" s="127">
        <f>SUM(H99:H101)</f>
        <v>196.947372</v>
      </c>
      <c r="I98" s="137">
        <f t="shared" ref="I98:I107" si="15">(H98-G98)/G98</f>
        <v>0.10196975848014393</v>
      </c>
      <c r="J98" s="138">
        <f>SUM(J99:J101)</f>
        <v>1</v>
      </c>
    </row>
    <row r="99" spans="3:10" x14ac:dyDescent="0.25">
      <c r="C99" s="98" t="s">
        <v>71</v>
      </c>
      <c r="D99" s="171">
        <v>15.259062</v>
      </c>
      <c r="E99" s="180">
        <v>15.999438</v>
      </c>
      <c r="F99" s="139">
        <f t="shared" si="14"/>
        <v>4.8520413640104447E-2</v>
      </c>
      <c r="G99" s="128">
        <v>107.11625899999999</v>
      </c>
      <c r="H99" s="129">
        <v>110.351018</v>
      </c>
      <c r="I99" s="139">
        <f t="shared" si="15"/>
        <v>3.0198580777545746E-2</v>
      </c>
      <c r="J99" s="141">
        <f>(H99/$H$98)</f>
        <v>0.56030713626379336</v>
      </c>
    </row>
    <row r="100" spans="3:10" x14ac:dyDescent="0.25">
      <c r="C100" s="92" t="s">
        <v>72</v>
      </c>
      <c r="D100" s="174">
        <v>6.7420499999999999</v>
      </c>
      <c r="E100" s="172">
        <v>6.0054299999999996</v>
      </c>
      <c r="F100" s="142">
        <f t="shared" si="14"/>
        <v>-0.10925757002692064</v>
      </c>
      <c r="G100" s="130">
        <v>44.161380000000001</v>
      </c>
      <c r="H100" s="131">
        <v>51.912959999999998</v>
      </c>
      <c r="I100" s="142">
        <f t="shared" si="15"/>
        <v>0.17552848212623784</v>
      </c>
      <c r="J100" s="143">
        <f t="shared" ref="J100:J101" si="16">(H100/$H$98)</f>
        <v>0.26358798024479352</v>
      </c>
    </row>
    <row r="101" spans="3:10" x14ac:dyDescent="0.25">
      <c r="C101" s="97" t="s">
        <v>86</v>
      </c>
      <c r="D101" s="183">
        <v>4.3682220000000003</v>
      </c>
      <c r="E101" s="184">
        <v>5.7570810000000003</v>
      </c>
      <c r="F101" s="144">
        <f t="shared" si="14"/>
        <v>0.31794606592796792</v>
      </c>
      <c r="G101" s="159">
        <v>27.445388999999995</v>
      </c>
      <c r="H101" s="160">
        <v>34.683394</v>
      </c>
      <c r="I101" s="144">
        <f t="shared" si="15"/>
        <v>0.26372389912199845</v>
      </c>
      <c r="J101" s="145">
        <f t="shared" si="16"/>
        <v>0.17610488349141312</v>
      </c>
    </row>
    <row r="102" spans="3:10" x14ac:dyDescent="0.25">
      <c r="C102" s="94" t="s">
        <v>89</v>
      </c>
      <c r="D102" s="136">
        <f>SUM(D103:D106)</f>
        <v>1969.7420953999999</v>
      </c>
      <c r="E102" s="127">
        <f>SUM(E103:E106)</f>
        <v>3634.8462650000001</v>
      </c>
      <c r="F102" s="137">
        <f>(E102-D102)/D102</f>
        <v>0.84534121166855791</v>
      </c>
      <c r="G102" s="136">
        <f>SUM(G103:G106)</f>
        <v>8232.5018104999999</v>
      </c>
      <c r="H102" s="127">
        <f>SUM(H103:H106)</f>
        <v>20857.585341799997</v>
      </c>
      <c r="I102" s="137">
        <f t="shared" si="15"/>
        <v>1.53356583720365</v>
      </c>
      <c r="J102" s="138">
        <f>SUM(J103:J106)</f>
        <v>1</v>
      </c>
    </row>
    <row r="103" spans="3:10" x14ac:dyDescent="0.25">
      <c r="C103" s="98" t="s">
        <v>65</v>
      </c>
      <c r="D103" s="148">
        <v>1874.0767974</v>
      </c>
      <c r="E103" s="149">
        <v>3540.3853519999998</v>
      </c>
      <c r="F103" s="139">
        <f>(E103-D103)/D103</f>
        <v>0.8891356837199802</v>
      </c>
      <c r="G103" s="128">
        <v>7582.2210045000002</v>
      </c>
      <c r="H103" s="129">
        <v>20234.247239799999</v>
      </c>
      <c r="I103" s="139">
        <f t="shared" si="15"/>
        <v>1.6686438218816231</v>
      </c>
      <c r="J103" s="141">
        <f>(H103/$H$102)</f>
        <v>0.97011456063656676</v>
      </c>
    </row>
    <row r="104" spans="3:10" x14ac:dyDescent="0.25">
      <c r="C104" s="92" t="s">
        <v>71</v>
      </c>
      <c r="D104" s="132">
        <v>81.867613000000006</v>
      </c>
      <c r="E104" s="133">
        <v>82.698402000000002</v>
      </c>
      <c r="F104" s="142">
        <f>(E104-D104)/D104</f>
        <v>1.0147956799473263E-2</v>
      </c>
      <c r="G104" s="130">
        <v>556.48172600000009</v>
      </c>
      <c r="H104" s="131">
        <v>542.89080000000001</v>
      </c>
      <c r="I104" s="142">
        <f t="shared" si="15"/>
        <v>-2.4422951132091763E-2</v>
      </c>
      <c r="J104" s="143">
        <f t="shared" ref="J104:J106" si="17">(H104/$H$102)</f>
        <v>2.6028458764687901E-2</v>
      </c>
    </row>
    <row r="105" spans="3:10" x14ac:dyDescent="0.25">
      <c r="C105" s="92" t="s">
        <v>72</v>
      </c>
      <c r="D105" s="132">
        <v>6.517315</v>
      </c>
      <c r="E105" s="133">
        <v>6.0054299999999996</v>
      </c>
      <c r="F105" s="142">
        <f>(E105-D105)/D105</f>
        <v>-7.8542313820952392E-2</v>
      </c>
      <c r="G105" s="130">
        <v>48.056764999999999</v>
      </c>
      <c r="H105" s="131">
        <v>53.333697000000001</v>
      </c>
      <c r="I105" s="142">
        <f t="shared" si="15"/>
        <v>0.10980622603290092</v>
      </c>
      <c r="J105" s="143">
        <f t="shared" si="17"/>
        <v>2.557040813977431E-3</v>
      </c>
    </row>
    <row r="106" spans="3:10" x14ac:dyDescent="0.25">
      <c r="C106" s="97" t="s">
        <v>86</v>
      </c>
      <c r="D106" s="134">
        <v>7.2803699999999996</v>
      </c>
      <c r="E106" s="135">
        <v>5.7570810000000003</v>
      </c>
      <c r="F106" s="144">
        <f>(E106-D106)/D106</f>
        <v>-0.20923236044321913</v>
      </c>
      <c r="G106" s="159">
        <v>45.742314999999998</v>
      </c>
      <c r="H106" s="160">
        <v>27.113605</v>
      </c>
      <c r="I106" s="144">
        <f t="shared" si="15"/>
        <v>-0.40725332769012673</v>
      </c>
      <c r="J106" s="145">
        <f t="shared" si="17"/>
        <v>1.2999397847680153E-3</v>
      </c>
    </row>
    <row r="107" spans="3:10" x14ac:dyDescent="0.25">
      <c r="C107" s="99" t="s">
        <v>90</v>
      </c>
      <c r="D107" s="136">
        <f>SUM(D108:D108)</f>
        <v>3.9313997999999999</v>
      </c>
      <c r="E107" s="127">
        <f>SUM(E108:E108)</f>
        <v>3.8380540000000001</v>
      </c>
      <c r="F107" s="137">
        <f t="shared" ref="F107" si="18">(E107-D107)/D107</f>
        <v>-2.3743654868171843E-2</v>
      </c>
      <c r="G107" s="136">
        <f>SUM(G108:G108)</f>
        <v>24.921010900000002</v>
      </c>
      <c r="H107" s="127">
        <f>SUM(H108:H108)</f>
        <v>21.336172000000001</v>
      </c>
      <c r="I107" s="137">
        <f t="shared" si="15"/>
        <v>-0.14384805313014012</v>
      </c>
      <c r="J107" s="138">
        <f>SUM(J108:J108)</f>
        <v>1</v>
      </c>
    </row>
    <row r="108" spans="3:10" x14ac:dyDescent="0.25">
      <c r="C108" s="96" t="s">
        <v>86</v>
      </c>
      <c r="D108" s="190">
        <v>3.9313997999999999</v>
      </c>
      <c r="E108" s="191">
        <v>3.8380540000000001</v>
      </c>
      <c r="F108" s="165">
        <f>(E108-D108)/D108</f>
        <v>-2.3743654868171843E-2</v>
      </c>
      <c r="G108" s="163">
        <v>24.921010900000002</v>
      </c>
      <c r="H108" s="164">
        <v>21.336172000000001</v>
      </c>
      <c r="I108" s="165">
        <f>(H108-G108)/G108</f>
        <v>-0.14384805313014012</v>
      </c>
      <c r="J108" s="166">
        <f>H108/H107</f>
        <v>1</v>
      </c>
    </row>
    <row r="109" spans="3:10" ht="98.25" customHeight="1" x14ac:dyDescent="0.25">
      <c r="C109" s="266" t="s">
        <v>138</v>
      </c>
      <c r="D109" s="267"/>
      <c r="E109" s="267"/>
      <c r="F109" s="267"/>
      <c r="G109" s="267"/>
      <c r="H109" s="267"/>
      <c r="I109" s="267"/>
      <c r="J109" s="268"/>
    </row>
  </sheetData>
  <mergeCells count="5">
    <mergeCell ref="C3:J3"/>
    <mergeCell ref="B4:K4"/>
    <mergeCell ref="D8:F8"/>
    <mergeCell ref="G8:J8"/>
    <mergeCell ref="C109:J109"/>
  </mergeCells>
  <printOptions horizontalCentered="1" verticalCentered="1"/>
  <pageMargins left="0" right="0" top="0" bottom="0" header="0.31496062992125984" footer="0.31496062992125984"/>
  <pageSetup paperSize="9" scale="47" orientation="portrait" r:id="rId1"/>
  <ignoredErrors>
    <ignoredError sqref="F11 I11:I68 F23:F79 I70:I108 F81:F108"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D3CBB-DC25-4836-85C0-23E6B5DB39FA}">
  <sheetPr>
    <tabColor rgb="FFC00000"/>
  </sheetPr>
  <dimension ref="C1:S125"/>
  <sheetViews>
    <sheetView showGridLines="0" view="pageBreakPreview" zoomScaleNormal="100" zoomScaleSheetLayoutView="100" zoomScalePageLayoutView="70" workbookViewId="0"/>
  </sheetViews>
  <sheetFormatPr baseColWidth="10" defaultColWidth="11.42578125" defaultRowHeight="15" x14ac:dyDescent="0.25"/>
  <cols>
    <col min="1" max="2" width="3.28515625" style="76" customWidth="1"/>
    <col min="3" max="3" width="48.85546875" style="76" customWidth="1"/>
    <col min="4" max="4" width="11.140625" style="76" customWidth="1"/>
    <col min="5" max="5" width="10.85546875" style="76" customWidth="1"/>
    <col min="6" max="6" width="11.140625" style="116" customWidth="1"/>
    <col min="7" max="7" width="12.42578125" style="79" customWidth="1"/>
    <col min="8" max="8" width="11.7109375" style="76" customWidth="1"/>
    <col min="9" max="9" width="9.7109375" style="79" customWidth="1"/>
    <col min="10" max="10" width="9.85546875" style="79" customWidth="1"/>
    <col min="11" max="11" width="3.28515625" style="76" customWidth="1"/>
    <col min="12" max="12" width="15.42578125" style="76" customWidth="1"/>
    <col min="13" max="16384" width="11.42578125" style="76"/>
  </cols>
  <sheetData>
    <row r="1" spans="3:19" ht="10.5" customHeight="1" x14ac:dyDescent="0.25">
      <c r="F1" s="79"/>
      <c r="H1" s="78"/>
    </row>
    <row r="2" spans="3:19" ht="10.5" customHeight="1" x14ac:dyDescent="0.25">
      <c r="F2" s="79"/>
      <c r="H2" s="78"/>
    </row>
    <row r="3" spans="3:19" ht="15.75" x14ac:dyDescent="0.25">
      <c r="C3" s="252" t="s">
        <v>0</v>
      </c>
      <c r="D3" s="252"/>
      <c r="E3" s="252"/>
      <c r="F3" s="252"/>
      <c r="G3" s="252"/>
      <c r="H3" s="252"/>
      <c r="I3" s="252"/>
      <c r="J3" s="252"/>
      <c r="K3" s="1"/>
      <c r="L3" s="1"/>
      <c r="M3" s="4"/>
      <c r="N3" s="4"/>
      <c r="O3" s="4"/>
      <c r="P3" s="4"/>
      <c r="Q3" s="4"/>
      <c r="R3" s="4"/>
      <c r="S3" s="4"/>
    </row>
    <row r="4" spans="3:19" ht="15.75" x14ac:dyDescent="0.25">
      <c r="C4" s="253" t="s">
        <v>1</v>
      </c>
      <c r="D4" s="253"/>
      <c r="E4" s="253"/>
      <c r="F4" s="253"/>
      <c r="G4" s="253"/>
      <c r="H4" s="253"/>
      <c r="I4" s="253"/>
      <c r="J4" s="253"/>
      <c r="K4" s="100"/>
      <c r="L4" s="1"/>
      <c r="M4" s="4"/>
      <c r="N4" s="4"/>
      <c r="O4" s="4"/>
      <c r="P4" s="4"/>
      <c r="Q4" s="4"/>
      <c r="R4" s="4"/>
      <c r="S4" s="4"/>
    </row>
    <row r="5" spans="3:19" ht="9" customHeight="1" x14ac:dyDescent="0.25">
      <c r="E5" s="4"/>
      <c r="F5" s="3"/>
      <c r="G5" s="3"/>
      <c r="H5" s="4"/>
      <c r="I5" s="3"/>
      <c r="J5" s="3"/>
      <c r="K5" s="4"/>
      <c r="L5" s="4"/>
      <c r="M5" s="4"/>
      <c r="N5" s="4"/>
      <c r="O5" s="4"/>
      <c r="P5" s="4"/>
      <c r="Q5" s="4"/>
      <c r="R5" s="4"/>
      <c r="S5" s="4"/>
    </row>
    <row r="6" spans="3:19" ht="15.75" customHeight="1" x14ac:dyDescent="0.25">
      <c r="C6" s="101" t="s">
        <v>91</v>
      </c>
      <c r="D6" s="67"/>
      <c r="E6" s="67"/>
      <c r="F6" s="102"/>
    </row>
    <row r="7" spans="3:19" x14ac:dyDescent="0.25">
      <c r="C7" s="103" t="s">
        <v>92</v>
      </c>
      <c r="D7" s="104"/>
      <c r="E7" s="104"/>
      <c r="F7" s="102"/>
    </row>
    <row r="8" spans="3:19" ht="26.25" customHeight="1" x14ac:dyDescent="0.25">
      <c r="C8" s="105"/>
      <c r="D8" s="269" t="s">
        <v>130</v>
      </c>
      <c r="E8" s="270"/>
      <c r="F8" s="270"/>
      <c r="G8" s="263" t="s">
        <v>129</v>
      </c>
      <c r="H8" s="264"/>
      <c r="I8" s="264"/>
      <c r="J8" s="265"/>
    </row>
    <row r="9" spans="3:19" ht="24" x14ac:dyDescent="0.25">
      <c r="C9" s="106" t="s">
        <v>93</v>
      </c>
      <c r="D9" s="126">
        <v>2024</v>
      </c>
      <c r="E9" s="125">
        <v>2025</v>
      </c>
      <c r="F9" s="137" t="s">
        <v>26</v>
      </c>
      <c r="G9" s="125">
        <v>2024</v>
      </c>
      <c r="H9" s="125">
        <v>2025</v>
      </c>
      <c r="I9" s="223" t="s">
        <v>26</v>
      </c>
      <c r="J9" s="186" t="s">
        <v>33</v>
      </c>
    </row>
    <row r="10" spans="3:19" s="88" customFormat="1" ht="4.5" customHeight="1" x14ac:dyDescent="0.25">
      <c r="D10" s="121"/>
      <c r="E10" s="121"/>
      <c r="F10" s="187"/>
      <c r="G10" s="187"/>
      <c r="H10" s="121"/>
      <c r="I10" s="187"/>
      <c r="J10" s="187"/>
    </row>
    <row r="11" spans="3:19" x14ac:dyDescent="0.25">
      <c r="C11" s="107" t="s">
        <v>94</v>
      </c>
      <c r="D11" s="196">
        <f>+SUM(D12:D26)</f>
        <v>223593.50799819099</v>
      </c>
      <c r="E11" s="196">
        <f>+SUM(E12:E26)</f>
        <v>228007.261841</v>
      </c>
      <c r="F11" s="224">
        <f>(E11-D11)/D11</f>
        <v>1.9740080480533068E-2</v>
      </c>
      <c r="G11" s="200">
        <f>+SUM(G12:G26)</f>
        <v>1514531.9733985455</v>
      </c>
      <c r="H11" s="196">
        <f>+SUM(H12:H26)</f>
        <v>1564666.2157766118</v>
      </c>
      <c r="I11" s="227">
        <f>(H11-G11)/G11</f>
        <v>3.3102135351799261E-2</v>
      </c>
      <c r="J11" s="227">
        <f>SUM(J12:J26)</f>
        <v>1</v>
      </c>
    </row>
    <row r="12" spans="3:19" x14ac:dyDescent="0.25">
      <c r="C12" s="108" t="s">
        <v>95</v>
      </c>
      <c r="D12" s="197">
        <v>36509.007762351997</v>
      </c>
      <c r="E12" s="197">
        <v>41809.943292999997</v>
      </c>
      <c r="F12" s="225">
        <f t="shared" ref="F12:F78" si="0">+E12/D12-1</f>
        <v>0.14519527797505116</v>
      </c>
      <c r="G12" s="206">
        <v>268773.07677860028</v>
      </c>
      <c r="H12" s="197">
        <v>282115.0215743467</v>
      </c>
      <c r="I12" s="229">
        <f t="shared" ref="I12:I79" si="1">+H12/G12-1</f>
        <v>4.9640183293867324E-2</v>
      </c>
      <c r="J12" s="229">
        <f t="shared" ref="J12:J26" si="2">(H12/$H$11)</f>
        <v>0.18030364478363889</v>
      </c>
    </row>
    <row r="13" spans="3:19" x14ac:dyDescent="0.25">
      <c r="C13" s="108" t="s">
        <v>96</v>
      </c>
      <c r="D13" s="197">
        <v>25192.023512</v>
      </c>
      <c r="E13" s="197">
        <v>37704.023022000001</v>
      </c>
      <c r="F13" s="225">
        <f t="shared" si="0"/>
        <v>0.49666512513534378</v>
      </c>
      <c r="G13" s="206">
        <v>150424.14071199999</v>
      </c>
      <c r="H13" s="197">
        <v>248517.95283999998</v>
      </c>
      <c r="I13" s="229">
        <f t="shared" si="1"/>
        <v>0.65211482454673986</v>
      </c>
      <c r="J13" s="229">
        <f t="shared" si="2"/>
        <v>0.15883128959658002</v>
      </c>
    </row>
    <row r="14" spans="3:19" x14ac:dyDescent="0.25">
      <c r="C14" s="108" t="s">
        <v>97</v>
      </c>
      <c r="D14" s="197">
        <v>40732.561519199997</v>
      </c>
      <c r="E14" s="197">
        <v>31973.716919000002</v>
      </c>
      <c r="F14" s="225">
        <f t="shared" si="0"/>
        <v>-0.21503299261136233</v>
      </c>
      <c r="G14" s="206">
        <v>265424.40867999999</v>
      </c>
      <c r="H14" s="197">
        <v>235532.76692071001</v>
      </c>
      <c r="I14" s="229">
        <f t="shared" si="1"/>
        <v>-0.11261828521327832</v>
      </c>
      <c r="J14" s="229">
        <f t="shared" si="2"/>
        <v>0.15053227617866399</v>
      </c>
    </row>
    <row r="15" spans="3:19" x14ac:dyDescent="0.25">
      <c r="C15" s="109" t="s">
        <v>98</v>
      </c>
      <c r="D15" s="198">
        <v>36016.832583999996</v>
      </c>
      <c r="E15" s="198">
        <v>27287.071522999999</v>
      </c>
      <c r="F15" s="225">
        <f t="shared" si="0"/>
        <v>-0.24238003274274811</v>
      </c>
      <c r="G15" s="206">
        <v>265617.73675347999</v>
      </c>
      <c r="H15" s="197">
        <v>198385.53692970998</v>
      </c>
      <c r="I15" s="229">
        <f t="shared" si="1"/>
        <v>-0.2531163793710367</v>
      </c>
      <c r="J15" s="229">
        <f t="shared" si="2"/>
        <v>0.12679096342042678</v>
      </c>
    </row>
    <row r="16" spans="3:19" x14ac:dyDescent="0.25">
      <c r="C16" s="110" t="s">
        <v>99</v>
      </c>
      <c r="D16" s="198">
        <v>20767.356232140002</v>
      </c>
      <c r="E16" s="198">
        <v>18760.030328000001</v>
      </c>
      <c r="F16" s="225">
        <f t="shared" si="0"/>
        <v>-9.6657748906595065E-2</v>
      </c>
      <c r="G16" s="206">
        <v>146135.89190848701</v>
      </c>
      <c r="H16" s="197">
        <v>145335.35497822802</v>
      </c>
      <c r="I16" s="229">
        <f t="shared" si="1"/>
        <v>-5.4780308916875242E-3</v>
      </c>
      <c r="J16" s="229">
        <f t="shared" si="2"/>
        <v>9.2885852274947833E-2</v>
      </c>
    </row>
    <row r="17" spans="3:10" x14ac:dyDescent="0.25">
      <c r="C17" s="110" t="s">
        <v>100</v>
      </c>
      <c r="D17" s="198">
        <v>18552.370394923997</v>
      </c>
      <c r="E17" s="198">
        <v>21775.430270999997</v>
      </c>
      <c r="F17" s="225">
        <f t="shared" si="0"/>
        <v>0.1737276589172585</v>
      </c>
      <c r="G17" s="206">
        <v>101330.24723153</v>
      </c>
      <c r="H17" s="197">
        <v>143685.65915764301</v>
      </c>
      <c r="I17" s="229">
        <f t="shared" si="1"/>
        <v>0.41799376872470195</v>
      </c>
      <c r="J17" s="229">
        <f t="shared" si="2"/>
        <v>9.1831508668655942E-2</v>
      </c>
    </row>
    <row r="18" spans="3:10" x14ac:dyDescent="0.25">
      <c r="C18" s="110" t="s">
        <v>101</v>
      </c>
      <c r="D18" s="198">
        <v>13744.99205633</v>
      </c>
      <c r="E18" s="198">
        <v>16564.000669000001</v>
      </c>
      <c r="F18" s="225">
        <f t="shared" si="0"/>
        <v>0.20509350613787802</v>
      </c>
      <c r="G18" s="206">
        <v>98111.713081649985</v>
      </c>
      <c r="H18" s="197">
        <v>112776.04269071011</v>
      </c>
      <c r="I18" s="229">
        <f t="shared" si="1"/>
        <v>0.14946563614536279</v>
      </c>
      <c r="J18" s="229">
        <f t="shared" si="2"/>
        <v>7.2076741706047803E-2</v>
      </c>
    </row>
    <row r="19" spans="3:10" x14ac:dyDescent="0.25">
      <c r="C19" s="110" t="s">
        <v>102</v>
      </c>
      <c r="D19" s="198">
        <v>16504.39494084</v>
      </c>
      <c r="E19" s="198">
        <v>18509.148435000003</v>
      </c>
      <c r="F19" s="225">
        <f t="shared" si="0"/>
        <v>0.12146785758254341</v>
      </c>
      <c r="G19" s="206">
        <v>129731.35949254001</v>
      </c>
      <c r="H19" s="197">
        <v>108594.00843854999</v>
      </c>
      <c r="I19" s="229">
        <f t="shared" si="1"/>
        <v>-0.16293170083680097</v>
      </c>
      <c r="J19" s="229">
        <f t="shared" si="2"/>
        <v>6.9403945291072883E-2</v>
      </c>
    </row>
    <row r="20" spans="3:10" x14ac:dyDescent="0.25">
      <c r="C20" s="110" t="s">
        <v>103</v>
      </c>
      <c r="D20" s="198">
        <v>7861.4043267349998</v>
      </c>
      <c r="E20" s="198">
        <v>5594.996169</v>
      </c>
      <c r="F20" s="225">
        <f t="shared" si="0"/>
        <v>-0.28829558480123163</v>
      </c>
      <c r="G20" s="206">
        <v>38897.593361394</v>
      </c>
      <c r="H20" s="197">
        <v>34774.581454435</v>
      </c>
      <c r="I20" s="229">
        <f t="shared" si="1"/>
        <v>-0.10599658103915255</v>
      </c>
      <c r="J20" s="229">
        <f t="shared" si="2"/>
        <v>2.2224919988557985E-2</v>
      </c>
    </row>
    <row r="21" spans="3:10" x14ac:dyDescent="0.25">
      <c r="C21" s="110" t="s">
        <v>104</v>
      </c>
      <c r="D21" s="198">
        <v>4260.6595875200001</v>
      </c>
      <c r="E21" s="198">
        <v>3714.233886</v>
      </c>
      <c r="F21" s="225">
        <f t="shared" si="0"/>
        <v>-0.12824908685982539</v>
      </c>
      <c r="G21" s="206">
        <v>26422.234680450001</v>
      </c>
      <c r="H21" s="197">
        <v>27753.420237304003</v>
      </c>
      <c r="I21" s="229">
        <f t="shared" si="1"/>
        <v>5.0381263089717132E-2</v>
      </c>
      <c r="J21" s="229">
        <f t="shared" si="2"/>
        <v>1.7737597934604075E-2</v>
      </c>
    </row>
    <row r="22" spans="3:10" x14ac:dyDescent="0.25">
      <c r="C22" s="110" t="s">
        <v>105</v>
      </c>
      <c r="D22" s="198">
        <v>1619.048358</v>
      </c>
      <c r="E22" s="198">
        <v>2316.1215999999999</v>
      </c>
      <c r="F22" s="225">
        <f t="shared" si="0"/>
        <v>0.43054504120006021</v>
      </c>
      <c r="G22" s="206">
        <v>12117.904838999999</v>
      </c>
      <c r="H22" s="197">
        <v>14675.390055</v>
      </c>
      <c r="I22" s="229">
        <f t="shared" si="1"/>
        <v>0.21105011550916353</v>
      </c>
      <c r="J22" s="229">
        <f t="shared" si="2"/>
        <v>9.3792464533504136E-3</v>
      </c>
    </row>
    <row r="23" spans="3:10" x14ac:dyDescent="0.25">
      <c r="C23" s="110" t="s">
        <v>106</v>
      </c>
      <c r="D23" s="198">
        <v>1419.4742506999999</v>
      </c>
      <c r="E23" s="198">
        <v>1585.990055</v>
      </c>
      <c r="F23" s="225">
        <f t="shared" si="0"/>
        <v>0.1173080837626217</v>
      </c>
      <c r="G23" s="206">
        <v>9464.3301990839991</v>
      </c>
      <c r="H23" s="197">
        <v>10534.468461885001</v>
      </c>
      <c r="I23" s="229">
        <f t="shared" si="1"/>
        <v>0.11307068120938712</v>
      </c>
      <c r="J23" s="229">
        <f t="shared" si="2"/>
        <v>6.7327257121457601E-3</v>
      </c>
    </row>
    <row r="24" spans="3:10" x14ac:dyDescent="0.25">
      <c r="C24" s="110" t="s">
        <v>107</v>
      </c>
      <c r="D24" s="198">
        <v>217.74692349999998</v>
      </c>
      <c r="E24" s="198">
        <v>173.282872</v>
      </c>
      <c r="F24" s="225">
        <f t="shared" si="0"/>
        <v>-0.20420059574343419</v>
      </c>
      <c r="G24" s="206">
        <v>1211.1972869000001</v>
      </c>
      <c r="H24" s="197">
        <v>1041.6580965000001</v>
      </c>
      <c r="I24" s="229">
        <f t="shared" si="1"/>
        <v>-0.13997652755145062</v>
      </c>
      <c r="J24" s="229">
        <f t="shared" si="2"/>
        <v>6.6573821687776382E-4</v>
      </c>
    </row>
    <row r="25" spans="3:10" x14ac:dyDescent="0.25">
      <c r="C25" s="110" t="s">
        <v>108</v>
      </c>
      <c r="D25" s="198">
        <v>166.97671199999999</v>
      </c>
      <c r="E25" s="198">
        <v>197.67654999999999</v>
      </c>
      <c r="F25" s="225">
        <f t="shared" si="0"/>
        <v>0.18385700396352278</v>
      </c>
      <c r="G25" s="206">
        <v>630.25488529999996</v>
      </c>
      <c r="H25" s="197">
        <v>701.5294073</v>
      </c>
      <c r="I25" s="229">
        <f t="shared" si="1"/>
        <v>0.11308840861435532</v>
      </c>
      <c r="J25" s="236">
        <f t="shared" si="2"/>
        <v>4.4835722803141149E-4</v>
      </c>
    </row>
    <row r="26" spans="3:10" x14ac:dyDescent="0.25">
      <c r="C26" s="93" t="s">
        <v>109</v>
      </c>
      <c r="D26" s="199">
        <v>28.658837949999999</v>
      </c>
      <c r="E26" s="199">
        <v>41.596249</v>
      </c>
      <c r="F26" s="226">
        <f t="shared" si="0"/>
        <v>0.45142831933979388</v>
      </c>
      <c r="G26" s="215">
        <v>239.88350813</v>
      </c>
      <c r="H26" s="216">
        <v>242.82453428999997</v>
      </c>
      <c r="I26" s="230">
        <f t="shared" si="1"/>
        <v>1.2260226569665411E-2</v>
      </c>
      <c r="J26" s="237">
        <f t="shared" si="2"/>
        <v>1.5519254639845061E-4</v>
      </c>
    </row>
    <row r="27" spans="3:10" x14ac:dyDescent="0.25">
      <c r="C27" s="107" t="s">
        <v>110</v>
      </c>
      <c r="D27" s="200">
        <f>+SUM(D28:D44)</f>
        <v>8497715.0590460543</v>
      </c>
      <c r="E27" s="196">
        <f>+SUM(E28:E44)</f>
        <v>9138678.7093469985</v>
      </c>
      <c r="F27" s="227">
        <f>+E27/D27-1</f>
        <v>7.542776450460309E-2</v>
      </c>
      <c r="G27" s="200">
        <f>+SUM(G28:G44)</f>
        <v>61995836.506440982</v>
      </c>
      <c r="H27" s="196">
        <f>+SUM(H28:H44)</f>
        <v>60287654.726385877</v>
      </c>
      <c r="I27" s="227">
        <f>+H27/G27-1</f>
        <v>-2.7553169314485149E-2</v>
      </c>
      <c r="J27" s="238">
        <f>SUM(J28:J44)</f>
        <v>1.0000000000000002</v>
      </c>
    </row>
    <row r="28" spans="3:10" x14ac:dyDescent="0.25">
      <c r="C28" s="111" t="s">
        <v>111</v>
      </c>
      <c r="D28" s="197">
        <v>2884664.72769847</v>
      </c>
      <c r="E28" s="201">
        <v>2520512.4234799999</v>
      </c>
      <c r="F28" s="225">
        <f t="shared" si="0"/>
        <v>-0.12623730609727013</v>
      </c>
      <c r="G28" s="204">
        <v>21044743.800520957</v>
      </c>
      <c r="H28" s="205">
        <v>16789620.787581198</v>
      </c>
      <c r="I28" s="228">
        <f t="shared" si="1"/>
        <v>-0.20219409907163732</v>
      </c>
      <c r="J28" s="239">
        <f t="shared" ref="J28:J44" si="3">(H28/$H$27)</f>
        <v>0.2784918548213644</v>
      </c>
    </row>
    <row r="29" spans="3:10" x14ac:dyDescent="0.25">
      <c r="C29" s="108" t="s">
        <v>105</v>
      </c>
      <c r="D29" s="197">
        <v>1476471.528804</v>
      </c>
      <c r="E29" s="201">
        <v>2377882.2214279999</v>
      </c>
      <c r="F29" s="225">
        <f t="shared" si="0"/>
        <v>0.61051681325286244</v>
      </c>
      <c r="G29" s="206">
        <v>11005890.013516</v>
      </c>
      <c r="H29" s="197">
        <v>14675264.969054999</v>
      </c>
      <c r="I29" s="229">
        <f t="shared" si="1"/>
        <v>0.33340101991140658</v>
      </c>
      <c r="J29" s="240">
        <f t="shared" si="3"/>
        <v>0.24342073075587944</v>
      </c>
    </row>
    <row r="30" spans="3:10" x14ac:dyDescent="0.25">
      <c r="C30" s="108" t="s">
        <v>97</v>
      </c>
      <c r="D30" s="197">
        <v>1914351.1305041946</v>
      </c>
      <c r="E30" s="201">
        <v>1805439.5817669998</v>
      </c>
      <c r="F30" s="225">
        <f t="shared" si="0"/>
        <v>-5.6892148468348225E-2</v>
      </c>
      <c r="G30" s="206">
        <v>13272982.696743103</v>
      </c>
      <c r="H30" s="198">
        <v>13219018.812636957</v>
      </c>
      <c r="I30" s="229">
        <f t="shared" si="1"/>
        <v>-4.0656938488579097E-3</v>
      </c>
      <c r="J30" s="240">
        <f t="shared" si="3"/>
        <v>0.21926576631038588</v>
      </c>
    </row>
    <row r="31" spans="3:10" x14ac:dyDescent="0.25">
      <c r="C31" s="108" t="s">
        <v>109</v>
      </c>
      <c r="D31" s="198">
        <v>680731.88168448338</v>
      </c>
      <c r="E31" s="202">
        <v>696413.33117300004</v>
      </c>
      <c r="F31" s="225">
        <f t="shared" si="0"/>
        <v>2.3036161388111598E-2</v>
      </c>
      <c r="G31" s="206">
        <v>4968698.3018014571</v>
      </c>
      <c r="H31" s="197">
        <v>4906893.1862501018</v>
      </c>
      <c r="I31" s="229">
        <f t="shared" si="1"/>
        <v>-1.2438894816565349E-2</v>
      </c>
      <c r="J31" s="240">
        <f t="shared" si="3"/>
        <v>8.1391343029015184E-2</v>
      </c>
    </row>
    <row r="32" spans="3:10" x14ac:dyDescent="0.25">
      <c r="C32" s="108" t="s">
        <v>104</v>
      </c>
      <c r="D32" s="198">
        <v>442547.91036724998</v>
      </c>
      <c r="E32" s="202">
        <v>369641.52106499998</v>
      </c>
      <c r="F32" s="225">
        <f t="shared" si="0"/>
        <v>-0.16474236482497084</v>
      </c>
      <c r="G32" s="206">
        <v>2626369.1916896426</v>
      </c>
      <c r="H32" s="198">
        <v>2705946.4425340421</v>
      </c>
      <c r="I32" s="229">
        <f t="shared" si="1"/>
        <v>3.0299339139446824E-2</v>
      </c>
      <c r="J32" s="240">
        <f t="shared" si="3"/>
        <v>4.4883922833205525E-2</v>
      </c>
    </row>
    <row r="33" spans="3:10" x14ac:dyDescent="0.25">
      <c r="C33" s="108" t="s">
        <v>108</v>
      </c>
      <c r="D33" s="198">
        <v>252247.91594198658</v>
      </c>
      <c r="E33" s="202">
        <v>170452.16577799997</v>
      </c>
      <c r="F33" s="225">
        <f t="shared" si="0"/>
        <v>-0.32426729814013</v>
      </c>
      <c r="G33" s="206">
        <v>2072681.4069819055</v>
      </c>
      <c r="H33" s="197">
        <v>1593397.3035288067</v>
      </c>
      <c r="I33" s="229">
        <f t="shared" si="1"/>
        <v>-0.23123867558159794</v>
      </c>
      <c r="J33" s="241">
        <f t="shared" si="3"/>
        <v>2.6429910248796432E-2</v>
      </c>
    </row>
    <row r="34" spans="3:10" x14ac:dyDescent="0.25">
      <c r="C34" s="108" t="s">
        <v>96</v>
      </c>
      <c r="D34" s="198">
        <v>107634.007873</v>
      </c>
      <c r="E34" s="202">
        <v>216890.16196200001</v>
      </c>
      <c r="F34" s="225">
        <f t="shared" si="0"/>
        <v>1.0150709450298834</v>
      </c>
      <c r="G34" s="206">
        <v>857518.12442000001</v>
      </c>
      <c r="H34" s="197">
        <v>1550290.31910418</v>
      </c>
      <c r="I34" s="229">
        <f t="shared" si="1"/>
        <v>0.80788052748476979</v>
      </c>
      <c r="J34" s="241">
        <f t="shared" si="3"/>
        <v>2.571488849815334E-2</v>
      </c>
    </row>
    <row r="35" spans="3:10" x14ac:dyDescent="0.25">
      <c r="C35" s="108" t="s">
        <v>102</v>
      </c>
      <c r="D35" s="198">
        <v>202632.12484599999</v>
      </c>
      <c r="E35" s="202">
        <v>422927.79021200002</v>
      </c>
      <c r="F35" s="225">
        <f t="shared" si="0"/>
        <v>1.0871704846081256</v>
      </c>
      <c r="G35" s="206">
        <v>2631659.8551630005</v>
      </c>
      <c r="H35" s="197">
        <v>1266701.1663270001</v>
      </c>
      <c r="I35" s="229">
        <f t="shared" si="1"/>
        <v>-0.51866835531883626</v>
      </c>
      <c r="J35" s="240">
        <f t="shared" si="3"/>
        <v>2.1010954432974613E-2</v>
      </c>
    </row>
    <row r="36" spans="3:10" x14ac:dyDescent="0.25">
      <c r="C36" s="108" t="s">
        <v>99</v>
      </c>
      <c r="D36" s="198">
        <v>160316.98947671501</v>
      </c>
      <c r="E36" s="202">
        <v>137268.60534100002</v>
      </c>
      <c r="F36" s="225">
        <f t="shared" si="0"/>
        <v>-0.1437675708042323</v>
      </c>
      <c r="G36" s="206">
        <v>1115047.8496855791</v>
      </c>
      <c r="H36" s="197">
        <v>986541.47942450701</v>
      </c>
      <c r="I36" s="229">
        <f t="shared" si="1"/>
        <v>-0.11524740422333291</v>
      </c>
      <c r="J36" s="240">
        <f t="shared" si="3"/>
        <v>1.6363905411512565E-2</v>
      </c>
    </row>
    <row r="37" spans="3:10" x14ac:dyDescent="0.25">
      <c r="C37" s="108" t="s">
        <v>103</v>
      </c>
      <c r="D37" s="198">
        <v>161323.36221759999</v>
      </c>
      <c r="E37" s="202">
        <v>183572.73229700001</v>
      </c>
      <c r="F37" s="225">
        <f t="shared" si="0"/>
        <v>0.13791784260849393</v>
      </c>
      <c r="G37" s="206">
        <v>848790.26833599992</v>
      </c>
      <c r="H37" s="197">
        <v>917602.25551130006</v>
      </c>
      <c r="I37" s="229">
        <f t="shared" si="1"/>
        <v>8.1070659905422504E-2</v>
      </c>
      <c r="J37" s="240">
        <f t="shared" si="3"/>
        <v>1.5220400589072782E-2</v>
      </c>
    </row>
    <row r="38" spans="3:10" x14ac:dyDescent="0.25">
      <c r="C38" s="108" t="s">
        <v>112</v>
      </c>
      <c r="D38" s="198">
        <v>104640.26835597589</v>
      </c>
      <c r="E38" s="202">
        <v>102675.93340700005</v>
      </c>
      <c r="F38" s="225">
        <f t="shared" si="0"/>
        <v>-1.8772265972152979E-2</v>
      </c>
      <c r="G38" s="206">
        <v>700208.00530698092</v>
      </c>
      <c r="H38" s="197">
        <v>712032.51071051264</v>
      </c>
      <c r="I38" s="229">
        <f t="shared" si="1"/>
        <v>1.6887132557628526E-2</v>
      </c>
      <c r="J38" s="240">
        <f t="shared" si="3"/>
        <v>1.1810585665374705E-2</v>
      </c>
    </row>
    <row r="39" spans="3:10" x14ac:dyDescent="0.25">
      <c r="C39" s="108" t="s">
        <v>106</v>
      </c>
      <c r="D39" s="198">
        <v>62614.20609</v>
      </c>
      <c r="E39" s="202">
        <v>62396.277486000006</v>
      </c>
      <c r="F39" s="225">
        <f t="shared" si="0"/>
        <v>-3.4804977593543285E-3</v>
      </c>
      <c r="G39" s="206">
        <v>424474.92198600003</v>
      </c>
      <c r="H39" s="197">
        <v>421812.21835985302</v>
      </c>
      <c r="I39" s="229">
        <f t="shared" si="1"/>
        <v>-6.2729350739708645E-3</v>
      </c>
      <c r="J39" s="240">
        <f t="shared" si="3"/>
        <v>6.9966599343470569E-3</v>
      </c>
    </row>
    <row r="40" spans="3:10" x14ac:dyDescent="0.25">
      <c r="C40" s="108" t="s">
        <v>101</v>
      </c>
      <c r="D40" s="198">
        <v>29238.190200000001</v>
      </c>
      <c r="E40" s="202">
        <v>42600.680339999999</v>
      </c>
      <c r="F40" s="225">
        <f t="shared" si="0"/>
        <v>0.45702179405071375</v>
      </c>
      <c r="G40" s="206">
        <v>286859.37764000002</v>
      </c>
      <c r="H40" s="197">
        <v>272844.82647000003</v>
      </c>
      <c r="I40" s="229">
        <f t="shared" si="1"/>
        <v>-4.8855126457074904E-2</v>
      </c>
      <c r="J40" s="240">
        <f t="shared" si="3"/>
        <v>4.5257163793864588E-3</v>
      </c>
    </row>
    <row r="41" spans="3:10" x14ac:dyDescent="0.25">
      <c r="C41" s="108" t="s">
        <v>113</v>
      </c>
      <c r="D41" s="198">
        <v>4545.8876863793002</v>
      </c>
      <c r="E41" s="202">
        <v>13363.838091</v>
      </c>
      <c r="F41" s="225">
        <f t="shared" si="0"/>
        <v>1.9397642469350145</v>
      </c>
      <c r="G41" s="206">
        <v>30526.9908303552</v>
      </c>
      <c r="H41" s="197">
        <v>168734.72266243005</v>
      </c>
      <c r="I41" s="229">
        <f t="shared" si="1"/>
        <v>4.5273945473408697</v>
      </c>
      <c r="J41" s="240">
        <f t="shared" si="3"/>
        <v>2.7988271135811916E-3</v>
      </c>
    </row>
    <row r="42" spans="3:10" x14ac:dyDescent="0.25">
      <c r="C42" s="108" t="s">
        <v>95</v>
      </c>
      <c r="D42" s="198">
        <v>11993.08021</v>
      </c>
      <c r="E42" s="202">
        <v>10950.670400000001</v>
      </c>
      <c r="F42" s="225">
        <f t="shared" si="0"/>
        <v>-8.6917605131234144E-2</v>
      </c>
      <c r="G42" s="206">
        <v>82378.313349999997</v>
      </c>
      <c r="H42" s="197">
        <v>84749.441220000008</v>
      </c>
      <c r="I42" s="229">
        <f t="shared" si="1"/>
        <v>2.8783399095898332E-2</v>
      </c>
      <c r="J42" s="240">
        <f t="shared" si="3"/>
        <v>1.4057511708596624E-3</v>
      </c>
    </row>
    <row r="43" spans="3:10" x14ac:dyDescent="0.25">
      <c r="C43" s="108" t="s">
        <v>98</v>
      </c>
      <c r="D43" s="198">
        <v>1761.84709</v>
      </c>
      <c r="E43" s="202">
        <v>1057.3740399999999</v>
      </c>
      <c r="F43" s="225">
        <f t="shared" si="0"/>
        <v>-0.39984914354854717</v>
      </c>
      <c r="G43" s="206">
        <v>27007.388469999998</v>
      </c>
      <c r="H43" s="197">
        <v>8707.9242700000013</v>
      </c>
      <c r="I43" s="229">
        <f t="shared" si="1"/>
        <v>-0.67757251762150839</v>
      </c>
      <c r="J43" s="241">
        <f>(H43/$H$27)</f>
        <v>1.4443959230991341E-4</v>
      </c>
    </row>
    <row r="44" spans="3:10" x14ac:dyDescent="0.25">
      <c r="C44" s="112" t="s">
        <v>100</v>
      </c>
      <c r="D44" s="203">
        <v>0</v>
      </c>
      <c r="E44" s="202">
        <v>4633.4010799999996</v>
      </c>
      <c r="F44" s="225" t="s">
        <v>81</v>
      </c>
      <c r="G44" s="217">
        <v>0</v>
      </c>
      <c r="H44" s="216">
        <v>7496.3607400000001</v>
      </c>
      <c r="I44" s="230" t="s">
        <v>81</v>
      </c>
      <c r="J44" s="242">
        <f t="shared" si="3"/>
        <v>1.2434321378103127E-4</v>
      </c>
    </row>
    <row r="45" spans="3:10" x14ac:dyDescent="0.25">
      <c r="C45" s="107" t="s">
        <v>114</v>
      </c>
      <c r="D45" s="200">
        <f>+SUM(D46:D57)</f>
        <v>106722.379202909</v>
      </c>
      <c r="E45" s="196">
        <f>+SUM(E46:E57)</f>
        <v>125134.936195</v>
      </c>
      <c r="F45" s="227">
        <f t="shared" si="0"/>
        <v>0.17252760976293091</v>
      </c>
      <c r="G45" s="200">
        <f>+SUM(G46:G57)</f>
        <v>736325.24293817498</v>
      </c>
      <c r="H45" s="196">
        <f>+SUM(H46:H57)</f>
        <v>840375.2641374066</v>
      </c>
      <c r="I45" s="227">
        <f t="shared" si="1"/>
        <v>0.14130986571102544</v>
      </c>
      <c r="J45" s="238">
        <f>SUM(J46:J57)</f>
        <v>1.0000000000000002</v>
      </c>
    </row>
    <row r="46" spans="3:10" x14ac:dyDescent="0.25">
      <c r="C46" s="111" t="s">
        <v>98</v>
      </c>
      <c r="D46" s="204">
        <v>29245.47975957</v>
      </c>
      <c r="E46" s="205">
        <v>52311.385921000001</v>
      </c>
      <c r="F46" s="228">
        <f t="shared" si="0"/>
        <v>0.78869987263184305</v>
      </c>
      <c r="G46" s="197">
        <v>208588.10337532</v>
      </c>
      <c r="H46" s="201">
        <v>340624.51329204999</v>
      </c>
      <c r="I46" s="225">
        <f t="shared" si="1"/>
        <v>0.6330006734811342</v>
      </c>
      <c r="J46" s="239">
        <f t="shared" ref="J46:J57" si="4">(H46/$H$45)</f>
        <v>0.40532429716583823</v>
      </c>
    </row>
    <row r="47" spans="3:10" x14ac:dyDescent="0.25">
      <c r="C47" s="110" t="s">
        <v>100</v>
      </c>
      <c r="D47" s="206">
        <v>19669.10469222</v>
      </c>
      <c r="E47" s="197">
        <v>20672.375845999999</v>
      </c>
      <c r="F47" s="229">
        <f t="shared" si="0"/>
        <v>5.10074642175673E-2</v>
      </c>
      <c r="G47" s="197">
        <v>127804.526263714</v>
      </c>
      <c r="H47" s="201">
        <v>135026.39564717599</v>
      </c>
      <c r="I47" s="225">
        <f t="shared" si="1"/>
        <v>5.6507148804419316E-2</v>
      </c>
      <c r="J47" s="240">
        <f t="shared" si="4"/>
        <v>0.16067392914732237</v>
      </c>
    </row>
    <row r="48" spans="3:10" x14ac:dyDescent="0.25">
      <c r="C48" s="108" t="s">
        <v>104</v>
      </c>
      <c r="D48" s="206">
        <v>13551.657775600001</v>
      </c>
      <c r="E48" s="197">
        <v>10475.935574000001</v>
      </c>
      <c r="F48" s="229">
        <f t="shared" si="0"/>
        <v>-0.22696280060568619</v>
      </c>
      <c r="G48" s="197">
        <v>91148.616527060003</v>
      </c>
      <c r="H48" s="201">
        <v>101120.45910516</v>
      </c>
      <c r="I48" s="225">
        <f t="shared" si="1"/>
        <v>0.10940201791367365</v>
      </c>
      <c r="J48" s="240">
        <f t="shared" si="4"/>
        <v>0.12032774335517112</v>
      </c>
    </row>
    <row r="49" spans="3:10" x14ac:dyDescent="0.25">
      <c r="C49" s="110" t="s">
        <v>103</v>
      </c>
      <c r="D49" s="169">
        <v>13824.590502599001</v>
      </c>
      <c r="E49" s="198">
        <v>14158.047509000002</v>
      </c>
      <c r="F49" s="229">
        <f t="shared" si="0"/>
        <v>2.4120570250403484E-2</v>
      </c>
      <c r="G49" s="197">
        <v>93999.613207841016</v>
      </c>
      <c r="H49" s="201">
        <v>97451.062405443998</v>
      </c>
      <c r="I49" s="225">
        <f t="shared" si="1"/>
        <v>3.6717695741699918E-2</v>
      </c>
      <c r="J49" s="240">
        <f t="shared" si="4"/>
        <v>0.11596136459998202</v>
      </c>
    </row>
    <row r="50" spans="3:10" x14ac:dyDescent="0.25">
      <c r="C50" s="110" t="s">
        <v>101</v>
      </c>
      <c r="D50" s="169">
        <v>17997.671724</v>
      </c>
      <c r="E50" s="198">
        <v>15235.592517000001</v>
      </c>
      <c r="F50" s="229">
        <f t="shared" si="0"/>
        <v>-0.15346869580451061</v>
      </c>
      <c r="G50" s="197">
        <v>123633.92071199999</v>
      </c>
      <c r="H50" s="201">
        <v>83803.807778000002</v>
      </c>
      <c r="I50" s="225">
        <f t="shared" si="1"/>
        <v>-0.32216169077726298</v>
      </c>
      <c r="J50" s="240">
        <f t="shared" si="4"/>
        <v>9.9721887773576295E-2</v>
      </c>
    </row>
    <row r="51" spans="3:10" x14ac:dyDescent="0.25">
      <c r="C51" s="110" t="s">
        <v>107</v>
      </c>
      <c r="D51" s="169">
        <v>4793.8171224000007</v>
      </c>
      <c r="E51" s="198">
        <v>4470.553191</v>
      </c>
      <c r="F51" s="229">
        <f t="shared" si="0"/>
        <v>-6.7433513449958293E-2</v>
      </c>
      <c r="G51" s="197">
        <v>31718.859922299998</v>
      </c>
      <c r="H51" s="201">
        <v>29279.718499899998</v>
      </c>
      <c r="I51" s="225">
        <f t="shared" si="1"/>
        <v>-7.6898773422974021E-2</v>
      </c>
      <c r="J51" s="240">
        <f t="shared" si="4"/>
        <v>3.4841242655986343E-2</v>
      </c>
    </row>
    <row r="52" spans="3:10" x14ac:dyDescent="0.25">
      <c r="C52" s="110" t="s">
        <v>109</v>
      </c>
      <c r="D52" s="169">
        <v>3417.6207617199998</v>
      </c>
      <c r="E52" s="198">
        <v>4011.8877069999999</v>
      </c>
      <c r="F52" s="229">
        <f t="shared" si="0"/>
        <v>0.17388323243358372</v>
      </c>
      <c r="G52" s="197">
        <v>29378.298314040003</v>
      </c>
      <c r="H52" s="201">
        <v>25915.483897509999</v>
      </c>
      <c r="I52" s="225">
        <f t="shared" si="1"/>
        <v>-0.11786980918752232</v>
      </c>
      <c r="J52" s="240">
        <f t="shared" si="4"/>
        <v>3.0837989887899243E-2</v>
      </c>
    </row>
    <row r="53" spans="3:10" x14ac:dyDescent="0.25">
      <c r="C53" s="110" t="s">
        <v>97</v>
      </c>
      <c r="D53" s="169">
        <v>2738.1530176000001</v>
      </c>
      <c r="E53" s="198">
        <v>2378.98792</v>
      </c>
      <c r="F53" s="229">
        <f t="shared" si="0"/>
        <v>-0.13117057202113902</v>
      </c>
      <c r="G53" s="197">
        <v>18054.626853499998</v>
      </c>
      <c r="H53" s="201">
        <v>16701.032597500001</v>
      </c>
      <c r="I53" s="225">
        <f t="shared" si="1"/>
        <v>-7.4972153508539252E-2</v>
      </c>
      <c r="J53" s="240">
        <f t="shared" si="4"/>
        <v>1.9873303404096005E-2</v>
      </c>
    </row>
    <row r="54" spans="3:10" x14ac:dyDescent="0.25">
      <c r="C54" s="110" t="s">
        <v>106</v>
      </c>
      <c r="D54" s="169">
        <v>1483.7398472</v>
      </c>
      <c r="E54" s="198">
        <v>1418.5820100000003</v>
      </c>
      <c r="F54" s="229">
        <f t="shared" si="0"/>
        <v>-4.391459683647414E-2</v>
      </c>
      <c r="G54" s="197">
        <v>9632.2672681000004</v>
      </c>
      <c r="H54" s="201">
        <v>7866.7799775269996</v>
      </c>
      <c r="I54" s="225">
        <f t="shared" si="1"/>
        <v>-0.1832888603932239</v>
      </c>
      <c r="J54" s="240">
        <f t="shared" si="4"/>
        <v>9.3610322831214742E-3</v>
      </c>
    </row>
    <row r="55" spans="3:10" x14ac:dyDescent="0.25">
      <c r="C55" s="110" t="s">
        <v>108</v>
      </c>
      <c r="D55" s="207">
        <v>0</v>
      </c>
      <c r="E55" s="203">
        <v>0</v>
      </c>
      <c r="F55" s="229" t="s">
        <v>46</v>
      </c>
      <c r="G55" s="197">
        <v>2362.9866943000002</v>
      </c>
      <c r="H55" s="201">
        <v>2493.3261962999995</v>
      </c>
      <c r="I55" s="225">
        <f t="shared" si="1"/>
        <v>5.5158796414048528E-2</v>
      </c>
      <c r="J55" s="240">
        <f t="shared" si="4"/>
        <v>2.966920020973303E-3</v>
      </c>
    </row>
    <row r="56" spans="3:10" x14ac:dyDescent="0.25">
      <c r="C56" s="110" t="s">
        <v>96</v>
      </c>
      <c r="D56" s="207">
        <v>0</v>
      </c>
      <c r="E56" s="203">
        <v>0</v>
      </c>
      <c r="F56" s="229" t="s">
        <v>46</v>
      </c>
      <c r="G56" s="218">
        <v>0</v>
      </c>
      <c r="H56" s="201">
        <v>83.735690839699984</v>
      </c>
      <c r="I56" s="225" t="s">
        <v>81</v>
      </c>
      <c r="J56" s="241">
        <f t="shared" si="4"/>
        <v>9.9640832391288317E-5</v>
      </c>
    </row>
    <row r="57" spans="3:10" x14ac:dyDescent="0.25">
      <c r="C57" s="93" t="s">
        <v>102</v>
      </c>
      <c r="D57" s="208">
        <v>0.54400000000000004</v>
      </c>
      <c r="E57" s="199">
        <v>1.5880000000000001</v>
      </c>
      <c r="F57" s="230">
        <f t="shared" si="0"/>
        <v>1.9191176470588234</v>
      </c>
      <c r="G57" s="197">
        <v>3.4238000000000004</v>
      </c>
      <c r="H57" s="201">
        <v>8.9490499999999997</v>
      </c>
      <c r="I57" s="225">
        <f t="shared" si="1"/>
        <v>1.6137770897832815</v>
      </c>
      <c r="J57" s="242">
        <f t="shared" si="4"/>
        <v>1.0648873642402657E-5</v>
      </c>
    </row>
    <row r="58" spans="3:10" x14ac:dyDescent="0.25">
      <c r="C58" s="107" t="s">
        <v>115</v>
      </c>
      <c r="D58" s="200">
        <f>+SUM(D59:D76)</f>
        <v>289166.78179339378</v>
      </c>
      <c r="E58" s="196">
        <f>+SUM(E59:E76)</f>
        <v>297497.45979500003</v>
      </c>
      <c r="F58" s="227">
        <f t="shared" si="0"/>
        <v>2.8809249630749267E-2</v>
      </c>
      <c r="G58" s="200">
        <f>+SUM(G59:G76)</f>
        <v>1931255.6546894209</v>
      </c>
      <c r="H58" s="196">
        <f>+SUM(H59:H76)</f>
        <v>2092614.7529623588</v>
      </c>
      <c r="I58" s="227">
        <f t="shared" si="1"/>
        <v>8.3551392008163194E-2</v>
      </c>
      <c r="J58" s="238">
        <f>SUM(J59:J76)</f>
        <v>0.99999999999999978</v>
      </c>
    </row>
    <row r="59" spans="3:10" x14ac:dyDescent="0.25">
      <c r="C59" s="111" t="s">
        <v>104</v>
      </c>
      <c r="D59" s="204">
        <v>58506.082280701899</v>
      </c>
      <c r="E59" s="205">
        <v>54508.081494999999</v>
      </c>
      <c r="F59" s="228">
        <f t="shared" si="0"/>
        <v>-6.8334788962969628E-2</v>
      </c>
      <c r="G59" s="204">
        <v>359828.85866959387</v>
      </c>
      <c r="H59" s="205">
        <v>416131.59664168378</v>
      </c>
      <c r="I59" s="228">
        <f t="shared" si="1"/>
        <v>0.15647087946269722</v>
      </c>
      <c r="J59" s="239">
        <f t="shared" ref="J59:J75" si="5">(H59/$H$58)</f>
        <v>0.19885724118717851</v>
      </c>
    </row>
    <row r="60" spans="3:10" x14ac:dyDescent="0.25">
      <c r="C60" s="108" t="s">
        <v>98</v>
      </c>
      <c r="D60" s="206">
        <v>43988.625447590806</v>
      </c>
      <c r="E60" s="197">
        <v>58028.145185000001</v>
      </c>
      <c r="F60" s="229">
        <f t="shared" si="0"/>
        <v>0.3191625015456836</v>
      </c>
      <c r="G60" s="206">
        <v>293056.3413080654</v>
      </c>
      <c r="H60" s="197">
        <v>388055.22716523602</v>
      </c>
      <c r="I60" s="229">
        <f t="shared" si="1"/>
        <v>0.32416594513239461</v>
      </c>
      <c r="J60" s="240">
        <f t="shared" si="5"/>
        <v>0.18544035714930096</v>
      </c>
    </row>
    <row r="61" spans="3:10" ht="15" customHeight="1" x14ac:dyDescent="0.25">
      <c r="C61" s="108" t="s">
        <v>103</v>
      </c>
      <c r="D61" s="206">
        <v>46364.066173963904</v>
      </c>
      <c r="E61" s="197">
        <v>43338.803940999998</v>
      </c>
      <c r="F61" s="229">
        <f t="shared" si="0"/>
        <v>-6.5250149148108227E-2</v>
      </c>
      <c r="G61" s="206">
        <v>316171.72537493851</v>
      </c>
      <c r="H61" s="197">
        <v>297095.13898093218</v>
      </c>
      <c r="I61" s="229">
        <f t="shared" si="1"/>
        <v>-6.0336155522395241E-2</v>
      </c>
      <c r="J61" s="240">
        <f t="shared" si="5"/>
        <v>0.14197316470236901</v>
      </c>
    </row>
    <row r="62" spans="3:10" x14ac:dyDescent="0.25">
      <c r="C62" s="108" t="s">
        <v>100</v>
      </c>
      <c r="D62" s="206">
        <v>46728.880570134803</v>
      </c>
      <c r="E62" s="197">
        <v>43087.953572000006</v>
      </c>
      <c r="F62" s="229">
        <f t="shared" si="0"/>
        <v>-7.7915990148109238E-2</v>
      </c>
      <c r="G62" s="206">
        <v>275638.6662415493</v>
      </c>
      <c r="H62" s="197">
        <v>292923.56892779638</v>
      </c>
      <c r="I62" s="229">
        <f t="shared" si="1"/>
        <v>6.2708555813065336E-2</v>
      </c>
      <c r="J62" s="240">
        <f t="shared" si="5"/>
        <v>0.13997969215935532</v>
      </c>
    </row>
    <row r="63" spans="3:10" x14ac:dyDescent="0.25">
      <c r="C63" s="110" t="s">
        <v>101</v>
      </c>
      <c r="D63" s="169">
        <v>16063.4599308221</v>
      </c>
      <c r="E63" s="198">
        <v>19925.674487</v>
      </c>
      <c r="F63" s="229">
        <f t="shared" si="0"/>
        <v>0.24043478632938808</v>
      </c>
      <c r="G63" s="206">
        <v>124643.44579932457</v>
      </c>
      <c r="H63" s="197">
        <v>137181.75339123691</v>
      </c>
      <c r="I63" s="229">
        <f t="shared" si="1"/>
        <v>0.10059339672058609</v>
      </c>
      <c r="J63" s="240">
        <f t="shared" si="5"/>
        <v>6.5555187927944653E-2</v>
      </c>
    </row>
    <row r="64" spans="3:10" x14ac:dyDescent="0.25">
      <c r="C64" s="110" t="s">
        <v>109</v>
      </c>
      <c r="D64" s="169">
        <v>18399.945818320601</v>
      </c>
      <c r="E64" s="198">
        <v>16855.401129999998</v>
      </c>
      <c r="F64" s="229">
        <f t="shared" si="0"/>
        <v>-8.3942893287366038E-2</v>
      </c>
      <c r="G64" s="206">
        <v>126430.55612576398</v>
      </c>
      <c r="H64" s="197">
        <v>120437.13986428959</v>
      </c>
      <c r="I64" s="229">
        <f t="shared" si="1"/>
        <v>-4.7404808181912617E-2</v>
      </c>
      <c r="J64" s="240">
        <f t="shared" si="5"/>
        <v>5.7553421953943369E-2</v>
      </c>
    </row>
    <row r="65" spans="3:10" ht="15" customHeight="1" x14ac:dyDescent="0.25">
      <c r="C65" s="110" t="s">
        <v>96</v>
      </c>
      <c r="D65" s="169">
        <v>7597.9854711217004</v>
      </c>
      <c r="E65" s="198">
        <v>13317.812398</v>
      </c>
      <c r="F65" s="229">
        <f t="shared" si="0"/>
        <v>0.75280835276904967</v>
      </c>
      <c r="G65" s="206">
        <v>56155.773933522993</v>
      </c>
      <c r="H65" s="197">
        <v>87119.981606127098</v>
      </c>
      <c r="I65" s="229">
        <f t="shared" si="1"/>
        <v>0.55139846722190011</v>
      </c>
      <c r="J65" s="240">
        <f t="shared" si="5"/>
        <v>4.163211670126947E-2</v>
      </c>
    </row>
    <row r="66" spans="3:10" x14ac:dyDescent="0.25">
      <c r="C66" s="110" t="s">
        <v>106</v>
      </c>
      <c r="D66" s="169">
        <v>11759.5283801321</v>
      </c>
      <c r="E66" s="198">
        <v>9892.4630550000002</v>
      </c>
      <c r="F66" s="229">
        <f t="shared" si="0"/>
        <v>-0.15877042554585219</v>
      </c>
      <c r="G66" s="206">
        <v>85069.756601396512</v>
      </c>
      <c r="H66" s="197">
        <v>79885.184623168694</v>
      </c>
      <c r="I66" s="229">
        <f t="shared" si="1"/>
        <v>-6.0944949008384763E-2</v>
      </c>
      <c r="J66" s="240">
        <f t="shared" si="5"/>
        <v>3.8174816702444249E-2</v>
      </c>
    </row>
    <row r="67" spans="3:10" x14ac:dyDescent="0.25">
      <c r="C67" s="110" t="s">
        <v>99</v>
      </c>
      <c r="D67" s="169">
        <v>8510.884678294</v>
      </c>
      <c r="E67" s="198">
        <v>6926.0765570000003</v>
      </c>
      <c r="F67" s="229">
        <f t="shared" si="0"/>
        <v>-0.18620956354112805</v>
      </c>
      <c r="G67" s="206">
        <v>57665.465034343702</v>
      </c>
      <c r="H67" s="197">
        <v>55316.573648171405</v>
      </c>
      <c r="I67" s="229">
        <f t="shared" si="1"/>
        <v>-4.0733069347023809E-2</v>
      </c>
      <c r="J67" s="240">
        <f t="shared" si="5"/>
        <v>2.6434188887306587E-2</v>
      </c>
    </row>
    <row r="68" spans="3:10" x14ac:dyDescent="0.25">
      <c r="C68" s="110" t="s">
        <v>102</v>
      </c>
      <c r="D68" s="169">
        <v>7664.8066477677003</v>
      </c>
      <c r="E68" s="198">
        <v>7497.4705130000002</v>
      </c>
      <c r="F68" s="229">
        <f t="shared" si="0"/>
        <v>-2.1831748986966937E-2</v>
      </c>
      <c r="G68" s="206">
        <v>59213.489995063697</v>
      </c>
      <c r="H68" s="197">
        <v>51009.741113184391</v>
      </c>
      <c r="I68" s="229">
        <f t="shared" si="1"/>
        <v>-0.13854526869744055</v>
      </c>
      <c r="J68" s="241">
        <f t="shared" si="5"/>
        <v>2.4376078320662558E-2</v>
      </c>
    </row>
    <row r="69" spans="3:10" x14ac:dyDescent="0.25">
      <c r="C69" s="110" t="s">
        <v>95</v>
      </c>
      <c r="D69" s="169">
        <v>6519.8543480827002</v>
      </c>
      <c r="E69" s="198">
        <v>7169.7125820000001</v>
      </c>
      <c r="F69" s="229">
        <f t="shared" si="0"/>
        <v>9.9673734906118527E-2</v>
      </c>
      <c r="G69" s="206">
        <v>48116.456461977505</v>
      </c>
      <c r="H69" s="197">
        <v>50013.789915046102</v>
      </c>
      <c r="I69" s="229">
        <f t="shared" si="1"/>
        <v>3.9432111019395366E-2</v>
      </c>
      <c r="J69" s="241">
        <f t="shared" si="5"/>
        <v>2.3900142080258827E-2</v>
      </c>
    </row>
    <row r="70" spans="3:10" x14ac:dyDescent="0.25">
      <c r="C70" s="110" t="s">
        <v>97</v>
      </c>
      <c r="D70" s="169">
        <v>8629.5941389572017</v>
      </c>
      <c r="E70" s="198">
        <v>8674.8256379999984</v>
      </c>
      <c r="F70" s="229">
        <f t="shared" si="0"/>
        <v>5.2414399002387313E-3</v>
      </c>
      <c r="G70" s="206">
        <v>60663.914178544008</v>
      </c>
      <c r="H70" s="197">
        <v>46400.261921027195</v>
      </c>
      <c r="I70" s="229">
        <f t="shared" si="1"/>
        <v>-0.23512581492081941</v>
      </c>
      <c r="J70" s="240">
        <f t="shared" si="5"/>
        <v>2.2173341679514492E-2</v>
      </c>
    </row>
    <row r="71" spans="3:10" x14ac:dyDescent="0.25">
      <c r="C71" s="110" t="s">
        <v>107</v>
      </c>
      <c r="D71" s="169">
        <v>5079.1776465106996</v>
      </c>
      <c r="E71" s="198">
        <v>4006.7647310000002</v>
      </c>
      <c r="F71" s="229">
        <f t="shared" si="0"/>
        <v>-0.21113908395140046</v>
      </c>
      <c r="G71" s="206">
        <v>31484.4472037706</v>
      </c>
      <c r="H71" s="197">
        <v>29886.842925886198</v>
      </c>
      <c r="I71" s="229">
        <f t="shared" si="1"/>
        <v>-5.0742649777032467E-2</v>
      </c>
      <c r="J71" s="240">
        <f t="shared" si="5"/>
        <v>1.4282056878160502E-2</v>
      </c>
    </row>
    <row r="72" spans="3:10" x14ac:dyDescent="0.25">
      <c r="C72" s="110" t="s">
        <v>105</v>
      </c>
      <c r="D72" s="169">
        <v>1468.5101385729999</v>
      </c>
      <c r="E72" s="198">
        <v>2385.3781530000001</v>
      </c>
      <c r="F72" s="229">
        <f t="shared" si="0"/>
        <v>0.62435252596754376</v>
      </c>
      <c r="G72" s="206">
        <v>12744.739597517901</v>
      </c>
      <c r="H72" s="197">
        <v>15592.401616442801</v>
      </c>
      <c r="I72" s="229">
        <f t="shared" si="1"/>
        <v>0.22343822697479809</v>
      </c>
      <c r="J72" s="241">
        <f t="shared" si="5"/>
        <v>7.4511572635956045E-3</v>
      </c>
    </row>
    <row r="73" spans="3:10" x14ac:dyDescent="0.25">
      <c r="C73" s="110" t="s">
        <v>108</v>
      </c>
      <c r="D73" s="169">
        <v>0.7327354586</v>
      </c>
      <c r="E73" s="203">
        <v>0</v>
      </c>
      <c r="F73" s="229" t="s">
        <v>46</v>
      </c>
      <c r="G73" s="206">
        <v>11290.8290972214</v>
      </c>
      <c r="H73" s="197">
        <v>14421.1537637728</v>
      </c>
      <c r="I73" s="229">
        <f t="shared" si="1"/>
        <v>0.27724488959998106</v>
      </c>
      <c r="J73" s="241">
        <f t="shared" si="5"/>
        <v>6.891451827603646E-3</v>
      </c>
    </row>
    <row r="74" spans="3:10" x14ac:dyDescent="0.25">
      <c r="C74" s="110" t="s">
        <v>111</v>
      </c>
      <c r="D74" s="169">
        <v>1884.1338889010001</v>
      </c>
      <c r="E74" s="198">
        <v>1882.8963580000002</v>
      </c>
      <c r="F74" s="229">
        <f t="shared" si="0"/>
        <v>-6.5681685802154721E-4</v>
      </c>
      <c r="G74" s="206">
        <v>12987.841899679201</v>
      </c>
      <c r="H74" s="197">
        <v>11138.314999080902</v>
      </c>
      <c r="I74" s="229">
        <f t="shared" si="1"/>
        <v>-0.14240448219838453</v>
      </c>
      <c r="J74" s="240">
        <f t="shared" si="5"/>
        <v>5.3226782346407616E-3</v>
      </c>
    </row>
    <row r="75" spans="3:10" x14ac:dyDescent="0.25">
      <c r="C75" s="110" t="s">
        <v>113</v>
      </c>
      <c r="D75" s="207">
        <v>0.51349806099999995</v>
      </c>
      <c r="E75" s="203">
        <v>0</v>
      </c>
      <c r="F75" s="229" t="s">
        <v>46</v>
      </c>
      <c r="G75" s="206">
        <v>2.1421309748999997</v>
      </c>
      <c r="H75" s="197">
        <v>6.0818592760000003</v>
      </c>
      <c r="I75" s="229">
        <f t="shared" si="1"/>
        <v>1.8391631264675201</v>
      </c>
      <c r="J75" s="243">
        <f t="shared" si="5"/>
        <v>2.9063444513092365E-6</v>
      </c>
    </row>
    <row r="76" spans="3:10" ht="15" customHeight="1" x14ac:dyDescent="0.25">
      <c r="C76" s="93" t="s">
        <v>112</v>
      </c>
      <c r="D76" s="209">
        <v>0</v>
      </c>
      <c r="E76" s="210">
        <v>0</v>
      </c>
      <c r="F76" s="230" t="s">
        <v>46</v>
      </c>
      <c r="G76" s="215">
        <v>91.205036172700005</v>
      </c>
      <c r="H76" s="219">
        <v>0</v>
      </c>
      <c r="I76" s="230" t="s">
        <v>46</v>
      </c>
      <c r="J76" s="244" t="s">
        <v>46</v>
      </c>
    </row>
    <row r="77" spans="3:10" x14ac:dyDescent="0.25">
      <c r="C77" s="107" t="s">
        <v>116</v>
      </c>
      <c r="D77" s="200">
        <f>+SUM(D78:D89)</f>
        <v>26066.796739929003</v>
      </c>
      <c r="E77" s="196">
        <f>+SUM(E78:E89)</f>
        <v>26330.830793000001</v>
      </c>
      <c r="F77" s="227">
        <f t="shared" si="0"/>
        <v>1.0129133077044106E-2</v>
      </c>
      <c r="G77" s="200">
        <f>+SUM(G78:G89)</f>
        <v>166919.85109403395</v>
      </c>
      <c r="H77" s="196">
        <f>+SUM(H78:H89)</f>
        <v>178220.1793666594</v>
      </c>
      <c r="I77" s="227">
        <f t="shared" si="1"/>
        <v>6.7699127446857243E-2</v>
      </c>
      <c r="J77" s="238">
        <f>SUM(J78:J89)</f>
        <v>1</v>
      </c>
    </row>
    <row r="78" spans="3:10" x14ac:dyDescent="0.25">
      <c r="C78" s="111" t="s">
        <v>103</v>
      </c>
      <c r="D78" s="197">
        <v>7457.3920590960006</v>
      </c>
      <c r="E78" s="201">
        <v>8528.8313480000015</v>
      </c>
      <c r="F78" s="225">
        <f t="shared" si="0"/>
        <v>0.14367479682084494</v>
      </c>
      <c r="G78" s="204">
        <v>46628.762336404994</v>
      </c>
      <c r="H78" s="205">
        <v>54883.735403200997</v>
      </c>
      <c r="I78" s="228">
        <f t="shared" si="1"/>
        <v>0.17703607501396212</v>
      </c>
      <c r="J78" s="239">
        <f t="shared" ref="J78:J89" si="6">(H78/$H$77)</f>
        <v>0.307954663710031</v>
      </c>
    </row>
    <row r="79" spans="3:10" x14ac:dyDescent="0.25">
      <c r="C79" s="108" t="s">
        <v>104</v>
      </c>
      <c r="D79" s="197">
        <v>4230.1047411</v>
      </c>
      <c r="E79" s="201">
        <v>4555.976869000001</v>
      </c>
      <c r="F79" s="225">
        <f t="shared" ref="F79:F93" si="7">+E79/D79-1</f>
        <v>7.7036420572238917E-2</v>
      </c>
      <c r="G79" s="206">
        <v>28831.842377680001</v>
      </c>
      <c r="H79" s="197">
        <v>33992.52326098</v>
      </c>
      <c r="I79" s="229">
        <f t="shared" si="1"/>
        <v>0.17899240761995538</v>
      </c>
      <c r="J79" s="240">
        <f t="shared" si="6"/>
        <v>0.19073330181677037</v>
      </c>
    </row>
    <row r="80" spans="3:10" x14ac:dyDescent="0.25">
      <c r="C80" s="108" t="s">
        <v>100</v>
      </c>
      <c r="D80" s="197">
        <v>3258.8408638430001</v>
      </c>
      <c r="E80" s="201">
        <v>3282.2857910000002</v>
      </c>
      <c r="F80" s="225">
        <f t="shared" si="7"/>
        <v>7.194253458989941E-3</v>
      </c>
      <c r="G80" s="206">
        <v>17717.374036369001</v>
      </c>
      <c r="H80" s="197">
        <v>21414.728106249</v>
      </c>
      <c r="I80" s="229">
        <f t="shared" ref="I80:I94" si="8">+H80/G80-1</f>
        <v>0.2086852183788821</v>
      </c>
      <c r="J80" s="240">
        <f t="shared" si="6"/>
        <v>0.12015882927707998</v>
      </c>
    </row>
    <row r="81" spans="3:10" x14ac:dyDescent="0.25">
      <c r="C81" s="108" t="s">
        <v>98</v>
      </c>
      <c r="D81" s="197">
        <v>1906.6125376999998</v>
      </c>
      <c r="E81" s="201">
        <v>2759.4313220000004</v>
      </c>
      <c r="F81" s="225">
        <f t="shared" si="7"/>
        <v>0.44729527758627863</v>
      </c>
      <c r="G81" s="206">
        <v>13246.102267459999</v>
      </c>
      <c r="H81" s="197">
        <v>20770.596612900001</v>
      </c>
      <c r="I81" s="229">
        <f t="shared" si="8"/>
        <v>0.56805346912687371</v>
      </c>
      <c r="J81" s="240">
        <f t="shared" si="6"/>
        <v>0.11654458370938924</v>
      </c>
    </row>
    <row r="82" spans="3:10" x14ac:dyDescent="0.25">
      <c r="C82" s="110" t="s">
        <v>106</v>
      </c>
      <c r="D82" s="198">
        <v>2185.5853741000001</v>
      </c>
      <c r="E82" s="202">
        <v>1914.3482689999998</v>
      </c>
      <c r="F82" s="225">
        <f t="shared" si="7"/>
        <v>-0.12410272703791891</v>
      </c>
      <c r="G82" s="206">
        <v>13614.09939308</v>
      </c>
      <c r="H82" s="197">
        <v>13193.227886524899</v>
      </c>
      <c r="I82" s="229">
        <f t="shared" si="8"/>
        <v>-3.0914384742117273E-2</v>
      </c>
      <c r="J82" s="240">
        <f t="shared" si="6"/>
        <v>7.4027688297754163E-2</v>
      </c>
    </row>
    <row r="83" spans="3:10" x14ac:dyDescent="0.25">
      <c r="C83" s="110" t="s">
        <v>101</v>
      </c>
      <c r="D83" s="198">
        <v>3496.5192859999997</v>
      </c>
      <c r="E83" s="202">
        <v>2418.8693399999997</v>
      </c>
      <c r="F83" s="225">
        <f t="shared" si="7"/>
        <v>-0.30820649275835288</v>
      </c>
      <c r="G83" s="206">
        <v>20563.963663999999</v>
      </c>
      <c r="H83" s="197">
        <v>11986.227173999998</v>
      </c>
      <c r="I83" s="229">
        <f t="shared" si="8"/>
        <v>-0.41712466673030013</v>
      </c>
      <c r="J83" s="240">
        <f t="shared" si="6"/>
        <v>6.7255162780081493E-2</v>
      </c>
    </row>
    <row r="84" spans="3:10" x14ac:dyDescent="0.25">
      <c r="C84" s="110" t="s">
        <v>97</v>
      </c>
      <c r="D84" s="198">
        <v>2048.2912551999998</v>
      </c>
      <c r="E84" s="202">
        <v>1593.6983279999997</v>
      </c>
      <c r="F84" s="225">
        <f t="shared" si="7"/>
        <v>-0.2219376399942754</v>
      </c>
      <c r="G84" s="206">
        <v>13742.545546899999</v>
      </c>
      <c r="H84" s="197">
        <v>11127.146520599999</v>
      </c>
      <c r="I84" s="229">
        <f t="shared" si="8"/>
        <v>-0.19031401550566251</v>
      </c>
      <c r="J84" s="240">
        <f t="shared" si="6"/>
        <v>6.2434829547038453E-2</v>
      </c>
    </row>
    <row r="85" spans="3:10" x14ac:dyDescent="0.25">
      <c r="C85" s="110" t="s">
        <v>107</v>
      </c>
      <c r="D85" s="198">
        <v>1079.2313786</v>
      </c>
      <c r="E85" s="202">
        <v>757.08788300000003</v>
      </c>
      <c r="F85" s="225">
        <f t="shared" si="7"/>
        <v>-0.2984934481963365</v>
      </c>
      <c r="G85" s="206">
        <v>6808.1913853999995</v>
      </c>
      <c r="H85" s="197">
        <v>4540.5244761000004</v>
      </c>
      <c r="I85" s="229">
        <f t="shared" si="8"/>
        <v>-0.33307919547663656</v>
      </c>
      <c r="J85" s="240">
        <f t="shared" si="6"/>
        <v>2.5477050310664318E-2</v>
      </c>
    </row>
    <row r="86" spans="3:10" x14ac:dyDescent="0.25">
      <c r="C86" s="110" t="s">
        <v>109</v>
      </c>
      <c r="D86" s="198">
        <v>390.91844429000002</v>
      </c>
      <c r="E86" s="202">
        <v>509.26564299999995</v>
      </c>
      <c r="F86" s="225">
        <f t="shared" si="7"/>
        <v>0.30274140409247341</v>
      </c>
      <c r="G86" s="206">
        <v>2857.07003704</v>
      </c>
      <c r="H86" s="197">
        <v>3708.0355136199996</v>
      </c>
      <c r="I86" s="229">
        <f t="shared" si="8"/>
        <v>0.29784550800218468</v>
      </c>
      <c r="J86" s="240">
        <f t="shared" si="6"/>
        <v>2.0805924036196327E-2</v>
      </c>
    </row>
    <row r="87" spans="3:10" x14ac:dyDescent="0.25">
      <c r="C87" s="110" t="s">
        <v>108</v>
      </c>
      <c r="D87" s="203">
        <v>0</v>
      </c>
      <c r="E87" s="211">
        <v>0</v>
      </c>
      <c r="F87" s="225" t="s">
        <v>46</v>
      </c>
      <c r="G87" s="206">
        <v>2836.6453297000003</v>
      </c>
      <c r="H87" s="197">
        <v>2506.7997863000001</v>
      </c>
      <c r="I87" s="229">
        <f t="shared" si="8"/>
        <v>-0.11628014963537381</v>
      </c>
      <c r="J87" s="240">
        <f t="shared" si="6"/>
        <v>1.4065746063147328E-2</v>
      </c>
    </row>
    <row r="88" spans="3:10" x14ac:dyDescent="0.25">
      <c r="C88" s="110" t="s">
        <v>102</v>
      </c>
      <c r="D88" s="198">
        <v>13.300800000000001</v>
      </c>
      <c r="E88" s="202">
        <v>11.036</v>
      </c>
      <c r="F88" s="225">
        <f t="shared" si="7"/>
        <v>-0.17027547215205108</v>
      </c>
      <c r="G88" s="206">
        <v>73.254720000000006</v>
      </c>
      <c r="H88" s="197">
        <v>57.17586</v>
      </c>
      <c r="I88" s="229">
        <f t="shared" si="8"/>
        <v>-0.21949247775433456</v>
      </c>
      <c r="J88" s="241">
        <f t="shared" si="6"/>
        <v>3.2081585936668736E-4</v>
      </c>
    </row>
    <row r="89" spans="3:10" x14ac:dyDescent="0.25">
      <c r="C89" s="93" t="s">
        <v>96</v>
      </c>
      <c r="D89" s="203">
        <v>0</v>
      </c>
      <c r="E89" s="211">
        <v>0</v>
      </c>
      <c r="F89" s="225" t="s">
        <v>81</v>
      </c>
      <c r="G89" s="217">
        <v>0</v>
      </c>
      <c r="H89" s="216">
        <v>39.4587661845</v>
      </c>
      <c r="I89" s="230" t="s">
        <v>81</v>
      </c>
      <c r="J89" s="242">
        <f t="shared" si="6"/>
        <v>2.2140459248062996E-4</v>
      </c>
    </row>
    <row r="90" spans="3:10" x14ac:dyDescent="0.25">
      <c r="C90" s="107" t="s">
        <v>117</v>
      </c>
      <c r="D90" s="200">
        <f>+D91</f>
        <v>1041562.64579</v>
      </c>
      <c r="E90" s="196">
        <f>+E91</f>
        <v>1040961.796982</v>
      </c>
      <c r="F90" s="227">
        <f t="shared" si="7"/>
        <v>-5.7687246218807164E-4</v>
      </c>
      <c r="G90" s="200">
        <f>+G91</f>
        <v>7857312.8106919993</v>
      </c>
      <c r="H90" s="196">
        <f>+H91</f>
        <v>6092975.9230469996</v>
      </c>
      <c r="I90" s="227">
        <f t="shared" si="8"/>
        <v>-0.22454711046302522</v>
      </c>
      <c r="J90" s="238">
        <f>SUM(J91)</f>
        <v>1</v>
      </c>
    </row>
    <row r="91" spans="3:10" x14ac:dyDescent="0.25">
      <c r="C91" s="113" t="s">
        <v>101</v>
      </c>
      <c r="D91" s="212">
        <v>1041562.64579</v>
      </c>
      <c r="E91" s="213">
        <v>1040961.796982</v>
      </c>
      <c r="F91" s="231">
        <f t="shared" si="7"/>
        <v>-5.7687246218807164E-4</v>
      </c>
      <c r="G91" s="220">
        <v>7857312.8106919993</v>
      </c>
      <c r="H91" s="221">
        <v>6092975.9230469996</v>
      </c>
      <c r="I91" s="231">
        <f t="shared" si="8"/>
        <v>-0.22454711046302522</v>
      </c>
      <c r="J91" s="245">
        <f>(H91/$H$90)</f>
        <v>1</v>
      </c>
    </row>
    <row r="92" spans="3:10" x14ac:dyDescent="0.25">
      <c r="C92" s="107" t="s">
        <v>118</v>
      </c>
      <c r="D92" s="200">
        <f>+D93</f>
        <v>2820.0151000000001</v>
      </c>
      <c r="E92" s="196">
        <f>+E93</f>
        <v>3033.0751999999998</v>
      </c>
      <c r="F92" s="227">
        <f t="shared" si="7"/>
        <v>7.5552822394461483E-2</v>
      </c>
      <c r="G92" s="200">
        <f>+G93</f>
        <v>19144.9735</v>
      </c>
      <c r="H92" s="196">
        <f>+H93</f>
        <v>19479.14014</v>
      </c>
      <c r="I92" s="227">
        <f t="shared" si="8"/>
        <v>1.7454536565433276E-2</v>
      </c>
      <c r="J92" s="238">
        <f>SUM(J93)</f>
        <v>1</v>
      </c>
    </row>
    <row r="93" spans="3:10" x14ac:dyDescent="0.25">
      <c r="C93" s="113" t="s">
        <v>108</v>
      </c>
      <c r="D93" s="212">
        <v>2820.0151000000001</v>
      </c>
      <c r="E93" s="213">
        <v>3033.0751999999998</v>
      </c>
      <c r="F93" s="231">
        <f t="shared" si="7"/>
        <v>7.5552822394461483E-2</v>
      </c>
      <c r="G93" s="197">
        <v>19144.9735</v>
      </c>
      <c r="H93" s="201">
        <v>19479.14014</v>
      </c>
      <c r="I93" s="225">
        <f t="shared" si="8"/>
        <v>1.7454536565433276E-2</v>
      </c>
      <c r="J93" s="245">
        <f>(H93/$H$92)</f>
        <v>1</v>
      </c>
    </row>
    <row r="94" spans="3:10" x14ac:dyDescent="0.25">
      <c r="C94" s="107" t="s">
        <v>119</v>
      </c>
      <c r="D94" s="200">
        <f>SUM(D95:D99)</f>
        <v>3801.1640480400001</v>
      </c>
      <c r="E94" s="196">
        <f>SUM(E95:E99)</f>
        <v>3136.8209670000006</v>
      </c>
      <c r="F94" s="227">
        <f t="shared" ref="F94:F113" si="9">(E94-D94)/D94</f>
        <v>-0.17477358847023605</v>
      </c>
      <c r="G94" s="200">
        <f>SUM(G95:G99)</f>
        <v>24357.129152704998</v>
      </c>
      <c r="H94" s="196">
        <f>SUM(H95:H99)</f>
        <v>22794.190983976103</v>
      </c>
      <c r="I94" s="234">
        <f t="shared" si="8"/>
        <v>-6.4167585552886153E-2</v>
      </c>
      <c r="J94" s="238">
        <f>SUM(J95:J99)</f>
        <v>0.99999999999999989</v>
      </c>
    </row>
    <row r="95" spans="3:10" x14ac:dyDescent="0.25">
      <c r="C95" s="111" t="s">
        <v>99</v>
      </c>
      <c r="D95" s="128">
        <v>839.74332630000004</v>
      </c>
      <c r="E95" s="129">
        <v>848.18455600000004</v>
      </c>
      <c r="F95" s="228">
        <f t="shared" si="9"/>
        <v>1.0052154552026009E-2</v>
      </c>
      <c r="G95" s="128">
        <v>5503.9466905000008</v>
      </c>
      <c r="H95" s="129">
        <v>5990.8613332000004</v>
      </c>
      <c r="I95" s="228">
        <f t="shared" ref="I95:I106" si="10">(H95-G95)/G95</f>
        <v>8.8466453270783091E-2</v>
      </c>
      <c r="J95" s="239">
        <f>(H95/$H$94)</f>
        <v>0.26282403869527399</v>
      </c>
    </row>
    <row r="96" spans="3:10" x14ac:dyDescent="0.25">
      <c r="C96" s="108" t="s">
        <v>97</v>
      </c>
      <c r="D96" s="206">
        <v>921.94243349999999</v>
      </c>
      <c r="E96" s="197">
        <v>776.54232400000001</v>
      </c>
      <c r="F96" s="229">
        <f t="shared" si="9"/>
        <v>-0.15771061642971876</v>
      </c>
      <c r="G96" s="206">
        <v>5108.1303390000003</v>
      </c>
      <c r="H96" s="197">
        <v>5477.1723145000005</v>
      </c>
      <c r="I96" s="229">
        <f t="shared" si="10"/>
        <v>7.224599824370305E-2</v>
      </c>
      <c r="J96" s="240">
        <f>(H96/$H$94)</f>
        <v>0.24028807683283657</v>
      </c>
    </row>
    <row r="97" spans="3:10" x14ac:dyDescent="0.25">
      <c r="C97" s="108" t="s">
        <v>95</v>
      </c>
      <c r="D97" s="206">
        <v>665.90662889999999</v>
      </c>
      <c r="E97" s="197">
        <v>758.22984700000006</v>
      </c>
      <c r="F97" s="229">
        <f t="shared" si="9"/>
        <v>0.13864288789632151</v>
      </c>
      <c r="G97" s="206">
        <v>5851.7598263250011</v>
      </c>
      <c r="H97" s="197">
        <v>5197.0473796460992</v>
      </c>
      <c r="I97" s="229">
        <f t="shared" si="10"/>
        <v>-0.11188300034693525</v>
      </c>
      <c r="J97" s="240">
        <f>(H97/$H$94)</f>
        <v>0.22799876439131039</v>
      </c>
    </row>
    <row r="98" spans="3:10" x14ac:dyDescent="0.25">
      <c r="C98" s="108" t="s">
        <v>98</v>
      </c>
      <c r="D98" s="206">
        <v>881.7799248</v>
      </c>
      <c r="E98" s="197">
        <v>226.92296200000001</v>
      </c>
      <c r="F98" s="229">
        <f t="shared" si="9"/>
        <v>-0.74265351748457042</v>
      </c>
      <c r="G98" s="206">
        <v>4595.8896196999995</v>
      </c>
      <c r="H98" s="197">
        <v>2486.2516989999999</v>
      </c>
      <c r="I98" s="229">
        <f t="shared" si="10"/>
        <v>-0.45902710797430074</v>
      </c>
      <c r="J98" s="240">
        <f>(H98/$H$94)</f>
        <v>0.10907391715493606</v>
      </c>
    </row>
    <row r="99" spans="3:10" x14ac:dyDescent="0.25">
      <c r="C99" s="110" t="s">
        <v>148</v>
      </c>
      <c r="D99" s="169">
        <v>491.79173453999999</v>
      </c>
      <c r="E99" s="198">
        <v>526.94127800000001</v>
      </c>
      <c r="F99" s="229">
        <f t="shared" si="9"/>
        <v>7.1472416047978785E-2</v>
      </c>
      <c r="G99" s="206">
        <v>3297.40267718</v>
      </c>
      <c r="H99" s="197">
        <v>3642.85825763</v>
      </c>
      <c r="I99" s="229">
        <f t="shared" si="10"/>
        <v>0.10476596711731917</v>
      </c>
      <c r="J99" s="240">
        <f t="shared" ref="J99" si="11">(H99/$H$94)</f>
        <v>0.15981520292564286</v>
      </c>
    </row>
    <row r="100" spans="3:10" x14ac:dyDescent="0.25">
      <c r="C100" s="107" t="s">
        <v>120</v>
      </c>
      <c r="D100" s="200">
        <f>SUM(D101:D106)</f>
        <v>3995.9850444000003</v>
      </c>
      <c r="E100" s="196">
        <f>SUM(E101:E106)</f>
        <v>2570.4628929999999</v>
      </c>
      <c r="F100" s="227">
        <f t="shared" si="9"/>
        <v>-0.35673861027026027</v>
      </c>
      <c r="G100" s="200">
        <f>SUM(G101:G106)</f>
        <v>17675.055585479997</v>
      </c>
      <c r="H100" s="196">
        <f>SUM(H101:H106)</f>
        <v>16256.337705000004</v>
      </c>
      <c r="I100" s="227">
        <f t="shared" si="10"/>
        <v>-8.0266671503170017E-2</v>
      </c>
      <c r="J100" s="238">
        <f>SUM(J101:J106)</f>
        <v>0.99999999999999989</v>
      </c>
    </row>
    <row r="101" spans="3:10" x14ac:dyDescent="0.25">
      <c r="C101" s="98" t="s">
        <v>103</v>
      </c>
      <c r="D101" s="148">
        <v>2569.5971380000001</v>
      </c>
      <c r="E101" s="149">
        <v>1742.488433</v>
      </c>
      <c r="F101" s="139">
        <f t="shared" si="9"/>
        <v>-0.32188263785340504</v>
      </c>
      <c r="G101" s="128">
        <v>9950.4837246000006</v>
      </c>
      <c r="H101" s="129">
        <v>10556.055877500001</v>
      </c>
      <c r="I101" s="173">
        <f t="shared" si="10"/>
        <v>6.0858564232699509E-2</v>
      </c>
      <c r="J101" s="239">
        <f>(H101/$H$100)</f>
        <v>0.64935018385187993</v>
      </c>
    </row>
    <row r="102" spans="3:10" x14ac:dyDescent="0.25">
      <c r="C102" s="92" t="s">
        <v>100</v>
      </c>
      <c r="D102" s="132">
        <v>1310.7878000000001</v>
      </c>
      <c r="E102" s="133">
        <v>675.18524000000002</v>
      </c>
      <c r="F102" s="142">
        <f t="shared" si="9"/>
        <v>-0.48490118690454703</v>
      </c>
      <c r="G102" s="130">
        <v>6853.0369360000004</v>
      </c>
      <c r="H102" s="131">
        <v>4475.3876280000004</v>
      </c>
      <c r="I102" s="140">
        <f t="shared" si="10"/>
        <v>-0.34694826982616456</v>
      </c>
      <c r="J102" s="240">
        <f t="shared" ref="J102:J106" si="12">(H102/$H$100)</f>
        <v>0.27530109851393492</v>
      </c>
    </row>
    <row r="103" spans="3:10" x14ac:dyDescent="0.25">
      <c r="C103" s="92" t="s">
        <v>98</v>
      </c>
      <c r="D103" s="132">
        <v>83.632429000000002</v>
      </c>
      <c r="E103" s="133">
        <v>94.438706999999994</v>
      </c>
      <c r="F103" s="142">
        <f t="shared" si="9"/>
        <v>0.12921157652852569</v>
      </c>
      <c r="G103" s="130">
        <v>620.12085448000005</v>
      </c>
      <c r="H103" s="131">
        <v>805.17279600000006</v>
      </c>
      <c r="I103" s="140">
        <f t="shared" si="10"/>
        <v>0.2984127048511771</v>
      </c>
      <c r="J103" s="240">
        <f t="shared" si="12"/>
        <v>4.9529777900243238E-2</v>
      </c>
    </row>
    <row r="104" spans="3:10" x14ac:dyDescent="0.25">
      <c r="C104" s="92" t="s">
        <v>106</v>
      </c>
      <c r="D104" s="132">
        <v>31.1244774</v>
      </c>
      <c r="E104" s="133">
        <v>54.096688</v>
      </c>
      <c r="F104" s="142">
        <f t="shared" si="9"/>
        <v>0.73807538371712544</v>
      </c>
      <c r="G104" s="130">
        <v>243.95309039999998</v>
      </c>
      <c r="H104" s="131">
        <v>398.43860949999998</v>
      </c>
      <c r="I104" s="140">
        <f t="shared" si="10"/>
        <v>0.63325911898347498</v>
      </c>
      <c r="J104" s="240">
        <f t="shared" si="12"/>
        <v>2.4509739938378076E-2</v>
      </c>
    </row>
    <row r="105" spans="3:10" x14ac:dyDescent="0.25">
      <c r="C105" s="92" t="s">
        <v>104</v>
      </c>
      <c r="D105" s="214">
        <v>0</v>
      </c>
      <c r="E105" s="133">
        <v>3.8618250000000001</v>
      </c>
      <c r="F105" s="142" t="s">
        <v>81</v>
      </c>
      <c r="G105" s="130">
        <v>2.0419200000000002</v>
      </c>
      <c r="H105" s="131">
        <v>16.077293999999998</v>
      </c>
      <c r="I105" s="140">
        <f t="shared" si="10"/>
        <v>6.8736160084626219</v>
      </c>
      <c r="J105" s="240">
        <f t="shared" si="12"/>
        <v>9.8898622135876668E-4</v>
      </c>
    </row>
    <row r="106" spans="3:10" x14ac:dyDescent="0.25">
      <c r="C106" s="97" t="s">
        <v>102</v>
      </c>
      <c r="D106" s="134">
        <v>0.84319999999999995</v>
      </c>
      <c r="E106" s="246">
        <v>0.39200000000000002</v>
      </c>
      <c r="F106" s="144">
        <f t="shared" si="9"/>
        <v>-0.53510436432637565</v>
      </c>
      <c r="G106" s="159">
        <v>5.41906</v>
      </c>
      <c r="H106" s="160">
        <v>5.2055000000000007</v>
      </c>
      <c r="I106" s="178">
        <f t="shared" si="10"/>
        <v>-3.940904880182159E-2</v>
      </c>
      <c r="J106" s="241">
        <f t="shared" si="12"/>
        <v>3.2021357420490418E-4</v>
      </c>
    </row>
    <row r="107" spans="3:10" x14ac:dyDescent="0.25">
      <c r="C107" s="107" t="s">
        <v>121</v>
      </c>
      <c r="D107" s="200">
        <f>SUM(D108:D110)</f>
        <v>23.380024299999999</v>
      </c>
      <c r="E107" s="196">
        <f>SUM(E108:E110)</f>
        <v>24.526830999999998</v>
      </c>
      <c r="F107" s="227">
        <f t="shared" si="9"/>
        <v>4.9050706076468838E-2</v>
      </c>
      <c r="G107" s="200">
        <f>SUM(G108:G110)</f>
        <v>156.1590041</v>
      </c>
      <c r="H107" s="196">
        <f>SUM(H108:H110)</f>
        <v>150.48968680000002</v>
      </c>
      <c r="I107" s="227">
        <f>(H107-G107)/G107</f>
        <v>-3.6304773667546648E-2</v>
      </c>
      <c r="J107" s="238">
        <f>SUM(J108:J110)</f>
        <v>1</v>
      </c>
    </row>
    <row r="108" spans="3:10" x14ac:dyDescent="0.25">
      <c r="C108" s="98" t="s">
        <v>103</v>
      </c>
      <c r="D108" s="148">
        <v>17.366938999999999</v>
      </c>
      <c r="E108" s="149">
        <v>20.325702</v>
      </c>
      <c r="F108" s="139">
        <f t="shared" si="9"/>
        <v>0.17036755872753404</v>
      </c>
      <c r="G108" s="128">
        <v>114.854873</v>
      </c>
      <c r="H108" s="129">
        <v>118.82927000000001</v>
      </c>
      <c r="I108" s="139">
        <f>(H108-G108)/G108</f>
        <v>3.4603642807562986E-2</v>
      </c>
      <c r="J108" s="239">
        <f>(H108/$H$107)</f>
        <v>0.78961736532765514</v>
      </c>
    </row>
    <row r="109" spans="3:10" x14ac:dyDescent="0.25">
      <c r="C109" s="92" t="s">
        <v>98</v>
      </c>
      <c r="D109" s="132">
        <v>5.8090853000000005</v>
      </c>
      <c r="E109" s="133">
        <v>4.1611289999999999</v>
      </c>
      <c r="F109" s="142">
        <f t="shared" si="9"/>
        <v>-0.28368602196287263</v>
      </c>
      <c r="G109" s="130">
        <v>40.374331099999999</v>
      </c>
      <c r="H109" s="131">
        <v>31.015316799999997</v>
      </c>
      <c r="I109" s="142">
        <f>(H109-G109)/G109</f>
        <v>-0.231806052137914</v>
      </c>
      <c r="J109" s="240">
        <f>(H109/$H$107)</f>
        <v>0.20609596218523057</v>
      </c>
    </row>
    <row r="110" spans="3:10" x14ac:dyDescent="0.25">
      <c r="C110" s="97" t="s">
        <v>102</v>
      </c>
      <c r="D110" s="248">
        <v>0.20399999999999999</v>
      </c>
      <c r="E110" s="247">
        <v>0.04</v>
      </c>
      <c r="F110" s="144">
        <f t="shared" si="9"/>
        <v>-0.8039215686274509</v>
      </c>
      <c r="G110" s="159">
        <v>0.92979999999999996</v>
      </c>
      <c r="H110" s="160">
        <v>0.64510000000000012</v>
      </c>
      <c r="I110" s="144">
        <f>(H110-G110)/G110</f>
        <v>-0.30619488061948791</v>
      </c>
      <c r="J110" s="244">
        <f>(H110/$H$107)</f>
        <v>4.2866724871142466E-3</v>
      </c>
    </row>
    <row r="111" spans="3:10" x14ac:dyDescent="0.25">
      <c r="C111" s="107" t="s">
        <v>122</v>
      </c>
      <c r="D111" s="200">
        <f>SUM(D112:D113)</f>
        <v>26.369334000000002</v>
      </c>
      <c r="E111" s="196">
        <f>SUM(E112:E113)</f>
        <v>27.761949000000001</v>
      </c>
      <c r="F111" s="227">
        <f t="shared" si="9"/>
        <v>5.2811914021036674E-2</v>
      </c>
      <c r="G111" s="200">
        <f>SUM(G112:G113)</f>
        <v>178.723028</v>
      </c>
      <c r="H111" s="196">
        <f>SUM(H112:H113)</f>
        <v>196.947372</v>
      </c>
      <c r="I111" s="227">
        <f t="shared" ref="I111:I119" si="13">(H111-G111)/G111</f>
        <v>0.10196975848014393</v>
      </c>
      <c r="J111" s="238">
        <f>SUM(J112:J113)</f>
        <v>1</v>
      </c>
    </row>
    <row r="112" spans="3:10" x14ac:dyDescent="0.25">
      <c r="C112" s="98" t="s">
        <v>97</v>
      </c>
      <c r="D112" s="148">
        <v>15.259062</v>
      </c>
      <c r="E112" s="149">
        <v>15.999438</v>
      </c>
      <c r="F112" s="139">
        <f t="shared" si="9"/>
        <v>4.8520413640104447E-2</v>
      </c>
      <c r="G112" s="128">
        <v>107.11625899999999</v>
      </c>
      <c r="H112" s="129">
        <v>110.351018</v>
      </c>
      <c r="I112" s="139">
        <f t="shared" si="13"/>
        <v>3.0198580777545746E-2</v>
      </c>
      <c r="J112" s="239">
        <f>(H112/$H$111)</f>
        <v>0.56030713626379336</v>
      </c>
    </row>
    <row r="113" spans="3:10" x14ac:dyDescent="0.25">
      <c r="C113" s="97" t="s">
        <v>98</v>
      </c>
      <c r="D113" s="134">
        <v>11.110272</v>
      </c>
      <c r="E113" s="135">
        <v>11.762511</v>
      </c>
      <c r="F113" s="144">
        <f t="shared" si="9"/>
        <v>5.8705943472851053E-2</v>
      </c>
      <c r="G113" s="159">
        <v>71.606769</v>
      </c>
      <c r="H113" s="160">
        <v>86.596354000000005</v>
      </c>
      <c r="I113" s="144">
        <f t="shared" si="13"/>
        <v>0.20933195575407132</v>
      </c>
      <c r="J113" s="244">
        <f>(H113/$H$111)</f>
        <v>0.43969286373620664</v>
      </c>
    </row>
    <row r="114" spans="3:10" x14ac:dyDescent="0.25">
      <c r="C114" s="107" t="s">
        <v>123</v>
      </c>
      <c r="D114" s="200">
        <f>SUM(D115:D117)</f>
        <v>1969.7420953999999</v>
      </c>
      <c r="E114" s="196">
        <f>SUM(E115:E117)</f>
        <v>3634.8462649999997</v>
      </c>
      <c r="F114" s="227">
        <f>(E114-D114)/D114</f>
        <v>0.84534121166855769</v>
      </c>
      <c r="G114" s="200">
        <f>SUM(G115:G117)</f>
        <v>8232.5018104999999</v>
      </c>
      <c r="H114" s="196">
        <f>SUM(H115:H117)</f>
        <v>20857.585341800001</v>
      </c>
      <c r="I114" s="227">
        <f t="shared" si="13"/>
        <v>1.5335658372036505</v>
      </c>
      <c r="J114" s="238">
        <f>SUM(J115:J117)</f>
        <v>0.99999999999999978</v>
      </c>
    </row>
    <row r="115" spans="3:10" x14ac:dyDescent="0.25">
      <c r="C115" s="98" t="s">
        <v>104</v>
      </c>
      <c r="D115" s="148">
        <v>1874.0767974</v>
      </c>
      <c r="E115" s="149">
        <v>3540.3853519999998</v>
      </c>
      <c r="F115" s="139">
        <f>(E115-D115)/D115</f>
        <v>0.8891356837199802</v>
      </c>
      <c r="G115" s="128">
        <v>7582.2210045000002</v>
      </c>
      <c r="H115" s="129">
        <v>20234.247239799999</v>
      </c>
      <c r="I115" s="139">
        <f t="shared" si="13"/>
        <v>1.6686438218816231</v>
      </c>
      <c r="J115" s="239">
        <f>(H115/$H$114)</f>
        <v>0.97011456063656654</v>
      </c>
    </row>
    <row r="116" spans="3:10" x14ac:dyDescent="0.25">
      <c r="C116" s="92" t="s">
        <v>97</v>
      </c>
      <c r="D116" s="132">
        <v>81.867613000000006</v>
      </c>
      <c r="E116" s="133">
        <v>82.698402000000002</v>
      </c>
      <c r="F116" s="142">
        <f>(E116-D116)/D116</f>
        <v>1.0147956799473263E-2</v>
      </c>
      <c r="G116" s="130">
        <v>556.48172600000009</v>
      </c>
      <c r="H116" s="131">
        <v>542.89080000000001</v>
      </c>
      <c r="I116" s="142">
        <f t="shared" si="13"/>
        <v>-2.4422951132091763E-2</v>
      </c>
      <c r="J116" s="240">
        <f>(H116/$H$114)</f>
        <v>2.6028458764687897E-2</v>
      </c>
    </row>
    <row r="117" spans="3:10" x14ac:dyDescent="0.25">
      <c r="C117" s="97" t="s">
        <v>98</v>
      </c>
      <c r="D117" s="134">
        <v>13.797685</v>
      </c>
      <c r="E117" s="135">
        <v>11.762511</v>
      </c>
      <c r="F117" s="144">
        <f>(E117-D117)/D117</f>
        <v>-0.14750112065900908</v>
      </c>
      <c r="G117" s="159">
        <v>93.799080000000004</v>
      </c>
      <c r="H117" s="160">
        <v>80.447301999999993</v>
      </c>
      <c r="I117" s="144">
        <f t="shared" si="13"/>
        <v>-0.14234444516939834</v>
      </c>
      <c r="J117" s="244">
        <f>(H117/$H$114)</f>
        <v>3.8569805987454455E-3</v>
      </c>
    </row>
    <row r="118" spans="3:10" x14ac:dyDescent="0.25">
      <c r="C118" s="107" t="s">
        <v>124</v>
      </c>
      <c r="D118" s="200">
        <f>SUM(D119)</f>
        <v>3.9313997999999999</v>
      </c>
      <c r="E118" s="196">
        <f>SUM(E119)</f>
        <v>3.8380540000000001</v>
      </c>
      <c r="F118" s="227">
        <f t="shared" ref="F118:F119" si="14">(E118-D118)/D118</f>
        <v>-2.3743654868171843E-2</v>
      </c>
      <c r="G118" s="222">
        <f>SUM(G119)</f>
        <v>24.921010900000002</v>
      </c>
      <c r="H118" s="222">
        <f>SUM(H119)</f>
        <v>21.336172000000001</v>
      </c>
      <c r="I118" s="235">
        <f t="shared" si="13"/>
        <v>-0.14384805313014012</v>
      </c>
      <c r="J118" s="238">
        <f>SUM(J119)</f>
        <v>1</v>
      </c>
    </row>
    <row r="119" spans="3:10" x14ac:dyDescent="0.25">
      <c r="C119" s="114" t="s">
        <v>98</v>
      </c>
      <c r="D119" s="191">
        <v>3.9313997999999999</v>
      </c>
      <c r="E119" s="191">
        <v>3.8380540000000001</v>
      </c>
      <c r="F119" s="232">
        <f t="shared" si="14"/>
        <v>-2.3743654868171843E-2</v>
      </c>
      <c r="G119" s="164">
        <v>24.921010900000002</v>
      </c>
      <c r="H119" s="164">
        <v>21.336172000000001</v>
      </c>
      <c r="I119" s="165">
        <f t="shared" si="13"/>
        <v>-0.14384805313014012</v>
      </c>
      <c r="J119" s="245">
        <f>(H119/$H$118)</f>
        <v>1</v>
      </c>
    </row>
    <row r="120" spans="3:10" ht="156" customHeight="1" x14ac:dyDescent="0.25">
      <c r="C120" s="266" t="s">
        <v>149</v>
      </c>
      <c r="D120" s="267"/>
      <c r="E120" s="267"/>
      <c r="F120" s="267"/>
      <c r="G120" s="267"/>
      <c r="H120" s="267"/>
      <c r="I120" s="267"/>
      <c r="J120" s="268"/>
    </row>
    <row r="121" spans="3:10" x14ac:dyDescent="0.25">
      <c r="D121" s="115"/>
      <c r="E121" s="115"/>
      <c r="F121" s="233"/>
    </row>
    <row r="122" spans="3:10" x14ac:dyDescent="0.25">
      <c r="F122" s="79"/>
    </row>
    <row r="123" spans="3:10" x14ac:dyDescent="0.25">
      <c r="F123" s="79"/>
    </row>
    <row r="124" spans="3:10" x14ac:dyDescent="0.25">
      <c r="F124" s="79"/>
    </row>
    <row r="125" spans="3:10" x14ac:dyDescent="0.25">
      <c r="F125" s="79"/>
    </row>
  </sheetData>
  <mergeCells count="5">
    <mergeCell ref="C3:J3"/>
    <mergeCell ref="C4:J4"/>
    <mergeCell ref="D8:F8"/>
    <mergeCell ref="G8:J8"/>
    <mergeCell ref="C120:J120"/>
  </mergeCells>
  <printOptions horizontalCentered="1"/>
  <pageMargins left="0" right="0" top="0" bottom="0" header="0.31496062992125984" footer="0.31496062992125984"/>
  <pageSetup paperSize="9" scale="43"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S01.C01</vt:lpstr>
      <vt:lpstr>S01.C02</vt:lpstr>
      <vt:lpstr>S01.C03</vt:lpstr>
      <vt:lpstr>'S01.C01'!Área_de_impresión</vt:lpstr>
      <vt:lpstr>'S01.C02'!Área_de_impresión</vt:lpstr>
      <vt:lpstr>'S01.C03'!Área_de_impresión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Carranza</dc:creator>
  <cp:lastModifiedBy>CCANTO CHAVEZ MARICIELO BRIGGITTE</cp:lastModifiedBy>
  <dcterms:created xsi:type="dcterms:W3CDTF">2025-08-15T20:36:18Z</dcterms:created>
  <dcterms:modified xsi:type="dcterms:W3CDTF">2025-09-09T23:32:13Z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{650ED805-88E6-4860-94ED-AF4ABE06F984}</vt:lpwstr>
  </property>
</Properties>
</file>