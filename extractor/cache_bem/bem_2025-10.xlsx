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MINEM\BEM\BEM 2025\BEM 10 - octubre 2025\CUADROS ESTADÍSTICOS\"/>
    </mc:Choice>
  </mc:AlternateContent>
  <xr:revisionPtr revIDLastSave="0" documentId="13_ncr:1_{2F6D1EA6-4EEF-4311-A697-08FE60B57AF0}" xr6:coauthVersionLast="47" xr6:coauthVersionMax="47" xr10:uidLastSave="{00000000-0000-0000-0000-000000000000}"/>
  <bookViews>
    <workbookView xWindow="0" yWindow="0" windowWidth="14400" windowHeight="15600" xr2:uid="{C2E09711-F6FF-4B8A-8D2D-18AB30956760}"/>
  </bookViews>
  <sheets>
    <sheet name="S01.C01" sheetId="1" r:id="rId1"/>
    <sheet name="S01.C02" sheetId="2" r:id="rId2"/>
    <sheet name="S01.C03" sheetId="3" r:id="rId3"/>
  </sheets>
  <definedNames>
    <definedName name="_xlnm._FilterDatabase" localSheetId="1" hidden="1">'S01.C02'!$C$9:$G$110</definedName>
    <definedName name="_xlnm._FilterDatabase" localSheetId="2" hidden="1">'S01.C03'!$C$11:$G$121</definedName>
    <definedName name="_xlnm.Print_Area" localSheetId="0">'S01.C01'!$B$2:$Q$75</definedName>
    <definedName name="_xlnm.Print_Area" localSheetId="1">'S01.C02'!$B$2:$K$111</definedName>
    <definedName name="_xlnm.Print_Area" localSheetId="2">'S01.C03'!$B$2:$K$122</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OTI_2" localSheetId="0">#REF!</definedName>
    <definedName name="OTI_2" localSheetId="1">#REF!</definedName>
    <definedName name="OTI_2" localSheetId="2">#REF!</definedName>
    <definedName name="OTI_2">#REF!</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P36" i="1" l="1"/>
  <c r="E36" i="1"/>
  <c r="D36" i="1"/>
  <c r="D101" i="3"/>
  <c r="E101" i="3"/>
  <c r="J94" i="3" l="1"/>
  <c r="F87" i="3"/>
  <c r="I75" i="3"/>
  <c r="F55" i="3"/>
  <c r="F95" i="2" l="1"/>
  <c r="J76" i="2"/>
  <c r="F36" i="1"/>
  <c r="G36" i="1"/>
  <c r="H36" i="1"/>
  <c r="I36" i="1"/>
  <c r="J36" i="1"/>
  <c r="K36" i="1"/>
  <c r="L36" i="1"/>
  <c r="M36" i="1"/>
  <c r="N36" i="1"/>
  <c r="O36" i="1"/>
  <c r="H74" i="2" l="1"/>
  <c r="G74" i="2"/>
  <c r="E74" i="2"/>
  <c r="D74" i="2"/>
  <c r="F48" i="2"/>
  <c r="F49" i="2"/>
  <c r="F50" i="2"/>
  <c r="F51" i="2"/>
  <c r="F52" i="2"/>
  <c r="F53" i="2"/>
  <c r="F54" i="2"/>
  <c r="F55" i="2"/>
  <c r="F56" i="2"/>
  <c r="F57" i="2"/>
  <c r="F58" i="2"/>
  <c r="D92" i="3" l="1"/>
  <c r="E92" i="3"/>
  <c r="G92" i="3"/>
  <c r="H92" i="3"/>
  <c r="F99" i="3"/>
  <c r="I44" i="3"/>
  <c r="F44" i="3"/>
  <c r="D108" i="2" l="1"/>
  <c r="E108" i="2"/>
  <c r="F109" i="2"/>
  <c r="F94" i="2"/>
  <c r="F81" i="2"/>
  <c r="F108" i="2" l="1"/>
  <c r="F73" i="3" l="1"/>
  <c r="L60" i="1" l="1"/>
  <c r="I69" i="2"/>
  <c r="H108" i="2" l="1"/>
  <c r="J109" i="2" s="1"/>
  <c r="G108" i="2"/>
  <c r="I60" i="1"/>
  <c r="I88" i="2" l="1"/>
  <c r="F25" i="2"/>
  <c r="I106" i="3"/>
  <c r="F74" i="3"/>
  <c r="I74" i="3"/>
  <c r="D45" i="3"/>
  <c r="E45" i="3"/>
  <c r="F45" i="3" s="1"/>
  <c r="I97" i="2"/>
  <c r="I96" i="2"/>
  <c r="I95" i="2"/>
  <c r="I94" i="2"/>
  <c r="I93" i="2"/>
  <c r="F97" i="2"/>
  <c r="F93" i="2"/>
  <c r="Q36" i="1"/>
  <c r="I120" i="3"/>
  <c r="F120" i="3"/>
  <c r="H119" i="3"/>
  <c r="J120" i="3" s="1"/>
  <c r="J119" i="3" s="1"/>
  <c r="G119" i="3"/>
  <c r="E119" i="3"/>
  <c r="D119" i="3"/>
  <c r="I118" i="3"/>
  <c r="F118" i="3"/>
  <c r="I117" i="3"/>
  <c r="F117" i="3"/>
  <c r="I116" i="3"/>
  <c r="F116" i="3"/>
  <c r="H115" i="3"/>
  <c r="J118" i="3" s="1"/>
  <c r="G115" i="3"/>
  <c r="E115" i="3"/>
  <c r="D115" i="3"/>
  <c r="I114" i="3"/>
  <c r="F114" i="3"/>
  <c r="I113" i="3"/>
  <c r="F113" i="3"/>
  <c r="H112" i="3"/>
  <c r="J114" i="3" s="1"/>
  <c r="G112" i="3"/>
  <c r="E112" i="3"/>
  <c r="D112" i="3"/>
  <c r="I111" i="3"/>
  <c r="F111" i="3"/>
  <c r="I110" i="3"/>
  <c r="F110" i="3"/>
  <c r="I109" i="3"/>
  <c r="F109" i="3"/>
  <c r="H108" i="3"/>
  <c r="J111" i="3" s="1"/>
  <c r="G108" i="3"/>
  <c r="E108" i="3"/>
  <c r="D108" i="3"/>
  <c r="I107" i="3"/>
  <c r="F107" i="3"/>
  <c r="I105" i="3"/>
  <c r="F105" i="3"/>
  <c r="I104" i="3"/>
  <c r="F104" i="3"/>
  <c r="I103" i="3"/>
  <c r="F103" i="3"/>
  <c r="I102" i="3"/>
  <c r="F102" i="3"/>
  <c r="H101" i="3"/>
  <c r="J106" i="3" s="1"/>
  <c r="G101" i="3"/>
  <c r="I100" i="3"/>
  <c r="F100" i="3"/>
  <c r="I99" i="3"/>
  <c r="I98" i="3"/>
  <c r="F98" i="3"/>
  <c r="I97" i="3"/>
  <c r="F97" i="3"/>
  <c r="I96" i="3"/>
  <c r="F96" i="3"/>
  <c r="H95" i="3"/>
  <c r="J99" i="3" s="1"/>
  <c r="G95" i="3"/>
  <c r="E95" i="3"/>
  <c r="D95" i="3"/>
  <c r="I93" i="3"/>
  <c r="F93" i="3"/>
  <c r="J93" i="3"/>
  <c r="J92" i="3" s="1"/>
  <c r="I91" i="3"/>
  <c r="F91" i="3"/>
  <c r="H90" i="3"/>
  <c r="G90" i="3"/>
  <c r="E90" i="3"/>
  <c r="D90" i="3"/>
  <c r="I88" i="3"/>
  <c r="F88" i="3"/>
  <c r="I87" i="3"/>
  <c r="I86" i="3"/>
  <c r="F86" i="3"/>
  <c r="I85" i="3"/>
  <c r="F85" i="3"/>
  <c r="I84" i="3"/>
  <c r="F84" i="3"/>
  <c r="I83" i="3"/>
  <c r="F83" i="3"/>
  <c r="I82" i="3"/>
  <c r="F82" i="3"/>
  <c r="I81" i="3"/>
  <c r="F81" i="3"/>
  <c r="I80" i="3"/>
  <c r="F80" i="3"/>
  <c r="I79" i="3"/>
  <c r="F79" i="3"/>
  <c r="I78" i="3"/>
  <c r="F78" i="3"/>
  <c r="H77" i="3"/>
  <c r="J85" i="3" s="1"/>
  <c r="G77" i="3"/>
  <c r="E77" i="3"/>
  <c r="D77" i="3"/>
  <c r="I73" i="3"/>
  <c r="I72" i="3"/>
  <c r="F72" i="3"/>
  <c r="I71" i="3"/>
  <c r="F71" i="3"/>
  <c r="I70" i="3"/>
  <c r="F70" i="3"/>
  <c r="I69" i="3"/>
  <c r="F69" i="3"/>
  <c r="I68" i="3"/>
  <c r="F68" i="3"/>
  <c r="I67" i="3"/>
  <c r="F67" i="3"/>
  <c r="I66" i="3"/>
  <c r="F66" i="3"/>
  <c r="I65" i="3"/>
  <c r="F65" i="3"/>
  <c r="I64" i="3"/>
  <c r="F64" i="3"/>
  <c r="I63" i="3"/>
  <c r="F63" i="3"/>
  <c r="I62" i="3"/>
  <c r="F62" i="3"/>
  <c r="I61" i="3"/>
  <c r="F61" i="3"/>
  <c r="I60" i="3"/>
  <c r="F60" i="3"/>
  <c r="I59" i="3"/>
  <c r="F59" i="3"/>
  <c r="H58" i="3"/>
  <c r="J68" i="3" s="1"/>
  <c r="G58" i="3"/>
  <c r="E58" i="3"/>
  <c r="D58" i="3"/>
  <c r="I57" i="3"/>
  <c r="F57" i="3"/>
  <c r="I55" i="3"/>
  <c r="I54" i="3"/>
  <c r="F54" i="3"/>
  <c r="I53" i="3"/>
  <c r="F53" i="3"/>
  <c r="I52" i="3"/>
  <c r="F52" i="3"/>
  <c r="I51" i="3"/>
  <c r="F51" i="3"/>
  <c r="I50" i="3"/>
  <c r="F50" i="3"/>
  <c r="I49" i="3"/>
  <c r="F49" i="3"/>
  <c r="I48" i="3"/>
  <c r="F48" i="3"/>
  <c r="I47" i="3"/>
  <c r="F47" i="3"/>
  <c r="I46" i="3"/>
  <c r="F46" i="3"/>
  <c r="H45" i="3"/>
  <c r="J57" i="3" s="1"/>
  <c r="G45" i="3"/>
  <c r="I42" i="3"/>
  <c r="F42" i="3"/>
  <c r="I41" i="3"/>
  <c r="F41" i="3"/>
  <c r="I40" i="3"/>
  <c r="F40" i="3"/>
  <c r="I39" i="3"/>
  <c r="F39" i="3"/>
  <c r="I38" i="3"/>
  <c r="F38" i="3"/>
  <c r="I37" i="3"/>
  <c r="F37" i="3"/>
  <c r="I36" i="3"/>
  <c r="F36" i="3"/>
  <c r="I35" i="3"/>
  <c r="F35" i="3"/>
  <c r="I34" i="3"/>
  <c r="F34" i="3"/>
  <c r="I33" i="3"/>
  <c r="F33" i="3"/>
  <c r="I32" i="3"/>
  <c r="F32" i="3"/>
  <c r="I31" i="3"/>
  <c r="F31" i="3"/>
  <c r="I30" i="3"/>
  <c r="F30" i="3"/>
  <c r="I29" i="3"/>
  <c r="F29" i="3"/>
  <c r="I28" i="3"/>
  <c r="F28" i="3"/>
  <c r="H27" i="3"/>
  <c r="J37" i="3" s="1"/>
  <c r="G27" i="3"/>
  <c r="E27" i="3"/>
  <c r="D27" i="3"/>
  <c r="I26" i="3"/>
  <c r="F26" i="3"/>
  <c r="I25" i="3"/>
  <c r="I24" i="3"/>
  <c r="F24" i="3"/>
  <c r="I23" i="3"/>
  <c r="F23" i="3"/>
  <c r="I22" i="3"/>
  <c r="F22" i="3"/>
  <c r="I21" i="3"/>
  <c r="F21" i="3"/>
  <c r="I20" i="3"/>
  <c r="F20" i="3"/>
  <c r="I19" i="3"/>
  <c r="F19" i="3"/>
  <c r="I18" i="3"/>
  <c r="F18" i="3"/>
  <c r="I17" i="3"/>
  <c r="F17" i="3"/>
  <c r="I16" i="3"/>
  <c r="F16" i="3"/>
  <c r="I15" i="3"/>
  <c r="F15" i="3"/>
  <c r="I14" i="3"/>
  <c r="F14" i="3"/>
  <c r="I13" i="3"/>
  <c r="F13" i="3"/>
  <c r="I12" i="3"/>
  <c r="F12" i="3"/>
  <c r="H11" i="3"/>
  <c r="J21" i="3" s="1"/>
  <c r="G11" i="3"/>
  <c r="E11" i="3"/>
  <c r="D11" i="3"/>
  <c r="I109" i="2"/>
  <c r="I107" i="2"/>
  <c r="F107" i="2"/>
  <c r="I106" i="2"/>
  <c r="F106" i="2"/>
  <c r="I105" i="2"/>
  <c r="F105" i="2"/>
  <c r="I104" i="2"/>
  <c r="F104" i="2"/>
  <c r="H103" i="2"/>
  <c r="J107" i="2" s="1"/>
  <c r="G103" i="2"/>
  <c r="E103" i="2"/>
  <c r="D103" i="2"/>
  <c r="I102" i="2"/>
  <c r="F102" i="2"/>
  <c r="I101" i="2"/>
  <c r="F101" i="2"/>
  <c r="I100" i="2"/>
  <c r="F100" i="2"/>
  <c r="H99" i="2"/>
  <c r="J102" i="2" s="1"/>
  <c r="G99" i="2"/>
  <c r="E99" i="2"/>
  <c r="D99" i="2"/>
  <c r="H92" i="2"/>
  <c r="J97" i="2" s="1"/>
  <c r="G92" i="2"/>
  <c r="E92" i="2"/>
  <c r="D92" i="2"/>
  <c r="I90" i="2"/>
  <c r="I89" i="2"/>
  <c r="F89" i="2"/>
  <c r="I87" i="2"/>
  <c r="F87" i="2"/>
  <c r="I86" i="2"/>
  <c r="F86" i="2"/>
  <c r="I85" i="2"/>
  <c r="F85" i="2"/>
  <c r="I84" i="2"/>
  <c r="F84" i="2"/>
  <c r="H83" i="2"/>
  <c r="J88" i="2" s="1"/>
  <c r="G83" i="2"/>
  <c r="E83" i="2"/>
  <c r="D83" i="2"/>
  <c r="I82" i="2"/>
  <c r="F82" i="2"/>
  <c r="I81" i="2"/>
  <c r="I80" i="2"/>
  <c r="F80" i="2"/>
  <c r="I79" i="2"/>
  <c r="F79" i="2"/>
  <c r="I78" i="2"/>
  <c r="F78" i="2"/>
  <c r="H77" i="2"/>
  <c r="J79" i="2" s="1"/>
  <c r="G77" i="2"/>
  <c r="E77" i="2"/>
  <c r="D77" i="2"/>
  <c r="I75" i="2"/>
  <c r="F75" i="2"/>
  <c r="J75" i="2"/>
  <c r="J74" i="2" s="1"/>
  <c r="I73" i="2"/>
  <c r="F73" i="2"/>
  <c r="I72" i="2"/>
  <c r="F72" i="2"/>
  <c r="H71" i="2"/>
  <c r="J73" i="2" s="1"/>
  <c r="G71" i="2"/>
  <c r="E71" i="2"/>
  <c r="D71" i="2"/>
  <c r="I70" i="2"/>
  <c r="F70" i="2"/>
  <c r="F69" i="2"/>
  <c r="I68" i="2"/>
  <c r="F68" i="2"/>
  <c r="I67" i="2"/>
  <c r="F67" i="2"/>
  <c r="I66" i="2"/>
  <c r="F66" i="2"/>
  <c r="I65" i="2"/>
  <c r="F65" i="2"/>
  <c r="I64" i="2"/>
  <c r="F64" i="2"/>
  <c r="I63" i="2"/>
  <c r="F63" i="2"/>
  <c r="I62" i="2"/>
  <c r="F62" i="2"/>
  <c r="I61" i="2"/>
  <c r="F61" i="2"/>
  <c r="I60" i="2"/>
  <c r="F60" i="2"/>
  <c r="H59" i="2"/>
  <c r="J61" i="2" s="1"/>
  <c r="G59" i="2"/>
  <c r="E59" i="2"/>
  <c r="D59" i="2"/>
  <c r="I58" i="2"/>
  <c r="I57" i="2"/>
  <c r="I56" i="2"/>
  <c r="I55" i="2"/>
  <c r="I54" i="2"/>
  <c r="I53" i="2"/>
  <c r="I52" i="2"/>
  <c r="I51" i="2"/>
  <c r="I50" i="2"/>
  <c r="I49" i="2"/>
  <c r="I48" i="2"/>
  <c r="H47" i="2"/>
  <c r="J57" i="2" s="1"/>
  <c r="G47" i="2"/>
  <c r="E47" i="2"/>
  <c r="D47" i="2"/>
  <c r="I46" i="2"/>
  <c r="F46" i="2"/>
  <c r="I45" i="2"/>
  <c r="F45" i="2"/>
  <c r="I44" i="2"/>
  <c r="F44" i="2"/>
  <c r="I43" i="2"/>
  <c r="F43" i="2"/>
  <c r="I42" i="2"/>
  <c r="F42" i="2"/>
  <c r="I41" i="2"/>
  <c r="F41" i="2"/>
  <c r="I40" i="2"/>
  <c r="F40" i="2"/>
  <c r="I39" i="2"/>
  <c r="F39" i="2"/>
  <c r="I38" i="2"/>
  <c r="F38" i="2"/>
  <c r="I37" i="2"/>
  <c r="F37" i="2"/>
  <c r="I36" i="2"/>
  <c r="F36" i="2"/>
  <c r="H35" i="2"/>
  <c r="J37" i="2" s="1"/>
  <c r="G35" i="2"/>
  <c r="E35" i="2"/>
  <c r="D35" i="2"/>
  <c r="I34" i="2"/>
  <c r="F34" i="2"/>
  <c r="I33" i="2"/>
  <c r="F33" i="2"/>
  <c r="I32" i="2"/>
  <c r="F32" i="2"/>
  <c r="I31" i="2"/>
  <c r="F31" i="2"/>
  <c r="I30" i="2"/>
  <c r="F30" i="2"/>
  <c r="I29" i="2"/>
  <c r="F29" i="2"/>
  <c r="I28" i="2"/>
  <c r="F28" i="2"/>
  <c r="I27" i="2"/>
  <c r="F27" i="2"/>
  <c r="I26" i="2"/>
  <c r="F26" i="2"/>
  <c r="I25" i="2"/>
  <c r="I24" i="2"/>
  <c r="F24" i="2"/>
  <c r="H23" i="2"/>
  <c r="J28" i="2" s="1"/>
  <c r="G23" i="2"/>
  <c r="E23" i="2"/>
  <c r="D23" i="2"/>
  <c r="I22" i="2"/>
  <c r="F22" i="2"/>
  <c r="I21" i="2"/>
  <c r="F21" i="2"/>
  <c r="I20" i="2"/>
  <c r="F20" i="2"/>
  <c r="I19" i="2"/>
  <c r="F19" i="2"/>
  <c r="I18" i="2"/>
  <c r="F18" i="2"/>
  <c r="I17" i="2"/>
  <c r="F17" i="2"/>
  <c r="I16" i="2"/>
  <c r="F16" i="2"/>
  <c r="I15" i="2"/>
  <c r="F15" i="2"/>
  <c r="I14" i="2"/>
  <c r="F14" i="2"/>
  <c r="I13" i="2"/>
  <c r="F13" i="2"/>
  <c r="I12" i="2"/>
  <c r="F12" i="2"/>
  <c r="H11" i="2"/>
  <c r="J12" i="2" s="1"/>
  <c r="G11" i="2"/>
  <c r="E11" i="2"/>
  <c r="D11" i="2"/>
  <c r="P60" i="1"/>
  <c r="O60" i="1"/>
  <c r="N60" i="1"/>
  <c r="M60" i="1"/>
  <c r="K60" i="1"/>
  <c r="J60" i="1"/>
  <c r="H60" i="1"/>
  <c r="G60" i="1"/>
  <c r="F60" i="1"/>
  <c r="E60" i="1"/>
  <c r="D60" i="1"/>
  <c r="P55" i="1"/>
  <c r="O55" i="1"/>
  <c r="N55" i="1"/>
  <c r="M55" i="1"/>
  <c r="L55" i="1"/>
  <c r="K55" i="1"/>
  <c r="J55" i="1"/>
  <c r="I55" i="1"/>
  <c r="H55" i="1"/>
  <c r="G55" i="1"/>
  <c r="F55" i="1"/>
  <c r="E55" i="1"/>
  <c r="D55" i="1"/>
  <c r="P50" i="1"/>
  <c r="O50" i="1"/>
  <c r="N50" i="1"/>
  <c r="M50" i="1"/>
  <c r="L50" i="1"/>
  <c r="K50" i="1"/>
  <c r="J50" i="1"/>
  <c r="I50" i="1"/>
  <c r="H50" i="1"/>
  <c r="G50" i="1"/>
  <c r="F50" i="1"/>
  <c r="E50" i="1"/>
  <c r="D50" i="1"/>
  <c r="Q35" i="1"/>
  <c r="Q34" i="1"/>
  <c r="Q33" i="1"/>
  <c r="Q32" i="1"/>
  <c r="Q31" i="1"/>
  <c r="Q30" i="1"/>
  <c r="Q29" i="1"/>
  <c r="Q28" i="1"/>
  <c r="Q27" i="1"/>
  <c r="Q26" i="1"/>
  <c r="Q25" i="1"/>
  <c r="Q24" i="1"/>
  <c r="Q23" i="1"/>
  <c r="Q22" i="1"/>
  <c r="I92" i="2" l="1"/>
  <c r="I11" i="2"/>
  <c r="I45" i="3"/>
  <c r="I99" i="2"/>
  <c r="J43" i="2"/>
  <c r="J104" i="2"/>
  <c r="J65" i="3"/>
  <c r="J75" i="3"/>
  <c r="I58" i="3"/>
  <c r="J74" i="3"/>
  <c r="J43" i="3"/>
  <c r="J39" i="2"/>
  <c r="J62" i="2"/>
  <c r="J53" i="2"/>
  <c r="J18" i="2"/>
  <c r="F101" i="3"/>
  <c r="I92" i="3"/>
  <c r="F90" i="3"/>
  <c r="F58" i="3"/>
  <c r="J50" i="3"/>
  <c r="F112" i="3"/>
  <c r="J51" i="3"/>
  <c r="J87" i="3"/>
  <c r="J52" i="3"/>
  <c r="I119" i="3"/>
  <c r="J46" i="3"/>
  <c r="J69" i="3"/>
  <c r="I27" i="3"/>
  <c r="J80" i="3"/>
  <c r="I90" i="3"/>
  <c r="F77" i="3"/>
  <c r="F95" i="3"/>
  <c r="J53" i="3"/>
  <c r="J70" i="3"/>
  <c r="J59" i="3"/>
  <c r="F119" i="3"/>
  <c r="J47" i="3"/>
  <c r="J54" i="3"/>
  <c r="J63" i="3"/>
  <c r="J91" i="3"/>
  <c r="J90" i="3" s="1"/>
  <c r="J48" i="3"/>
  <c r="J55" i="3"/>
  <c r="F115" i="3"/>
  <c r="F92" i="3"/>
  <c r="F108" i="3"/>
  <c r="J64" i="3"/>
  <c r="J49" i="3"/>
  <c r="I103" i="2"/>
  <c r="F103" i="2"/>
  <c r="J100" i="2"/>
  <c r="F99" i="2"/>
  <c r="F83" i="2"/>
  <c r="J80" i="2"/>
  <c r="J81" i="2"/>
  <c r="F74" i="2"/>
  <c r="J72" i="2"/>
  <c r="J71" i="2" s="1"/>
  <c r="J58" i="2"/>
  <c r="J38" i="2"/>
  <c r="F35" i="2"/>
  <c r="J30" i="2"/>
  <c r="F23" i="2"/>
  <c r="J15" i="2"/>
  <c r="J16" i="2"/>
  <c r="J13" i="3"/>
  <c r="I23" i="2"/>
  <c r="I47" i="2"/>
  <c r="J63" i="2"/>
  <c r="I108" i="2"/>
  <c r="J16" i="3"/>
  <c r="J23" i="3"/>
  <c r="J54" i="2"/>
  <c r="F77" i="2"/>
  <c r="J22" i="3"/>
  <c r="F71" i="2"/>
  <c r="J93" i="2"/>
  <c r="I95" i="3"/>
  <c r="I101" i="3"/>
  <c r="I115" i="3"/>
  <c r="F11" i="2"/>
  <c r="J24" i="2"/>
  <c r="J48" i="2"/>
  <c r="I71" i="2"/>
  <c r="J94" i="2"/>
  <c r="J81" i="3"/>
  <c r="J102" i="3"/>
  <c r="J49" i="2"/>
  <c r="J95" i="2"/>
  <c r="F11" i="3"/>
  <c r="J103" i="3"/>
  <c r="F47" i="2"/>
  <c r="J34" i="2"/>
  <c r="J17" i="3"/>
  <c r="J24" i="3"/>
  <c r="J19" i="2"/>
  <c r="J32" i="3"/>
  <c r="J18" i="3"/>
  <c r="I11" i="3"/>
  <c r="J104" i="3"/>
  <c r="J13" i="2"/>
  <c r="J20" i="2"/>
  <c r="F59" i="2"/>
  <c r="J44" i="3"/>
  <c r="J44" i="2"/>
  <c r="J67" i="2"/>
  <c r="J19" i="3"/>
  <c r="J26" i="3"/>
  <c r="J100" i="3"/>
  <c r="J25" i="3"/>
  <c r="J12" i="3"/>
  <c r="J14" i="2"/>
  <c r="J29" i="2"/>
  <c r="J52" i="2"/>
  <c r="F27" i="3"/>
  <c r="J68" i="2"/>
  <c r="I74" i="2"/>
  <c r="F92" i="2"/>
  <c r="J20" i="3"/>
  <c r="J86" i="3"/>
  <c r="J107" i="3"/>
  <c r="I108" i="3"/>
  <c r="J25" i="2"/>
  <c r="I77" i="2"/>
  <c r="J39" i="3"/>
  <c r="I77" i="3"/>
  <c r="J116" i="3"/>
  <c r="J21" i="2"/>
  <c r="I35" i="2"/>
  <c r="J40" i="2"/>
  <c r="I59" i="2"/>
  <c r="J64" i="2"/>
  <c r="J96" i="2"/>
  <c r="J101" i="2"/>
  <c r="J105" i="2"/>
  <c r="J108" i="2"/>
  <c r="J14" i="3"/>
  <c r="J34" i="3"/>
  <c r="J56" i="3"/>
  <c r="J60" i="3"/>
  <c r="J88" i="3"/>
  <c r="J82" i="2"/>
  <c r="J90" i="2"/>
  <c r="J28" i="3"/>
  <c r="J45" i="2"/>
  <c r="J96" i="3"/>
  <c r="J29" i="3"/>
  <c r="J71" i="3"/>
  <c r="J26" i="2"/>
  <c r="J46" i="2"/>
  <c r="J50" i="2"/>
  <c r="J70" i="2"/>
  <c r="J85" i="2"/>
  <c r="J40" i="3"/>
  <c r="J66" i="3"/>
  <c r="J83" i="3"/>
  <c r="J97" i="3"/>
  <c r="J109" i="3"/>
  <c r="J113" i="3"/>
  <c r="J112" i="3" s="1"/>
  <c r="J117" i="3"/>
  <c r="I112" i="3"/>
  <c r="J82" i="3"/>
  <c r="J55" i="2"/>
  <c r="J22" i="2"/>
  <c r="J41" i="2"/>
  <c r="J65" i="2"/>
  <c r="J78" i="2"/>
  <c r="J106" i="2"/>
  <c r="J15" i="3"/>
  <c r="J35" i="3"/>
  <c r="J61" i="3"/>
  <c r="J78" i="3"/>
  <c r="J84" i="2"/>
  <c r="J31" i="2"/>
  <c r="J89" i="3"/>
  <c r="J17" i="2"/>
  <c r="J32" i="2"/>
  <c r="J36" i="2"/>
  <c r="J56" i="2"/>
  <c r="J60" i="2"/>
  <c r="J30" i="3"/>
  <c r="J72" i="3"/>
  <c r="J105" i="3"/>
  <c r="J69" i="2"/>
  <c r="J27" i="2"/>
  <c r="J51" i="2"/>
  <c r="J86" i="2"/>
  <c r="J41" i="3"/>
  <c r="J67" i="3"/>
  <c r="J84" i="3"/>
  <c r="J98" i="3"/>
  <c r="J110" i="3"/>
  <c r="J89" i="2"/>
  <c r="J42" i="2"/>
  <c r="J66" i="2"/>
  <c r="J36" i="3"/>
  <c r="J62" i="3"/>
  <c r="J73" i="3"/>
  <c r="J79" i="3"/>
  <c r="I83" i="2"/>
  <c r="J33" i="3"/>
  <c r="J33" i="2"/>
  <c r="J31" i="3"/>
  <c r="J38" i="3"/>
  <c r="J87" i="2"/>
  <c r="J42" i="3"/>
  <c r="J99" i="2" l="1"/>
  <c r="J101" i="3"/>
  <c r="J45" i="3"/>
  <c r="J11" i="2"/>
  <c r="J11" i="3"/>
  <c r="J35" i="2"/>
  <c r="J92" i="2"/>
  <c r="J95" i="3"/>
  <c r="J83" i="2"/>
  <c r="J58" i="3"/>
  <c r="J27" i="3"/>
  <c r="J23" i="2"/>
  <c r="J108" i="3"/>
  <c r="J77" i="2"/>
  <c r="J115" i="3"/>
  <c r="J77" i="3"/>
  <c r="J47" i="2"/>
  <c r="J103" i="2"/>
  <c r="J59" i="2"/>
</calcChain>
</file>

<file path=xl/sharedStrings.xml><?xml version="1.0" encoding="utf-8"?>
<sst xmlns="http://schemas.openxmlformats.org/spreadsheetml/2006/main" count="404" uniqueCount="154">
  <si>
    <t>SECCIÓN N° 01: PRODUCCIÓN METÁLICA</t>
  </si>
  <si>
    <t>METALLIC MINERAL PRODUCTION</t>
  </si>
  <si>
    <t>CUADRO N° 01. VOLUMEN DE LA PRODUCCIÓN MINERA METÁLICA</t>
  </si>
  <si>
    <t>VOLUME OF METALLIC MINING PRODUCTION</t>
  </si>
  <si>
    <r>
      <t xml:space="preserve">PERIODO
</t>
    </r>
    <r>
      <rPr>
        <i/>
        <sz val="10"/>
        <color theme="1"/>
        <rFont val="Calibri Light"/>
        <family val="2"/>
        <scheme val="major"/>
      </rPr>
      <t>Period</t>
    </r>
  </si>
  <si>
    <r>
      <t xml:space="preserve">COBRE
</t>
    </r>
    <r>
      <rPr>
        <i/>
        <sz val="10"/>
        <color theme="1"/>
        <rFont val="Calibri Light"/>
        <family val="2"/>
        <scheme val="major"/>
      </rPr>
      <t>Copper</t>
    </r>
  </si>
  <si>
    <r>
      <t xml:space="preserve">ORO*
</t>
    </r>
    <r>
      <rPr>
        <i/>
        <sz val="10"/>
        <color theme="1"/>
        <rFont val="Calibri Light"/>
        <family val="2"/>
        <scheme val="major"/>
      </rPr>
      <t>Gold</t>
    </r>
  </si>
  <si>
    <r>
      <t xml:space="preserve">ZINC
</t>
    </r>
    <r>
      <rPr>
        <i/>
        <sz val="10"/>
        <color theme="1"/>
        <rFont val="Calibri Light"/>
        <family val="2"/>
        <scheme val="major"/>
      </rPr>
      <t>Zinc</t>
    </r>
  </si>
  <si>
    <r>
      <t xml:space="preserve">PLATA
</t>
    </r>
    <r>
      <rPr>
        <i/>
        <sz val="10"/>
        <color theme="1"/>
        <rFont val="Calibri Light"/>
        <family val="2"/>
        <scheme val="major"/>
      </rPr>
      <t>Silver</t>
    </r>
  </si>
  <si>
    <r>
      <t xml:space="preserve">PLOMO
</t>
    </r>
    <r>
      <rPr>
        <i/>
        <sz val="10"/>
        <color theme="1"/>
        <rFont val="Calibri Light"/>
        <family val="2"/>
        <scheme val="major"/>
      </rPr>
      <t>Lead</t>
    </r>
  </si>
  <si>
    <r>
      <t xml:space="preserve">HIERRO
</t>
    </r>
    <r>
      <rPr>
        <i/>
        <sz val="10"/>
        <color theme="1"/>
        <rFont val="Calibri Light"/>
        <family val="2"/>
        <scheme val="major"/>
      </rPr>
      <t>Iron</t>
    </r>
  </si>
  <si>
    <r>
      <t xml:space="preserve">ESTAÑO
</t>
    </r>
    <r>
      <rPr>
        <i/>
        <sz val="10"/>
        <color theme="1"/>
        <rFont val="Calibri Light"/>
        <family val="2"/>
        <scheme val="major"/>
      </rPr>
      <t>Tin</t>
    </r>
  </si>
  <si>
    <r>
      <t xml:space="preserve">MOLIBDENO
</t>
    </r>
    <r>
      <rPr>
        <i/>
        <sz val="10"/>
        <color theme="1"/>
        <rFont val="Calibri Light"/>
        <family val="2"/>
        <scheme val="major"/>
      </rPr>
      <t>Molybdenum</t>
    </r>
  </si>
  <si>
    <r>
      <t xml:space="preserve">ARSÉNICO
</t>
    </r>
    <r>
      <rPr>
        <i/>
        <sz val="10"/>
        <color theme="1"/>
        <rFont val="Calibri Light"/>
        <family val="2"/>
        <scheme val="major"/>
      </rPr>
      <t>Arsenic</t>
    </r>
  </si>
  <si>
    <r>
      <t xml:space="preserve">BISMUTO
</t>
    </r>
    <r>
      <rPr>
        <i/>
        <sz val="10"/>
        <color theme="1"/>
        <rFont val="Calibri Light"/>
        <family val="2"/>
        <scheme val="major"/>
      </rPr>
      <t>Bismuth</t>
    </r>
  </si>
  <si>
    <r>
      <t xml:space="preserve">CADMIO
</t>
    </r>
    <r>
      <rPr>
        <i/>
        <sz val="10"/>
        <color theme="1"/>
        <rFont val="Calibri Light"/>
        <family val="2"/>
        <scheme val="major"/>
      </rPr>
      <t>Cadmium</t>
    </r>
  </si>
  <si>
    <r>
      <t xml:space="preserve">MANGANESO
</t>
    </r>
    <r>
      <rPr>
        <i/>
        <sz val="10"/>
        <color theme="1"/>
        <rFont val="Calibri Light"/>
        <family val="2"/>
        <scheme val="major"/>
      </rPr>
      <t>Manganese</t>
    </r>
  </si>
  <si>
    <r>
      <t xml:space="preserve">MAGNESIO
</t>
    </r>
    <r>
      <rPr>
        <i/>
        <sz val="10"/>
        <color theme="1"/>
        <rFont val="Calibri Light"/>
        <family val="2"/>
        <scheme val="major"/>
      </rPr>
      <t>Magnesium</t>
    </r>
  </si>
  <si>
    <r>
      <t xml:space="preserve">TMF
</t>
    </r>
    <r>
      <rPr>
        <i/>
        <sz val="8"/>
        <color rgb="FF000000"/>
        <rFont val="Calibri Light"/>
        <family val="2"/>
        <scheme val="major"/>
      </rPr>
      <t>FTM</t>
    </r>
  </si>
  <si>
    <r>
      <t xml:space="preserve">gf
</t>
    </r>
    <r>
      <rPr>
        <i/>
        <sz val="8"/>
        <color rgb="FF000000"/>
        <rFont val="Calibri Light"/>
        <family val="2"/>
        <scheme val="major"/>
      </rPr>
      <t>fg</t>
    </r>
  </si>
  <si>
    <r>
      <t xml:space="preserve">kgf
</t>
    </r>
    <r>
      <rPr>
        <i/>
        <sz val="8"/>
        <color rgb="FF000000"/>
        <rFont val="Calibri Light"/>
        <family val="2"/>
        <scheme val="major"/>
      </rPr>
      <t>fkg</t>
    </r>
  </si>
  <si>
    <t>N/D</t>
  </si>
  <si>
    <r>
      <t xml:space="preserve">Ene. / </t>
    </r>
    <r>
      <rPr>
        <i/>
        <sz val="10"/>
        <color rgb="FF000000"/>
        <rFont val="Calibri Light"/>
        <family val="2"/>
        <scheme val="major"/>
      </rPr>
      <t>Jan.</t>
    </r>
  </si>
  <si>
    <r>
      <t xml:space="preserve">Feb. / </t>
    </r>
    <r>
      <rPr>
        <i/>
        <sz val="10"/>
        <color rgb="FF000000"/>
        <rFont val="Calibri Light"/>
        <family val="2"/>
        <scheme val="major"/>
      </rPr>
      <t>Feb.</t>
    </r>
  </si>
  <si>
    <r>
      <t xml:space="preserve">Mar. / </t>
    </r>
    <r>
      <rPr>
        <i/>
        <sz val="10"/>
        <color rgb="FF000000"/>
        <rFont val="Calibri Light"/>
        <family val="2"/>
        <scheme val="major"/>
      </rPr>
      <t>Mar.</t>
    </r>
  </si>
  <si>
    <r>
      <t xml:space="preserve">Abr. / </t>
    </r>
    <r>
      <rPr>
        <i/>
        <sz val="10"/>
        <color rgb="FF000000"/>
        <rFont val="Calibri Light"/>
        <family val="2"/>
        <scheme val="major"/>
      </rPr>
      <t>Apr.</t>
    </r>
  </si>
  <si>
    <t>Var. %</t>
  </si>
  <si>
    <r>
      <t>VARIACIÓN RESPECTO AL MES ANTERIOR /</t>
    </r>
    <r>
      <rPr>
        <i/>
        <sz val="10"/>
        <color rgb="FF000000"/>
        <rFont val="Calibri Light"/>
        <family val="2"/>
        <scheme val="major"/>
      </rPr>
      <t xml:space="preserve"> </t>
    </r>
    <r>
      <rPr>
        <i/>
        <sz val="8"/>
        <color rgb="FF000000"/>
        <rFont val="Calibri Light"/>
        <family val="2"/>
        <scheme val="major"/>
      </rPr>
      <t>VARIATION COMPARED TO THE PREVIOUS MONTH</t>
    </r>
  </si>
  <si>
    <r>
      <t xml:space="preserve">EVOLUCIÓN ANUAL DE LA PRODUCCIÓN DE COBRE / </t>
    </r>
    <r>
      <rPr>
        <i/>
        <sz val="8"/>
        <color rgb="FF000000"/>
        <rFont val="Calibri Light"/>
        <family val="2"/>
        <scheme val="major"/>
      </rPr>
      <t>ANNUAL EVOLUTION OF COPPER PRODUCTION</t>
    </r>
    <r>
      <rPr>
        <b/>
        <sz val="10"/>
        <color indexed="8"/>
        <rFont val="Calibri Light"/>
        <family val="2"/>
        <scheme val="major"/>
      </rPr>
      <t xml:space="preserve">
(MILES DE TMF) / </t>
    </r>
    <r>
      <rPr>
        <i/>
        <sz val="8"/>
        <color rgb="FF000000"/>
        <rFont val="Calibri Light"/>
        <family val="2"/>
        <scheme val="major"/>
      </rPr>
      <t>Thousands of FMT</t>
    </r>
  </si>
  <si>
    <t>CUADRO N° 02: PRODUCCIÓN MINERA METÁLICA SEGÚN EMPRESA</t>
  </si>
  <si>
    <t>METALLIC MINING PRODUCTION BY COMPANY</t>
  </si>
  <si>
    <r>
      <t xml:space="preserve">PRODUCTO / EMPRESA
</t>
    </r>
    <r>
      <rPr>
        <i/>
        <sz val="8"/>
        <color theme="1"/>
        <rFont val="Calibri Light"/>
        <family val="2"/>
        <scheme val="major"/>
      </rPr>
      <t>PRODUCT / COMPANY</t>
    </r>
  </si>
  <si>
    <t>Part. %</t>
  </si>
  <si>
    <r>
      <rPr>
        <b/>
        <sz val="10"/>
        <color theme="1"/>
        <rFont val="Calibri Light"/>
        <family val="2"/>
        <scheme val="major"/>
      </rPr>
      <t>COBRE (TMF)</t>
    </r>
    <r>
      <rPr>
        <sz val="10"/>
        <color theme="1"/>
        <rFont val="Calibri Light"/>
        <family val="2"/>
        <scheme val="major"/>
      </rPr>
      <t xml:space="preserve"> / </t>
    </r>
    <r>
      <rPr>
        <i/>
        <sz val="9"/>
        <color theme="1"/>
        <rFont val="Calibri Light"/>
        <family val="2"/>
        <scheme val="major"/>
      </rPr>
      <t>Copper (FTM)</t>
    </r>
  </si>
  <si>
    <t>SOUTHERN PERU COPPER CORPORATION SUCURSAL DEL PERU</t>
  </si>
  <si>
    <t>MINERA LAS BAMBAS S.A.</t>
  </si>
  <si>
    <t>COMPAÑIA MINERA ANTAMINA S.A.</t>
  </si>
  <si>
    <t>ANGLO AMERICAN QUELLAVECO S.A.</t>
  </si>
  <si>
    <t>MINERA CHINALCO PERU S.A.</t>
  </si>
  <si>
    <t>COMPAÑIA MINERA ANTAPACCAY S.A.</t>
  </si>
  <si>
    <t>HUDBAY PERU S.A.C.</t>
  </si>
  <si>
    <t>SOCIEDAD MINERA EL BROCAL S.A.A.</t>
  </si>
  <si>
    <r>
      <rPr>
        <b/>
        <sz val="11"/>
        <color theme="1"/>
        <rFont val="Calibri Light"/>
        <family val="2"/>
        <scheme val="major"/>
      </rPr>
      <t>ORO** (g finos)</t>
    </r>
    <r>
      <rPr>
        <sz val="11"/>
        <color theme="1"/>
        <rFont val="Calibri Light"/>
        <family val="2"/>
        <scheme val="major"/>
      </rPr>
      <t xml:space="preserve"> / </t>
    </r>
    <r>
      <rPr>
        <i/>
        <sz val="9"/>
        <color theme="1"/>
        <rFont val="Calibri Light"/>
        <family val="2"/>
        <scheme val="major"/>
      </rPr>
      <t>Gold (fg)</t>
    </r>
  </si>
  <si>
    <t>MINERA YANACOCHA S.R.L.</t>
  </si>
  <si>
    <t>COMPAÑIA MINERA PODEROSA S.A.</t>
  </si>
  <si>
    <t>-</t>
  </si>
  <si>
    <t>CONSORCIO MINERO HORIZONTE S.R.L.</t>
  </si>
  <si>
    <t>MINERA AURIFERA RETAMAS S.A.</t>
  </si>
  <si>
    <t>MINERA BOROO MISQUICHILCA S.A.</t>
  </si>
  <si>
    <t>COMPAÑIA MINERA ARES S.A.C.</t>
  </si>
  <si>
    <t>PALTARUMI S.A.C.</t>
  </si>
  <si>
    <t>SHAHUINDO S.A.C.</t>
  </si>
  <si>
    <t>GOLD FIELDS LA CIMA S.A.</t>
  </si>
  <si>
    <t>MINERA VETA DORADA S.A.C.</t>
  </si>
  <si>
    <r>
      <t xml:space="preserve">ZINC (TMF) / </t>
    </r>
    <r>
      <rPr>
        <i/>
        <sz val="9"/>
        <color theme="1"/>
        <rFont val="Calibri Light"/>
        <family val="2"/>
        <scheme val="major"/>
      </rPr>
      <t>Zinc (FTM)</t>
    </r>
  </si>
  <si>
    <t>VOLCAN COMPAÑIA MINERA S.A.A.</t>
  </si>
  <si>
    <t>NEXA RESOURCES PERU S.A.A.</t>
  </si>
  <si>
    <t>NEXA RESOURCES EL PORVENIR S.A.C.</t>
  </si>
  <si>
    <t>MINERA SHOUXIN PERU S.A.</t>
  </si>
  <si>
    <t>COMPAÑIA MINERA CHUNGAR S.A.C.</t>
  </si>
  <si>
    <t>COMPAÑIA MINERA RAURA S.A.</t>
  </si>
  <si>
    <t>SOBREANDES S.A.C.</t>
  </si>
  <si>
    <t>CATALINA HUANCA SOCIEDAD MINERA S.A.C.</t>
  </si>
  <si>
    <r>
      <t>PLATA (kg finos) /</t>
    </r>
    <r>
      <rPr>
        <i/>
        <sz val="9"/>
        <color theme="1"/>
        <rFont val="Calibri Light"/>
        <family val="2"/>
        <scheme val="major"/>
      </rPr>
      <t xml:space="preserve"> Silver (fkg)</t>
    </r>
  </si>
  <si>
    <t>COMPAÑIA DE MINAS BUENAVENTURA S.A.A.</t>
  </si>
  <si>
    <t>EMPRESA ADMINISTRADORA CERRO S.A.C.</t>
  </si>
  <si>
    <t>MARCOBRE S.A.C.</t>
  </si>
  <si>
    <r>
      <t xml:space="preserve">PLOMO (TMF) / </t>
    </r>
    <r>
      <rPr>
        <i/>
        <sz val="9"/>
        <color theme="1"/>
        <rFont val="Calibri Light"/>
        <family val="2"/>
        <scheme val="major"/>
      </rPr>
      <t>Lead (FTM)</t>
    </r>
  </si>
  <si>
    <t>COMPAÑIA MINERA KOLPA S.A.</t>
  </si>
  <si>
    <t>PAN AMERICAN SILVER HUARON S.A.</t>
  </si>
  <si>
    <t>MINERA BATEAS S.A.C.</t>
  </si>
  <si>
    <t>COMPAÑIA MINERA LINCUNA S.A.</t>
  </si>
  <si>
    <r>
      <t xml:space="preserve">HIERRO (TMF) / </t>
    </r>
    <r>
      <rPr>
        <i/>
        <sz val="9"/>
        <color theme="1"/>
        <rFont val="Calibri Light"/>
        <family val="2"/>
        <scheme val="major"/>
      </rPr>
      <t>Iron (FTM)</t>
    </r>
  </si>
  <si>
    <t>SHOUGANG HIERRO PERU S.A.A.</t>
  </si>
  <si>
    <r>
      <t xml:space="preserve">ESTAÑO (TMF) / </t>
    </r>
    <r>
      <rPr>
        <i/>
        <sz val="9"/>
        <color theme="1"/>
        <rFont val="Calibri Light"/>
        <family val="2"/>
        <scheme val="major"/>
      </rPr>
      <t>Tin (FTM)</t>
    </r>
  </si>
  <si>
    <t>MINSUR S.A.</t>
  </si>
  <si>
    <r>
      <t xml:space="preserve">MOLIBDENO (TMF) / </t>
    </r>
    <r>
      <rPr>
        <i/>
        <sz val="9"/>
        <color theme="1"/>
        <rFont val="Calibri Light"/>
        <family val="2"/>
        <scheme val="major"/>
      </rPr>
      <t>Molybdenum (FTM)</t>
    </r>
  </si>
  <si>
    <t>SOCIEDAD MINERA CERRO VERDE S.A.A.</t>
  </si>
  <si>
    <r>
      <t>ARSÉNICO (TMF) /</t>
    </r>
    <r>
      <rPr>
        <i/>
        <sz val="9"/>
        <color theme="1"/>
        <rFont val="Calibri Light"/>
        <family val="2"/>
        <scheme val="major"/>
      </rPr>
      <t xml:space="preserve"> Arsenic (FTM)</t>
    </r>
  </si>
  <si>
    <t>CMC CRITICAL MINERALS CORPORATION S.A.C.</t>
  </si>
  <si>
    <t>+</t>
  </si>
  <si>
    <t>SOCIEDAD MINERA ANDEREAL S.A.C.</t>
  </si>
  <si>
    <t>GLORE PERU S.A.C</t>
  </si>
  <si>
    <t>EL PACIFICO DORADO S.A.C.</t>
  </si>
  <si>
    <r>
      <t xml:space="preserve">BISMUTO (TMF) / </t>
    </r>
    <r>
      <rPr>
        <i/>
        <sz val="9"/>
        <color theme="1"/>
        <rFont val="Calibri Light"/>
        <family val="2"/>
        <scheme val="major"/>
      </rPr>
      <t>Bismuth (FTM)</t>
    </r>
  </si>
  <si>
    <t>NORCOBRE S.A.C.</t>
  </si>
  <si>
    <t>NEXA RESOURCES ATACOCHA S.A.A.</t>
  </si>
  <si>
    <r>
      <t>CADMIO (TMF) /</t>
    </r>
    <r>
      <rPr>
        <i/>
        <sz val="9"/>
        <color theme="1"/>
        <rFont val="Calibri Light"/>
        <family val="2"/>
        <scheme val="major"/>
      </rPr>
      <t xml:space="preserve"> Cadmium (FTM)</t>
    </r>
  </si>
  <si>
    <r>
      <t xml:space="preserve">MANGANESO (TMF) / </t>
    </r>
    <r>
      <rPr>
        <i/>
        <sz val="9"/>
        <color theme="1"/>
        <rFont val="Calibri Light"/>
        <family val="2"/>
        <scheme val="major"/>
      </rPr>
      <t>Manganese (FTM)</t>
    </r>
  </si>
  <si>
    <r>
      <t>MAGNESIO (TMF) /</t>
    </r>
    <r>
      <rPr>
        <i/>
        <sz val="9"/>
        <color theme="1"/>
        <rFont val="Calibri Light"/>
        <family val="2"/>
        <scheme val="major"/>
      </rPr>
      <t xml:space="preserve"> Magnesium (FTM)</t>
    </r>
  </si>
  <si>
    <t>CUADRO N° 03: PRODUCCIÓN MINERA METÁLICA SEGÚN DEPARTAMENTO</t>
  </si>
  <si>
    <t>METALLIC MINING PRODUCTION BY REGION</t>
  </si>
  <si>
    <r>
      <t xml:space="preserve">PRODUCTO / DEPARTAMENTO
</t>
    </r>
    <r>
      <rPr>
        <i/>
        <sz val="8"/>
        <color theme="1"/>
        <rFont val="Calibri Light"/>
        <family val="2"/>
        <scheme val="major"/>
      </rPr>
      <t>PRODUCT / REGION</t>
    </r>
  </si>
  <si>
    <r>
      <t>COBRE (TMF) /</t>
    </r>
    <r>
      <rPr>
        <i/>
        <sz val="9"/>
        <rFont val="Calibri Light"/>
        <family val="2"/>
        <scheme val="major"/>
      </rPr>
      <t xml:space="preserve"> Copper (FTM)</t>
    </r>
  </si>
  <si>
    <t>MOQUEGUA</t>
  </si>
  <si>
    <t>APURÍMAC</t>
  </si>
  <si>
    <t>AREQUIPA</t>
  </si>
  <si>
    <t>ÁNCASH</t>
  </si>
  <si>
    <t>TACNA</t>
  </si>
  <si>
    <t>JUNÍN</t>
  </si>
  <si>
    <t>ICA</t>
  </si>
  <si>
    <t>CUSCO</t>
  </si>
  <si>
    <t>PASCO</t>
  </si>
  <si>
    <t>LIMA</t>
  </si>
  <si>
    <t>CAJAMARCA</t>
  </si>
  <si>
    <t>HUANCAVELICA</t>
  </si>
  <si>
    <t>HUÁNUCO</t>
  </si>
  <si>
    <t>PUNO</t>
  </si>
  <si>
    <t>AYACUCHO</t>
  </si>
  <si>
    <r>
      <t>ORO* (G FINOS) /</t>
    </r>
    <r>
      <rPr>
        <i/>
        <sz val="8"/>
        <rFont val="Calibri Light"/>
        <family val="2"/>
        <scheme val="major"/>
      </rPr>
      <t xml:space="preserve"> Gold (fg)</t>
    </r>
  </si>
  <si>
    <t>LA LIBERTAD</t>
  </si>
  <si>
    <t>MADRE DE DIOS</t>
  </si>
  <si>
    <t>PIURA</t>
  </si>
  <si>
    <r>
      <t>ZINC (TMF) /</t>
    </r>
    <r>
      <rPr>
        <i/>
        <sz val="8"/>
        <rFont val="Calibri Light"/>
        <family val="2"/>
        <scheme val="major"/>
      </rPr>
      <t xml:space="preserve"> Zinc (FTM)</t>
    </r>
  </si>
  <si>
    <r>
      <t>PLATA (KG FINOS) /</t>
    </r>
    <r>
      <rPr>
        <i/>
        <sz val="8"/>
        <rFont val="Calibri Light"/>
        <family val="2"/>
        <scheme val="major"/>
      </rPr>
      <t xml:space="preserve"> Silver (fkg)</t>
    </r>
  </si>
  <si>
    <r>
      <t>PLOMO (TMF) /</t>
    </r>
    <r>
      <rPr>
        <i/>
        <sz val="8"/>
        <rFont val="Calibri Light"/>
        <family val="2"/>
        <scheme val="major"/>
      </rPr>
      <t xml:space="preserve"> Lead (FTM)</t>
    </r>
  </si>
  <si>
    <r>
      <t>HIERRO (TMF) /</t>
    </r>
    <r>
      <rPr>
        <i/>
        <sz val="8"/>
        <rFont val="Calibri Light"/>
        <family val="2"/>
        <scheme val="major"/>
      </rPr>
      <t xml:space="preserve"> Iron (FTM)</t>
    </r>
  </si>
  <si>
    <r>
      <t xml:space="preserve">ESTAÑO (TMF) / </t>
    </r>
    <r>
      <rPr>
        <i/>
        <sz val="8"/>
        <rFont val="Calibri Light"/>
        <family val="2"/>
        <scheme val="major"/>
      </rPr>
      <t>Tin (FTM)</t>
    </r>
  </si>
  <si>
    <r>
      <t>MOLIBDENO (TMF) /</t>
    </r>
    <r>
      <rPr>
        <i/>
        <sz val="8"/>
        <rFont val="Calibri Light"/>
        <family val="2"/>
        <scheme val="major"/>
      </rPr>
      <t xml:space="preserve"> Molybdenum (FTM)</t>
    </r>
  </si>
  <si>
    <r>
      <t>ARSÉNICO (TMF) /</t>
    </r>
    <r>
      <rPr>
        <i/>
        <sz val="8"/>
        <rFont val="Calibri Light"/>
        <family val="2"/>
        <scheme val="major"/>
      </rPr>
      <t xml:space="preserve"> Arsenic (FTM)</t>
    </r>
  </si>
  <si>
    <r>
      <t>BISMUTO (TMF) /</t>
    </r>
    <r>
      <rPr>
        <i/>
        <sz val="8"/>
        <rFont val="Calibri Light"/>
        <family val="2"/>
        <scheme val="major"/>
      </rPr>
      <t xml:space="preserve"> Bismuth (FTM)</t>
    </r>
  </si>
  <si>
    <r>
      <t>CADMIO (TMF) /</t>
    </r>
    <r>
      <rPr>
        <i/>
        <sz val="8"/>
        <rFont val="Calibri Light"/>
        <family val="2"/>
        <scheme val="major"/>
      </rPr>
      <t xml:space="preserve"> Cadmium (FTM)</t>
    </r>
  </si>
  <si>
    <r>
      <t>MANGANESO (TMF) /</t>
    </r>
    <r>
      <rPr>
        <i/>
        <sz val="8"/>
        <rFont val="Calibri Light"/>
        <family val="2"/>
        <scheme val="major"/>
      </rPr>
      <t xml:space="preserve"> Manganese (FTM)</t>
    </r>
  </si>
  <si>
    <r>
      <t>MAGNESIO (TMF) /</t>
    </r>
    <r>
      <rPr>
        <sz val="8"/>
        <rFont val="Calibri Light"/>
        <family val="2"/>
        <scheme val="major"/>
      </rPr>
      <t xml:space="preserve"> Magnesium (FTM)</t>
    </r>
  </si>
  <si>
    <t>OTROS (2024: 3 titulares mineros, 2025: 3 titulares mineros)</t>
  </si>
  <si>
    <r>
      <t xml:space="preserve">May. / </t>
    </r>
    <r>
      <rPr>
        <i/>
        <sz val="10"/>
        <color theme="1"/>
        <rFont val="Calibri Light"/>
        <family val="2"/>
        <scheme val="major"/>
      </rPr>
      <t>May.</t>
    </r>
  </si>
  <si>
    <r>
      <t xml:space="preserve">Jun. / </t>
    </r>
    <r>
      <rPr>
        <i/>
        <sz val="10"/>
        <color rgb="FF000000"/>
        <rFont val="Calibri Light"/>
        <family val="2"/>
        <scheme val="major"/>
      </rPr>
      <t>Jun.</t>
    </r>
  </si>
  <si>
    <t>OTROS** (2024: 3 departamentos, 2025: 3 departamentos)</t>
  </si>
  <si>
    <t>Jul. / Jul.</t>
  </si>
  <si>
    <r>
      <t>Ago. /</t>
    </r>
    <r>
      <rPr>
        <i/>
        <sz val="10"/>
        <color rgb="FF000000"/>
        <rFont val="Calibri Light"/>
        <family val="2"/>
        <scheme val="major"/>
      </rPr>
      <t xml:space="preserve"> Aug.</t>
    </r>
  </si>
  <si>
    <r>
      <t>Set. /</t>
    </r>
    <r>
      <rPr>
        <i/>
        <sz val="10"/>
        <color rgb="FF000000"/>
        <rFont val="Calibri Light"/>
        <family val="2"/>
        <scheme val="major"/>
      </rPr>
      <t xml:space="preserve"> Sept.</t>
    </r>
  </si>
  <si>
    <t>EMPRESA MINERA LOS QUENUALES S.A.</t>
  </si>
  <si>
    <r>
      <rPr>
        <u/>
        <sz val="10"/>
        <color rgb="FF000000"/>
        <rFont val="Calibri Light"/>
        <family val="2"/>
        <scheme val="major"/>
      </rPr>
      <t>Fuente</t>
    </r>
    <r>
      <rPr>
        <sz val="10"/>
        <color rgb="FF000000"/>
        <rFont val="Calibri Light"/>
        <family val="2"/>
        <scheme val="major"/>
      </rPr>
      <t xml:space="preserve">:  Dirección de Gestión Minera, DGM. / </t>
    </r>
    <r>
      <rPr>
        <i/>
        <u/>
        <sz val="10"/>
        <color rgb="FF000000"/>
        <rFont val="Calibri Light"/>
        <family val="2"/>
        <scheme val="major"/>
      </rPr>
      <t>Source</t>
    </r>
    <r>
      <rPr>
        <i/>
        <sz val="10"/>
        <color rgb="FF000000"/>
        <rFont val="Calibri Light"/>
        <family val="2"/>
        <scheme val="major"/>
      </rPr>
      <t>: General Directorate of Mining, DGM.</t>
    </r>
    <r>
      <rPr>
        <sz val="10"/>
        <color rgb="FF000000"/>
        <rFont val="Calibri Light"/>
        <family val="2"/>
        <scheme val="major"/>
      </rPr>
      <t xml:space="preserve">
</t>
    </r>
    <r>
      <rPr>
        <u/>
        <sz val="10"/>
        <color rgb="FF000000"/>
        <rFont val="Calibri Light"/>
        <family val="2"/>
        <scheme val="major"/>
      </rPr>
      <t>Fecha de consulta</t>
    </r>
    <r>
      <rPr>
        <sz val="10"/>
        <color rgb="FF000000"/>
        <rFont val="Calibri Light"/>
        <family val="2"/>
        <scheme val="major"/>
      </rPr>
      <t>: 27 de noviembre de 2025. /</t>
    </r>
    <r>
      <rPr>
        <i/>
        <sz val="10"/>
        <color rgb="FF000000"/>
        <rFont val="Calibri Light"/>
        <family val="2"/>
        <scheme val="major"/>
      </rPr>
      <t xml:space="preserve"> </t>
    </r>
    <r>
      <rPr>
        <i/>
        <u/>
        <sz val="10"/>
        <color rgb="FF000000"/>
        <rFont val="Calibri Light"/>
        <family val="2"/>
        <scheme val="major"/>
      </rPr>
      <t>Date of consultation</t>
    </r>
    <r>
      <rPr>
        <i/>
        <sz val="10"/>
        <color rgb="FF000000"/>
        <rFont val="Calibri Light"/>
        <family val="2"/>
        <scheme val="major"/>
      </rPr>
      <t>: November 27, 2025.</t>
    </r>
    <r>
      <rPr>
        <sz val="10"/>
        <color rgb="FF000000"/>
        <rFont val="Calibri Light"/>
        <family val="2"/>
        <scheme val="major"/>
      </rPr>
      <t xml:space="preserve">
</t>
    </r>
    <r>
      <rPr>
        <u/>
        <sz val="10"/>
        <color rgb="FF000000"/>
        <rFont val="Calibri Light"/>
        <family val="2"/>
        <scheme val="major"/>
      </rPr>
      <t>Elaboración</t>
    </r>
    <r>
      <rPr>
        <sz val="10"/>
        <color rgb="FF000000"/>
        <rFont val="Calibri Light"/>
        <family val="2"/>
        <scheme val="major"/>
      </rPr>
      <t xml:space="preserve">: Dirección General de Promoción y Sostenibilidad Minera, DGPSM. / </t>
    </r>
    <r>
      <rPr>
        <i/>
        <u/>
        <sz val="10"/>
        <color rgb="FF000000"/>
        <rFont val="Calibri Light"/>
        <family val="2"/>
        <scheme val="major"/>
      </rPr>
      <t>Prepared by</t>
    </r>
    <r>
      <rPr>
        <i/>
        <sz val="10"/>
        <color rgb="FF000000"/>
        <rFont val="Calibri Light"/>
        <family val="2"/>
        <scheme val="major"/>
      </rPr>
      <t>: General Directorate of Mining Promotion and Sustainability, DGPSM.</t>
    </r>
    <r>
      <rPr>
        <sz val="10"/>
        <color rgb="FF000000"/>
        <rFont val="Calibri Light"/>
        <family val="2"/>
        <scheme val="major"/>
      </rPr>
      <t xml:space="preserve">
(*) Información preliminar. Incluye producción aurífera estimada de mineros artesanales de Madre de Dios, Puno, Piura y Arequipa. / </t>
    </r>
    <r>
      <rPr>
        <i/>
        <sz val="10"/>
        <color rgb="FF000000"/>
        <rFont val="Calibri Light"/>
        <family val="2"/>
        <scheme val="major"/>
      </rPr>
      <t>(*) Preliminary information. Includes estimated gold production from artisanal miners in Madre de Dios, Puno, Piura, and Arequipa.</t>
    </r>
    <r>
      <rPr>
        <sz val="10"/>
        <color rgb="FF000000"/>
        <rFont val="Calibri Light"/>
        <family val="2"/>
        <scheme val="major"/>
      </rPr>
      <t xml:space="preserve">
N/D: Información no disponible / </t>
    </r>
    <r>
      <rPr>
        <i/>
        <sz val="10"/>
        <color rgb="FF000000"/>
        <rFont val="Calibri Light"/>
        <family val="2"/>
        <scheme val="major"/>
      </rPr>
      <t>N/A: Information not available.</t>
    </r>
  </si>
  <si>
    <r>
      <rPr>
        <u/>
        <sz val="10"/>
        <color theme="1"/>
        <rFont val="Calibri Light"/>
        <family val="2"/>
        <scheme val="major"/>
      </rPr>
      <t>Fuente</t>
    </r>
    <r>
      <rPr>
        <sz val="10"/>
        <color theme="1"/>
        <rFont val="Calibri Light"/>
        <family val="2"/>
        <scheme val="major"/>
      </rPr>
      <t xml:space="preserve">:  Dirección de Gestión Minera, DGM. / </t>
    </r>
    <r>
      <rPr>
        <i/>
        <u/>
        <sz val="10"/>
        <color theme="1"/>
        <rFont val="Calibri Light"/>
        <family val="2"/>
        <scheme val="major"/>
      </rPr>
      <t>Source</t>
    </r>
    <r>
      <rPr>
        <i/>
        <sz val="10"/>
        <color theme="1"/>
        <rFont val="Calibri Light"/>
        <family val="2"/>
        <scheme val="major"/>
      </rPr>
      <t>: Mining Management Directorate, MMD.</t>
    </r>
    <r>
      <rPr>
        <sz val="10"/>
        <color theme="1"/>
        <rFont val="Calibri Light"/>
        <family val="2"/>
        <scheme val="major"/>
      </rPr>
      <t xml:space="preserve">
</t>
    </r>
    <r>
      <rPr>
        <u/>
        <sz val="10"/>
        <color theme="1"/>
        <rFont val="Calibri Light"/>
        <family val="2"/>
        <scheme val="major"/>
      </rPr>
      <t>Fecha de consulta</t>
    </r>
    <r>
      <rPr>
        <sz val="10"/>
        <color theme="1"/>
        <rFont val="Calibri Light"/>
        <family val="2"/>
        <scheme val="major"/>
      </rPr>
      <t xml:space="preserve">: 27 de noviembre de 2025. / </t>
    </r>
    <r>
      <rPr>
        <i/>
        <u/>
        <sz val="10"/>
        <color theme="1"/>
        <rFont val="Calibri Light"/>
        <family val="2"/>
        <scheme val="major"/>
      </rPr>
      <t>Date of consultation</t>
    </r>
    <r>
      <rPr>
        <i/>
        <sz val="10"/>
        <color theme="1"/>
        <rFont val="Calibri Light"/>
        <family val="2"/>
        <scheme val="major"/>
      </rPr>
      <t>: November 27, 2025.</t>
    </r>
    <r>
      <rPr>
        <sz val="10"/>
        <color theme="1"/>
        <rFont val="Calibri Light"/>
        <family val="2"/>
        <scheme val="major"/>
      </rPr>
      <t xml:space="preserve">
</t>
    </r>
    <r>
      <rPr>
        <u/>
        <sz val="10"/>
        <color theme="1"/>
        <rFont val="Calibri Light"/>
        <family val="2"/>
        <scheme val="major"/>
      </rPr>
      <t>Elaboración</t>
    </r>
    <r>
      <rPr>
        <sz val="10"/>
        <color theme="1"/>
        <rFont val="Calibri Light"/>
        <family val="2"/>
        <scheme val="major"/>
      </rPr>
      <t xml:space="preserve">: Dirección General de Promoción y Sostenibilidad Minera, DGPSM. / </t>
    </r>
    <r>
      <rPr>
        <i/>
        <u/>
        <sz val="10"/>
        <color theme="1"/>
        <rFont val="Calibri Light"/>
        <family val="2"/>
        <scheme val="major"/>
      </rPr>
      <t>Prepared by</t>
    </r>
    <r>
      <rPr>
        <i/>
        <sz val="10"/>
        <color theme="1"/>
        <rFont val="Calibri Light"/>
        <family val="2"/>
        <scheme val="major"/>
      </rPr>
      <t>: General Directorate of Mining Promotion and Sustainability, GDPMS.</t>
    </r>
    <r>
      <rPr>
        <sz val="10"/>
        <color theme="1"/>
        <rFont val="Calibri Light"/>
        <family val="2"/>
        <scheme val="major"/>
      </rPr>
      <t xml:space="preserve">
(*) Información preliminar. Incluye producción aurífera estimada de mineros artesanales de Madre de Dios, Puno, Piura y Arequipa. / </t>
    </r>
    <r>
      <rPr>
        <i/>
        <sz val="10"/>
        <color theme="1"/>
        <rFont val="Calibri Light"/>
        <family val="2"/>
        <scheme val="major"/>
      </rPr>
      <t>(*) Preliminary information. Includes estimated gold production from artisanal miners in Madre de Dios, Puno, Piura, and Arequipa.</t>
    </r>
  </si>
  <si>
    <r>
      <t xml:space="preserve">2025
(Ene-Oct)
</t>
    </r>
    <r>
      <rPr>
        <i/>
        <sz val="10"/>
        <color rgb="FF000000"/>
        <rFont val="Calibri Light"/>
        <family val="2"/>
        <scheme val="major"/>
      </rPr>
      <t>(Jan-Oct.)</t>
    </r>
  </si>
  <si>
    <r>
      <t>Oct. /</t>
    </r>
    <r>
      <rPr>
        <i/>
        <sz val="10"/>
        <color rgb="FF000000"/>
        <rFont val="Calibri Light"/>
        <family val="2"/>
        <scheme val="major"/>
      </rPr>
      <t xml:space="preserve"> Oct.</t>
    </r>
  </si>
  <si>
    <r>
      <t xml:space="preserve">Oct. 2024
</t>
    </r>
    <r>
      <rPr>
        <i/>
        <sz val="10"/>
        <color rgb="FF000000"/>
        <rFont val="Calibri Light"/>
        <family val="2"/>
        <scheme val="major"/>
      </rPr>
      <t>(Oct</t>
    </r>
    <r>
      <rPr>
        <i/>
        <sz val="8"/>
        <color rgb="FF000000"/>
        <rFont val="Calibri Light"/>
        <family val="2"/>
        <scheme val="major"/>
      </rPr>
      <t>. 2024)</t>
    </r>
  </si>
  <si>
    <r>
      <t xml:space="preserve">Oct. 2025
</t>
    </r>
    <r>
      <rPr>
        <i/>
        <sz val="8"/>
        <color rgb="FF000000"/>
        <rFont val="Calibri Light"/>
        <family val="2"/>
        <scheme val="major"/>
      </rPr>
      <t>(Oct. 2025)</t>
    </r>
  </si>
  <si>
    <r>
      <t xml:space="preserve">VARIACIÓN INTERANUAL, OCTUBRE / </t>
    </r>
    <r>
      <rPr>
        <i/>
        <sz val="8"/>
        <color rgb="FF000000"/>
        <rFont val="Calibri Light"/>
        <family val="2"/>
        <scheme val="major"/>
      </rPr>
      <t>YEAR-OVER-YEAR VARIATION, OCTOBER</t>
    </r>
  </si>
  <si>
    <r>
      <t xml:space="preserve">Ene-Oct 2024
</t>
    </r>
    <r>
      <rPr>
        <i/>
        <sz val="8"/>
        <color theme="1"/>
        <rFont val="Calibri Light"/>
        <family val="2"/>
        <scheme val="major"/>
      </rPr>
      <t>(Jan-Oct. 2024)</t>
    </r>
  </si>
  <si>
    <r>
      <t xml:space="preserve">Ene-Oct 2025
</t>
    </r>
    <r>
      <rPr>
        <i/>
        <sz val="8"/>
        <color theme="1"/>
        <rFont val="Calibri Light"/>
        <family val="2"/>
        <scheme val="major"/>
      </rPr>
      <t>(Jan-Oct. 2025)</t>
    </r>
  </si>
  <si>
    <r>
      <t xml:space="preserve">Set. 2025
</t>
    </r>
    <r>
      <rPr>
        <i/>
        <sz val="8"/>
        <color rgb="FF000000"/>
        <rFont val="Calibri Light"/>
        <family val="2"/>
        <scheme val="major"/>
      </rPr>
      <t>(Set. 2025)</t>
    </r>
  </si>
  <si>
    <r>
      <t xml:space="preserve">OCTUBRE
</t>
    </r>
    <r>
      <rPr>
        <i/>
        <sz val="10"/>
        <color theme="1"/>
        <rFont val="Calibri Light"/>
        <family val="2"/>
        <scheme val="major"/>
      </rPr>
      <t>October</t>
    </r>
  </si>
  <si>
    <r>
      <t xml:space="preserve">ENERO - OCTUBRE
</t>
    </r>
    <r>
      <rPr>
        <i/>
        <sz val="9"/>
        <color theme="1"/>
        <rFont val="Calibri Light"/>
        <family val="2"/>
        <scheme val="major"/>
      </rPr>
      <t>January -October</t>
    </r>
  </si>
  <si>
    <r>
      <rPr>
        <u/>
        <sz val="10"/>
        <color theme="1"/>
        <rFont val="Calibri Light"/>
        <family val="2"/>
        <scheme val="major"/>
      </rPr>
      <t>Fuente</t>
    </r>
    <r>
      <rPr>
        <sz val="10"/>
        <color theme="1"/>
        <rFont val="Calibri Light"/>
        <family val="2"/>
        <scheme val="major"/>
      </rPr>
      <t>:  Dirección de Gestión Minera, DGM /</t>
    </r>
    <r>
      <rPr>
        <i/>
        <sz val="10"/>
        <color theme="1"/>
        <rFont val="Calibri Light"/>
        <family val="2"/>
        <scheme val="major"/>
      </rPr>
      <t xml:space="preserve"> </t>
    </r>
    <r>
      <rPr>
        <i/>
        <u/>
        <sz val="10"/>
        <color theme="1"/>
        <rFont val="Calibri Light"/>
        <family val="2"/>
        <scheme val="major"/>
      </rPr>
      <t>Source</t>
    </r>
    <r>
      <rPr>
        <i/>
        <sz val="10"/>
        <color theme="1"/>
        <rFont val="Calibri Light"/>
        <family val="2"/>
        <scheme val="major"/>
      </rPr>
      <t>: General Directorate of Mining, DGM.</t>
    </r>
    <r>
      <rPr>
        <sz val="10"/>
        <color theme="1"/>
        <rFont val="Calibri Light"/>
        <family val="2"/>
        <scheme val="major"/>
      </rPr>
      <t xml:space="preserve">
</t>
    </r>
    <r>
      <rPr>
        <u/>
        <sz val="10"/>
        <color theme="1"/>
        <rFont val="Calibri Light"/>
        <family val="2"/>
        <scheme val="major"/>
      </rPr>
      <t>Fecha de consulta</t>
    </r>
    <r>
      <rPr>
        <sz val="10"/>
        <color theme="1"/>
        <rFont val="Calibri Light"/>
        <family val="2"/>
        <scheme val="major"/>
      </rPr>
      <t xml:space="preserve">: 27 de noviembre de 2025. / </t>
    </r>
    <r>
      <rPr>
        <i/>
        <u/>
        <sz val="10"/>
        <color theme="1"/>
        <rFont val="Calibri Light"/>
        <family val="2"/>
        <scheme val="major"/>
      </rPr>
      <t>Date of consultation</t>
    </r>
    <r>
      <rPr>
        <i/>
        <sz val="10"/>
        <color theme="1"/>
        <rFont val="Calibri Light"/>
        <family val="2"/>
        <scheme val="major"/>
      </rPr>
      <t>: November 27, 2025.</t>
    </r>
    <r>
      <rPr>
        <sz val="10"/>
        <color theme="1"/>
        <rFont val="Calibri Light"/>
        <family val="2"/>
        <scheme val="major"/>
      </rPr>
      <t xml:space="preserve">
</t>
    </r>
    <r>
      <rPr>
        <u/>
        <sz val="10"/>
        <color theme="1"/>
        <rFont val="Calibri Light"/>
        <family val="2"/>
        <scheme val="major"/>
      </rPr>
      <t>Elaboración</t>
    </r>
    <r>
      <rPr>
        <sz val="10"/>
        <color theme="1"/>
        <rFont val="Calibri Light"/>
        <family val="2"/>
        <scheme val="major"/>
      </rPr>
      <t xml:space="preserve">: Dirección de Promoción y Sostenibilidad Minera, DGPSM. / </t>
    </r>
    <r>
      <rPr>
        <i/>
        <u/>
        <sz val="10"/>
        <color theme="1"/>
        <rFont val="Calibri Light"/>
        <family val="2"/>
        <scheme val="major"/>
      </rPr>
      <t>Prepared by</t>
    </r>
    <r>
      <rPr>
        <i/>
        <sz val="10"/>
        <color theme="1"/>
        <rFont val="Calibri Light"/>
        <family val="2"/>
        <scheme val="major"/>
      </rPr>
      <t>: General Directorate of Mining Promotion and Sustainability, DGPSM.</t>
    </r>
    <r>
      <rPr>
        <sz val="10"/>
        <color theme="1"/>
        <rFont val="Calibri Light"/>
        <family val="2"/>
        <scheme val="major"/>
      </rPr>
      <t xml:space="preserve">
(*)Incluye producción cuprífera por proceso de flotación (TMF), lixiviación y electro-obtención (TM). / </t>
    </r>
    <r>
      <rPr>
        <i/>
        <sz val="10"/>
        <color theme="1"/>
        <rFont val="Calibri Light"/>
        <family val="2"/>
        <scheme val="major"/>
      </rPr>
      <t>(*) Includes copper production through flotation process (FMT), leaching, and electrowinning (MT).</t>
    </r>
    <r>
      <rPr>
        <sz val="10"/>
        <color theme="1"/>
        <rFont val="Calibri Light"/>
        <family val="2"/>
        <scheme val="major"/>
      </rPr>
      <t xml:space="preserve">
(**) Información preliminar. Incluye producción aurífera estimada de mineros artesanales de Madre de Dios, Puno, Piura y Arequipa. / </t>
    </r>
    <r>
      <rPr>
        <i/>
        <sz val="10"/>
        <color theme="1"/>
        <rFont val="Calibri Light"/>
        <family val="2"/>
        <scheme val="major"/>
      </rPr>
      <t>(**) Preliminary information. Includes estimated gold production from artisanal miners in Madre de Dios, Puno, Piura, and Arequipa.</t>
    </r>
  </si>
  <si>
    <r>
      <t xml:space="preserve">OCTUBRE
</t>
    </r>
    <r>
      <rPr>
        <i/>
        <sz val="8"/>
        <color theme="1"/>
        <rFont val="Calibri Light"/>
        <family val="2"/>
        <scheme val="major"/>
      </rPr>
      <t>October</t>
    </r>
  </si>
  <si>
    <r>
      <t xml:space="preserve">ENERO - OCTUBRE
</t>
    </r>
    <r>
      <rPr>
        <i/>
        <sz val="8"/>
        <color theme="1"/>
        <rFont val="Calibri Light"/>
        <family val="2"/>
        <scheme val="major"/>
      </rPr>
      <t>January -October</t>
    </r>
  </si>
  <si>
    <r>
      <t xml:space="preserve">VARIACIÓN INTERANUAL ACUMULADA ENERO-OCTUBRE / </t>
    </r>
    <r>
      <rPr>
        <sz val="8"/>
        <color rgb="FF000000"/>
        <rFont val="Calibri Light"/>
        <family val="2"/>
        <scheme val="major"/>
      </rPr>
      <t>CUMULATIVE YEAR-OVER-YEAR VARIATION, JANUARY–OCTOBER</t>
    </r>
  </si>
  <si>
    <t>OTROS (2024: 50 titulares mineros, 2025: 47 titulares mineros)</t>
  </si>
  <si>
    <t>OTROS (2024: 264 titulares mineros, 2025: 273 titulares mineros)</t>
  </si>
  <si>
    <t>OTROS (2024: 34 titulares mineros, 2025: 30 titulares mineros)</t>
  </si>
  <si>
    <t>OTROS (2024: 88 titulares mineros, 2025: 81 titulares mineros)</t>
  </si>
  <si>
    <t>OTROS (2024: 33 titulares mineros, 2025: 30 titulares mineros)</t>
  </si>
  <si>
    <r>
      <rPr>
        <u/>
        <sz val="10"/>
        <color theme="1"/>
        <rFont val="Calibri Light"/>
        <family val="2"/>
        <scheme val="major"/>
      </rPr>
      <t>Fuente</t>
    </r>
    <r>
      <rPr>
        <sz val="10"/>
        <color theme="1"/>
        <rFont val="Calibri Light"/>
        <family val="2"/>
        <scheme val="major"/>
      </rPr>
      <t>:  Dirección de Gestión Minera, DGM /</t>
    </r>
    <r>
      <rPr>
        <i/>
        <sz val="10"/>
        <color theme="1"/>
        <rFont val="Calibri Light"/>
        <family val="2"/>
        <scheme val="major"/>
      </rPr>
      <t xml:space="preserve"> </t>
    </r>
    <r>
      <rPr>
        <i/>
        <u/>
        <sz val="10"/>
        <color theme="1"/>
        <rFont val="Calibri Light"/>
        <family val="2"/>
        <scheme val="major"/>
      </rPr>
      <t>Source</t>
    </r>
    <r>
      <rPr>
        <i/>
        <sz val="10"/>
        <color theme="1"/>
        <rFont val="Calibri Light"/>
        <family val="2"/>
        <scheme val="major"/>
      </rPr>
      <t>: General Directorate of Mining, DGM.</t>
    </r>
    <r>
      <rPr>
        <sz val="10"/>
        <color theme="1"/>
        <rFont val="Calibri Light"/>
        <family val="2"/>
        <scheme val="major"/>
      </rPr>
      <t xml:space="preserve">
</t>
    </r>
    <r>
      <rPr>
        <u/>
        <sz val="10"/>
        <color theme="1"/>
        <rFont val="Calibri Light"/>
        <family val="2"/>
        <scheme val="major"/>
      </rPr>
      <t>Fecha de consulta</t>
    </r>
    <r>
      <rPr>
        <sz val="10"/>
        <color theme="1"/>
        <rFont val="Calibri Light"/>
        <family val="2"/>
        <scheme val="major"/>
      </rPr>
      <t>: 27 de noviembre de 2025. /</t>
    </r>
    <r>
      <rPr>
        <i/>
        <sz val="10"/>
        <color theme="1"/>
        <rFont val="Calibri Light"/>
        <family val="2"/>
        <scheme val="major"/>
      </rPr>
      <t xml:space="preserve"> </t>
    </r>
    <r>
      <rPr>
        <i/>
        <u/>
        <sz val="10"/>
        <color theme="1"/>
        <rFont val="Calibri Light"/>
        <family val="2"/>
        <scheme val="major"/>
      </rPr>
      <t>Date of consultation</t>
    </r>
    <r>
      <rPr>
        <i/>
        <sz val="10"/>
        <color theme="1"/>
        <rFont val="Calibri Light"/>
        <family val="2"/>
        <scheme val="major"/>
      </rPr>
      <t>: November 27, 2025.</t>
    </r>
    <r>
      <rPr>
        <sz val="10"/>
        <color theme="1"/>
        <rFont val="Calibri Light"/>
        <family val="2"/>
        <scheme val="major"/>
      </rPr>
      <t xml:space="preserve">
</t>
    </r>
    <r>
      <rPr>
        <u/>
        <sz val="10"/>
        <color theme="1"/>
        <rFont val="Calibri Light"/>
        <family val="2"/>
        <scheme val="major"/>
      </rPr>
      <t>Elaboración</t>
    </r>
    <r>
      <rPr>
        <sz val="10"/>
        <color theme="1"/>
        <rFont val="Calibri Light"/>
        <family val="2"/>
        <scheme val="major"/>
      </rPr>
      <t>: Dirección de Promoción y Sostenibilidad Minera, DGPSM. /</t>
    </r>
    <r>
      <rPr>
        <i/>
        <sz val="10"/>
        <color theme="1"/>
        <rFont val="Calibri Light"/>
        <family val="2"/>
        <scheme val="major"/>
      </rPr>
      <t xml:space="preserve"> </t>
    </r>
    <r>
      <rPr>
        <i/>
        <u/>
        <sz val="10"/>
        <color theme="1"/>
        <rFont val="Calibri Light"/>
        <family val="2"/>
        <scheme val="major"/>
      </rPr>
      <t>Prepared by</t>
    </r>
    <r>
      <rPr>
        <i/>
        <sz val="10"/>
        <color theme="1"/>
        <rFont val="Calibri Light"/>
        <family val="2"/>
        <scheme val="major"/>
      </rPr>
      <t>: General Directorate of Mining Promotion and Sustainability, DGPSM.</t>
    </r>
    <r>
      <rPr>
        <sz val="10"/>
        <color theme="1"/>
        <rFont val="Calibri Light"/>
        <family val="2"/>
        <scheme val="major"/>
      </rPr>
      <t xml:space="preserve">
(*) Información preliminar. Incluye producción aurífera estimada de mineros artesanales de Madre de Dios, Puno, Piura y Arequipa. /</t>
    </r>
    <r>
      <rPr>
        <i/>
        <sz val="10"/>
        <color theme="1"/>
        <rFont val="Calibri Light"/>
        <family val="2"/>
        <scheme val="major"/>
      </rPr>
      <t xml:space="preserve"> (*) Preliminary information. Includes estimated gold production from artisanal miners in Madre de Dios, Puno, Piura, and Arequipa.</t>
    </r>
    <r>
      <rPr>
        <sz val="10"/>
        <color theme="1"/>
        <rFont val="Calibri Light"/>
        <family val="2"/>
        <scheme val="major"/>
      </rPr>
      <t xml:space="preserve">
(**) Contempla la producción metálica de molibdeno de los departamentos de Apurímac, Cusco y Junín (el titular Minera Chinalco Perú S.A. es el único que reporta molibdeno como subproducto dentro del proceso de flotación en planta para la obtención de cobre como su producto principal. Es importante mencionar que, para efectos estadísticos se está contemplando tanto la producción de producto principal como subproducto; no obstante, se precisa que Minera Chinalco Perú S.A no produce ni comercializa molibdeno). / </t>
    </r>
    <r>
      <rPr>
        <i/>
        <sz val="10"/>
        <color theme="1"/>
        <rFont val="Calibri Light"/>
        <family val="2"/>
        <scheme val="major"/>
      </rPr>
      <t>It considers the metallic molybdenum production from the departments of Apurímac, Cusco, and Junín (the titleholder Minera Chinalco Perú S.A. is the only company reporting molybdenum as a byproduct within the flotation plant process for obtaining copper as its main product. It is important to mention that, for statistical purposes, both main product and byproduct production are taken into account; however, it should be noted that Minera Chinalco Perú S.A. neither produces nor markets molybdenum).</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</si>
</sst>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 #,##0.00_-;_-* &quot;-&quot;??_-;_-@_-"/>
    <numFmt numFmtId="164" formatCode="#,##0.0"/>
    <numFmt numFmtId="165" formatCode="_-* #,##0_-;\-* #,##0_-;_-* &quot;-&quot;??_-;_-@_-"/>
    <numFmt numFmtId="166" formatCode="0.0%"/>
    <numFmt numFmtId="167" formatCode="_ * #,##0.00_ ;_ * \-#,##0.00_ ;_ * &quot;-&quot;??_ ;_ @_ "/>
    <numFmt numFmtId="168" formatCode="_ * #,##0_ ;_ * \-#,##0_ ;_ * &quot;-&quot;??_ ;_ @_ "/>
    <numFmt numFmtId="169" formatCode="0.000%"/>
    <numFmt numFmtId="170" formatCode="0.0000%"/>
  </numFmts>
  <fonts count="38" x14ac:knownFonts="1">
    <font>
      <sz val="11"/>
      <color theme="1"/>
      <name val="Calibri"/>
      <family val="2"/>
      <scheme val="minor"/>
    </font>
    <font>
      <sz val="11"/>
      <color theme="1"/>
      <name val="Calibri"/>
      <family val="2"/>
      <scheme val="minor"/>
    </font>
    <font>
      <sz val="11"/>
      <color rgb="FF000000"/>
      <name val="Calibri"/>
      <family val="2"/>
    </font>
    <font>
      <b/>
      <sz val="12"/>
      <color rgb="FF000000"/>
      <name val="Calibri Light"/>
      <family val="2"/>
      <scheme val="major"/>
    </font>
    <font>
      <sz val="10"/>
      <color theme="1"/>
      <name val="Calibri Light"/>
      <family val="2"/>
      <scheme val="major"/>
    </font>
    <font>
      <i/>
      <sz val="9"/>
      <color rgb="FF000000"/>
      <name val="Calibri Light"/>
      <family val="2"/>
      <scheme val="major"/>
    </font>
    <font>
      <b/>
      <sz val="10"/>
      <color rgb="FF000000"/>
      <name val="Calibri Light"/>
      <family val="2"/>
      <scheme val="major"/>
    </font>
    <font>
      <sz val="10"/>
      <color rgb="FF000000"/>
      <name val="Calibri Light"/>
      <family val="2"/>
      <scheme val="major"/>
    </font>
    <font>
      <b/>
      <sz val="16"/>
      <color rgb="FF000000"/>
      <name val="Calibri Light"/>
      <family val="2"/>
      <scheme val="major"/>
    </font>
    <font>
      <sz val="10"/>
      <color theme="0"/>
      <name val="Calibri Light"/>
      <family val="2"/>
      <scheme val="major"/>
    </font>
    <font>
      <i/>
      <sz val="9"/>
      <color theme="1"/>
      <name val="Calibri Light"/>
      <family val="2"/>
      <scheme val="major"/>
    </font>
    <font>
      <b/>
      <sz val="10"/>
      <color theme="1"/>
      <name val="Calibri Light"/>
      <family val="2"/>
      <scheme val="major"/>
    </font>
    <font>
      <i/>
      <sz val="10"/>
      <color theme="1"/>
      <name val="Calibri Light"/>
      <family val="2"/>
      <scheme val="major"/>
    </font>
    <font>
      <i/>
      <sz val="8"/>
      <color rgb="FF000000"/>
      <name val="Calibri Light"/>
      <family val="2"/>
      <scheme val="major"/>
    </font>
    <font>
      <i/>
      <sz val="10"/>
      <color rgb="FF000000"/>
      <name val="Calibri Light"/>
      <family val="2"/>
      <scheme val="major"/>
    </font>
    <font>
      <sz val="10"/>
      <name val="Calibri Light"/>
      <family val="2"/>
      <scheme val="major"/>
    </font>
    <font>
      <b/>
      <sz val="10"/>
      <name val="Calibri Light"/>
      <family val="2"/>
      <scheme val="major"/>
    </font>
    <font>
      <sz val="8"/>
      <color rgb="FF000000"/>
      <name val="Calibri Light"/>
      <family val="2"/>
      <scheme val="major"/>
    </font>
    <font>
      <sz val="9"/>
      <color theme="1"/>
      <name val="Calibri"/>
      <family val="2"/>
      <scheme val="minor"/>
    </font>
    <font>
      <i/>
      <sz val="8"/>
      <color theme="1"/>
      <name val="Calibri Light"/>
      <family val="2"/>
      <scheme val="major"/>
    </font>
    <font>
      <u/>
      <sz val="10"/>
      <color rgb="FF000000"/>
      <name val="Calibri Light"/>
      <family val="2"/>
      <scheme val="major"/>
    </font>
    <font>
      <i/>
      <u/>
      <sz val="10"/>
      <color rgb="FF000000"/>
      <name val="Calibri Light"/>
      <family val="2"/>
      <scheme val="major"/>
    </font>
    <font>
      <sz val="11"/>
      <color theme="0"/>
      <name val="Calibri Light"/>
      <family val="2"/>
      <scheme val="major"/>
    </font>
    <font>
      <sz val="11"/>
      <color theme="1"/>
      <name val="Calibri Light"/>
      <family val="2"/>
      <scheme val="major"/>
    </font>
    <font>
      <b/>
      <sz val="10"/>
      <color indexed="8"/>
      <name val="Calibri Light"/>
      <family val="2"/>
      <scheme val="major"/>
    </font>
    <font>
      <u/>
      <sz val="10"/>
      <color theme="1"/>
      <name val="Calibri Light"/>
      <family val="2"/>
      <scheme val="major"/>
    </font>
    <font>
      <i/>
      <u/>
      <sz val="10"/>
      <color theme="1"/>
      <name val="Calibri Light"/>
      <family val="2"/>
      <scheme val="major"/>
    </font>
    <font>
      <b/>
      <sz val="12"/>
      <color theme="1"/>
      <name val="Calibri Light"/>
      <family val="2"/>
      <scheme val="major"/>
    </font>
    <font>
      <b/>
      <i/>
      <sz val="10"/>
      <color theme="0" tint="-0.499984740745262"/>
      <name val="Calibri Light"/>
      <family val="2"/>
      <scheme val="major"/>
    </font>
    <font>
      <b/>
      <sz val="11"/>
      <color theme="1"/>
      <name val="Calibri Light"/>
      <family val="2"/>
      <scheme val="major"/>
    </font>
    <font>
      <b/>
      <sz val="12"/>
      <name val="Calibri Light"/>
      <family val="2"/>
      <scheme val="major"/>
    </font>
    <font>
      <i/>
      <sz val="9"/>
      <name val="Calibri Light"/>
      <family val="2"/>
      <scheme val="major"/>
    </font>
    <font>
      <i/>
      <sz val="8"/>
      <name val="Calibri Light"/>
      <family val="2"/>
      <scheme val="major"/>
    </font>
    <font>
      <sz val="8"/>
      <name val="Calibri Light"/>
      <family val="2"/>
      <scheme val="major"/>
    </font>
    <font>
      <sz val="10"/>
      <color theme="1"/>
      <name val="Calibri"/>
      <family val="2"/>
      <scheme val="minor"/>
    </font>
    <font>
      <sz val="10"/>
      <name val="Calibri"/>
      <family val="2"/>
    </font>
    <font>
      <sz val="10"/>
      <color rgb="FF000000"/>
      <name val="Calibri"/>
      <family val="2"/>
    </font>
    <font>
      <sz val="10"/>
      <name val="Calibri"/>
      <family val="2"/>
      <scheme val="minor"/>
    </font>
  </fonts>
  <fills count="10">
    <fill>
      <patternFill patternType="none"/>
    </fill>
    <fill>
      <patternFill patternType="gray125"/>
    </fill>
    <fill>
      <patternFill patternType="solid">
        <fgColor rgb="FFFFFFFF"/>
        <bgColor rgb="FFFFFFFF"/>
      </patternFill>
    </fill>
    <fill>
      <patternFill patternType="solid">
        <fgColor theme="0"/>
        <bgColor indexed="64"/>
      </patternFill>
    </fill>
    <fill>
      <patternFill patternType="solid">
        <fgColor theme="2" tint="-9.9978637043366805E-2"/>
        <bgColor indexed="64"/>
      </patternFill>
    </fill>
    <fill>
      <patternFill patternType="solid">
        <fgColor rgb="FFF2F2F2"/>
        <bgColor rgb="FFFFFFFF"/>
      </patternFill>
    </fill>
    <fill>
      <patternFill patternType="solid">
        <fgColor rgb="FFD9D9D9"/>
        <bgColor rgb="FFFFFFFF"/>
      </patternFill>
    </fill>
    <fill>
      <patternFill patternType="solid">
        <fgColor theme="0" tint="-0.14999847407452621"/>
        <bgColor indexed="64"/>
      </patternFill>
    </fill>
    <fill>
      <patternFill patternType="solid">
        <fgColor theme="0" tint="-0.14999847407452621"/>
        <bgColor rgb="FFFFFFFF"/>
      </patternFill>
    </fill>
    <fill>
      <patternFill patternType="solid">
        <fgColor rgb="FFD0CECE"/>
        <bgColor indexed="64"/>
      </patternFill>
    </fill>
  </fills>
  <borders count="18">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medium">
        <color indexed="64"/>
      </bottom>
      <diagonal/>
    </border>
    <border>
      <left style="thin">
        <color indexed="64"/>
      </left>
      <right/>
      <top/>
      <bottom style="medium">
        <color indexed="64"/>
      </bottom>
      <diagonal/>
    </border>
  </borders>
  <cellStyleXfs count="6">
    <xf numFmtId="0" fontId="0" fillId="0" borderId="0"/>
    <xf numFmtId="43" fontId="1" fillId="0" borderId="0" applyFont="0" applyFill="0" applyBorder="0" applyAlignment="0" applyProtection="0"/>
    <xf numFmtId="9" fontId="1" fillId="0" borderId="0" applyFont="0" applyFill="0" applyBorder="0" applyAlignment="0" applyProtection="0"/>
    <xf numFmtId="0" fontId="2" fillId="0" borderId="0"/>
    <xf numFmtId="0" fontId="18" fillId="3" borderId="0">
      <alignment horizontal="left"/>
    </xf>
    <xf numFmtId="167" fontId="1" fillId="0" borderId="0" applyFont="0" applyFill="0" applyBorder="0" applyAlignment="0" applyProtection="0"/>
  </cellStyleXfs>
  <cellXfs count="297">
    <xf numFmtId="0" fontId="0" fillId="0" borderId="0" xfId="0"/>
    <xf numFmtId="0" fontId="3" fillId="2" borderId="0" xfId="3" applyFont="1" applyFill="1" applyAlignment="1">
      <alignment vertical="center"/>
    </xf>
    <xf numFmtId="0" fontId="4" fillId="3" borderId="0" xfId="0" applyFont="1" applyFill="1" applyAlignment="1">
      <alignment vertical="center"/>
    </xf>
    <xf numFmtId="0" fontId="6" fillId="2" borderId="0" xfId="3" applyFont="1" applyFill="1" applyAlignment="1">
      <alignment horizontal="center" vertical="center"/>
    </xf>
    <xf numFmtId="0" fontId="6" fillId="2" borderId="0" xfId="3" applyFont="1" applyFill="1" applyAlignment="1">
      <alignment vertical="center"/>
    </xf>
    <xf numFmtId="0" fontId="7" fillId="2" borderId="0" xfId="3" applyFont="1" applyFill="1" applyAlignment="1">
      <alignment horizontal="center" vertical="center"/>
    </xf>
    <xf numFmtId="0" fontId="7" fillId="0" borderId="0" xfId="3" applyFont="1" applyAlignment="1">
      <alignment horizontal="center" vertical="center"/>
    </xf>
    <xf numFmtId="0" fontId="8" fillId="0" borderId="0" xfId="3" applyFont="1" applyAlignment="1">
      <alignment horizontal="center" vertical="center"/>
    </xf>
    <xf numFmtId="0" fontId="9" fillId="3" borderId="0" xfId="0" applyFont="1" applyFill="1" applyAlignment="1">
      <alignment vertical="center"/>
    </xf>
    <xf numFmtId="0" fontId="3" fillId="2" borderId="0" xfId="3" applyFont="1" applyFill="1" applyAlignment="1">
      <alignment horizontal="left" vertical="center" wrapText="1"/>
    </xf>
    <xf numFmtId="0" fontId="10" fillId="0" borderId="0" xfId="0" applyFont="1" applyAlignment="1">
      <alignment vertical="center"/>
    </xf>
    <xf numFmtId="0" fontId="11" fillId="4" borderId="1" xfId="3" applyFont="1" applyFill="1" applyBorder="1" applyAlignment="1">
      <alignment horizontal="center" vertical="center" wrapText="1"/>
    </xf>
    <xf numFmtId="0" fontId="11" fillId="4" borderId="2" xfId="3" applyFont="1" applyFill="1" applyBorder="1" applyAlignment="1">
      <alignment horizontal="center" vertical="center" wrapText="1"/>
    </xf>
    <xf numFmtId="0" fontId="11" fillId="4" borderId="3" xfId="3" applyFont="1" applyFill="1" applyBorder="1" applyAlignment="1">
      <alignment horizontal="center" vertical="center" wrapText="1"/>
    </xf>
    <xf numFmtId="0" fontId="9" fillId="3" borderId="0" xfId="0" applyFont="1" applyFill="1" applyAlignment="1">
      <alignment horizontal="center" vertical="center" wrapText="1"/>
    </xf>
    <xf numFmtId="0" fontId="4" fillId="3" borderId="0" xfId="0" applyFont="1" applyFill="1" applyAlignment="1">
      <alignment horizontal="center" vertical="center" wrapText="1"/>
    </xf>
    <xf numFmtId="0" fontId="7" fillId="0" borderId="4" xfId="3" applyFont="1" applyBorder="1" applyAlignment="1">
      <alignment horizontal="center" vertical="center"/>
    </xf>
    <xf numFmtId="0" fontId="7" fillId="0" borderId="5" xfId="3" applyFont="1" applyBorder="1" applyAlignment="1">
      <alignment horizontal="center" vertical="center" wrapText="1"/>
    </xf>
    <xf numFmtId="0" fontId="7" fillId="0" borderId="6" xfId="3" applyFont="1" applyBorder="1" applyAlignment="1">
      <alignment horizontal="center" vertical="center" wrapText="1"/>
    </xf>
    <xf numFmtId="0" fontId="7" fillId="0" borderId="7" xfId="3" applyFont="1" applyBorder="1" applyAlignment="1">
      <alignment horizontal="center" vertical="center"/>
    </xf>
    <xf numFmtId="3" fontId="7" fillId="0" borderId="0" xfId="3" applyNumberFormat="1" applyFont="1" applyAlignment="1">
      <alignment horizontal="center" vertical="center"/>
    </xf>
    <xf numFmtId="3" fontId="7" fillId="0" borderId="8" xfId="3" applyNumberFormat="1" applyFont="1" applyBorder="1" applyAlignment="1">
      <alignment horizontal="center" vertical="center"/>
    </xf>
    <xf numFmtId="3" fontId="9" fillId="0" borderId="0" xfId="3" applyNumberFormat="1" applyFont="1" applyAlignment="1">
      <alignment horizontal="center" vertical="center"/>
    </xf>
    <xf numFmtId="43" fontId="4" fillId="3" borderId="0" xfId="1" applyFont="1" applyFill="1" applyAlignment="1">
      <alignment vertical="center"/>
    </xf>
    <xf numFmtId="3" fontId="4" fillId="3" borderId="0" xfId="0" applyNumberFormat="1" applyFont="1" applyFill="1" applyAlignment="1">
      <alignment vertical="center"/>
    </xf>
    <xf numFmtId="0" fontId="6" fillId="4" borderId="9" xfId="3" applyFont="1" applyFill="1" applyBorder="1" applyAlignment="1">
      <alignment horizontal="center" vertical="center" wrapText="1"/>
    </xf>
    <xf numFmtId="3" fontId="6" fillId="4" borderId="10" xfId="3" applyNumberFormat="1" applyFont="1" applyFill="1" applyBorder="1" applyAlignment="1">
      <alignment horizontal="center" vertical="center"/>
    </xf>
    <xf numFmtId="2" fontId="7" fillId="0" borderId="1" xfId="3" applyNumberFormat="1" applyFont="1" applyBorder="1" applyAlignment="1">
      <alignment horizontal="center" vertical="center" wrapText="1"/>
    </xf>
    <xf numFmtId="3" fontId="9" fillId="2" borderId="0" xfId="3" applyNumberFormat="1" applyFont="1" applyFill="1" applyAlignment="1">
      <alignment horizontal="center" vertical="center"/>
    </xf>
    <xf numFmtId="165" fontId="4" fillId="3" borderId="0" xfId="1" applyNumberFormat="1" applyFont="1" applyFill="1" applyAlignment="1">
      <alignment vertical="center"/>
    </xf>
    <xf numFmtId="2" fontId="7" fillId="0" borderId="7" xfId="3" applyNumberFormat="1" applyFont="1" applyBorder="1" applyAlignment="1">
      <alignment horizontal="center" vertical="center"/>
    </xf>
    <xf numFmtId="2" fontId="7" fillId="2" borderId="7" xfId="3" applyNumberFormat="1" applyFont="1" applyFill="1" applyBorder="1" applyAlignment="1">
      <alignment horizontal="center" vertical="center"/>
    </xf>
    <xf numFmtId="3" fontId="7" fillId="2" borderId="0" xfId="3" applyNumberFormat="1" applyFont="1" applyFill="1" applyAlignment="1">
      <alignment horizontal="center" vertical="center"/>
    </xf>
    <xf numFmtId="164" fontId="7" fillId="2" borderId="8" xfId="3" applyNumberFormat="1" applyFont="1" applyFill="1" applyBorder="1" applyAlignment="1">
      <alignment horizontal="center" vertical="center"/>
    </xf>
    <xf numFmtId="2" fontId="7" fillId="2" borderId="7" xfId="3" applyNumberFormat="1" applyFont="1" applyFill="1" applyBorder="1" applyAlignment="1">
      <alignment horizontal="left" vertical="center"/>
    </xf>
    <xf numFmtId="0" fontId="6" fillId="5" borderId="9" xfId="3" applyFont="1" applyFill="1" applyBorder="1" applyAlignment="1">
      <alignment horizontal="left" vertical="center"/>
    </xf>
    <xf numFmtId="0" fontId="7" fillId="5" borderId="10" xfId="3" applyFont="1" applyFill="1" applyBorder="1" applyAlignment="1">
      <alignment horizontal="center" vertical="center"/>
    </xf>
    <xf numFmtId="3" fontId="7" fillId="5" borderId="10" xfId="3" applyNumberFormat="1" applyFont="1" applyFill="1" applyBorder="1" applyAlignment="1">
      <alignment horizontal="center" vertical="center"/>
    </xf>
    <xf numFmtId="0" fontId="7" fillId="5" borderId="11" xfId="3" applyFont="1" applyFill="1" applyBorder="1" applyAlignment="1">
      <alignment horizontal="center" vertical="center"/>
    </xf>
    <xf numFmtId="0" fontId="4" fillId="3" borderId="0" xfId="0" applyFont="1" applyFill="1" applyAlignment="1">
      <alignment horizontal="left" vertical="center"/>
    </xf>
    <xf numFmtId="0" fontId="7" fillId="2" borderId="7" xfId="3" applyFont="1" applyFill="1" applyBorder="1" applyAlignment="1">
      <alignment horizontal="center" vertical="center" wrapText="1"/>
    </xf>
    <xf numFmtId="0" fontId="7" fillId="2" borderId="4" xfId="3" applyFont="1" applyFill="1" applyBorder="1" applyAlignment="1">
      <alignment horizontal="center" vertical="center" wrapText="1"/>
    </xf>
    <xf numFmtId="3" fontId="9" fillId="3" borderId="0" xfId="0" applyNumberFormat="1" applyFont="1" applyFill="1" applyAlignment="1">
      <alignment vertical="center"/>
    </xf>
    <xf numFmtId="0" fontId="6" fillId="6" borderId="9" xfId="3" applyFont="1" applyFill="1" applyBorder="1" applyAlignment="1">
      <alignment horizontal="center" vertical="center"/>
    </xf>
    <xf numFmtId="166" fontId="6" fillId="6" borderId="10" xfId="3" applyNumberFormat="1" applyFont="1" applyFill="1" applyBorder="1" applyAlignment="1">
      <alignment horizontal="center" vertical="center"/>
    </xf>
    <xf numFmtId="166" fontId="16" fillId="6" borderId="10" xfId="3" applyNumberFormat="1" applyFont="1" applyFill="1" applyBorder="1" applyAlignment="1">
      <alignment horizontal="center" vertical="center"/>
    </xf>
    <xf numFmtId="166" fontId="6" fillId="6" borderId="11" xfId="3" applyNumberFormat="1" applyFont="1" applyFill="1" applyBorder="1" applyAlignment="1">
      <alignment horizontal="center" vertical="center"/>
    </xf>
    <xf numFmtId="0" fontId="4" fillId="3" borderId="7" xfId="4" applyFont="1" applyBorder="1" applyAlignment="1">
      <alignment horizontal="center" vertical="center" wrapText="1"/>
    </xf>
    <xf numFmtId="0" fontId="16" fillId="7" borderId="9" xfId="4" applyFont="1" applyFill="1" applyBorder="1" applyAlignment="1">
      <alignment horizontal="center" vertical="center"/>
    </xf>
    <xf numFmtId="166" fontId="16" fillId="8" borderId="10" xfId="3" applyNumberFormat="1" applyFont="1" applyFill="1" applyBorder="1" applyAlignment="1">
      <alignment horizontal="center" vertical="center"/>
    </xf>
    <xf numFmtId="166" fontId="6" fillId="8" borderId="10" xfId="3" applyNumberFormat="1" applyFont="1" applyFill="1" applyBorder="1" applyAlignment="1">
      <alignment horizontal="center" vertical="center"/>
    </xf>
    <xf numFmtId="166" fontId="6" fillId="8" borderId="11" xfId="3" applyNumberFormat="1" applyFont="1" applyFill="1" applyBorder="1" applyAlignment="1">
      <alignment horizontal="center" vertical="center"/>
    </xf>
    <xf numFmtId="3" fontId="7" fillId="2" borderId="7" xfId="3" applyNumberFormat="1" applyFont="1" applyFill="1" applyBorder="1" applyAlignment="1">
      <alignment horizontal="center" vertical="center" wrapText="1"/>
    </xf>
    <xf numFmtId="3" fontId="15" fillId="3" borderId="0" xfId="4" applyNumberFormat="1" applyFont="1" applyAlignment="1">
      <alignment horizontal="center" vertical="center"/>
    </xf>
    <xf numFmtId="3" fontId="7" fillId="2" borderId="4" xfId="3" applyNumberFormat="1" applyFont="1" applyFill="1" applyBorder="1" applyAlignment="1">
      <alignment horizontal="center" vertical="center" wrapText="1"/>
    </xf>
    <xf numFmtId="0" fontId="6" fillId="8" borderId="9" xfId="3" applyFont="1" applyFill="1" applyBorder="1" applyAlignment="1">
      <alignment horizontal="center" vertical="center"/>
    </xf>
    <xf numFmtId="0" fontId="6" fillId="2" borderId="1" xfId="3" applyFont="1" applyFill="1" applyBorder="1" applyAlignment="1">
      <alignment horizontal="left" vertical="center"/>
    </xf>
    <xf numFmtId="10" fontId="6" fillId="2" borderId="2" xfId="3" applyNumberFormat="1" applyFont="1" applyFill="1" applyBorder="1" applyAlignment="1">
      <alignment horizontal="center" vertical="center"/>
    </xf>
    <xf numFmtId="10" fontId="16" fillId="2" borderId="2" xfId="3" applyNumberFormat="1" applyFont="1" applyFill="1" applyBorder="1" applyAlignment="1">
      <alignment horizontal="center" vertical="center"/>
    </xf>
    <xf numFmtId="10" fontId="6" fillId="2" borderId="3" xfId="3" applyNumberFormat="1" applyFont="1" applyFill="1" applyBorder="1" applyAlignment="1">
      <alignment horizontal="center" vertical="center"/>
    </xf>
    <xf numFmtId="0" fontId="22" fillId="0" borderId="0" xfId="0" applyFont="1" applyAlignment="1">
      <alignment vertical="center"/>
    </xf>
    <xf numFmtId="0" fontId="23" fillId="0" borderId="0" xfId="0" applyFont="1" applyAlignment="1">
      <alignment vertical="center"/>
    </xf>
    <xf numFmtId="0" fontId="4" fillId="3" borderId="5" xfId="0" applyFont="1" applyFill="1" applyBorder="1" applyAlignment="1">
      <alignment vertical="center"/>
    </xf>
    <xf numFmtId="10" fontId="23" fillId="0" borderId="0" xfId="0" applyNumberFormat="1" applyFont="1" applyAlignment="1">
      <alignment horizontal="center" vertical="center"/>
    </xf>
    <xf numFmtId="0" fontId="23" fillId="0" borderId="0" xfId="0" applyFont="1" applyAlignment="1">
      <alignment horizontal="center" vertical="center"/>
    </xf>
    <xf numFmtId="0" fontId="27" fillId="3" borderId="0" xfId="0" applyFont="1" applyFill="1" applyAlignment="1">
      <alignment horizontal="left" vertical="center"/>
    </xf>
    <xf numFmtId="168" fontId="4" fillId="3" borderId="0" xfId="5" applyNumberFormat="1" applyFont="1" applyFill="1" applyAlignment="1">
      <alignment horizontal="center" vertical="center"/>
    </xf>
    <xf numFmtId="10" fontId="4" fillId="3" borderId="0" xfId="2" applyNumberFormat="1" applyFont="1" applyFill="1" applyAlignment="1">
      <alignment horizontal="center" vertical="center"/>
    </xf>
    <xf numFmtId="0" fontId="10" fillId="3" borderId="0" xfId="4" applyFont="1" applyAlignment="1">
      <alignment horizontal="left" vertical="center"/>
    </xf>
    <xf numFmtId="168" fontId="28" fillId="3" borderId="0" xfId="5" applyNumberFormat="1" applyFont="1" applyFill="1" applyAlignment="1">
      <alignment horizontal="center" vertical="center"/>
    </xf>
    <xf numFmtId="10" fontId="28" fillId="3" borderId="0" xfId="2" applyNumberFormat="1" applyFont="1" applyFill="1" applyAlignment="1">
      <alignment horizontal="center" vertical="center"/>
    </xf>
    <xf numFmtId="0" fontId="4" fillId="3" borderId="0" xfId="4" applyFont="1" applyAlignment="1">
      <alignment horizontal="left" vertical="center"/>
    </xf>
    <xf numFmtId="0" fontId="11" fillId="4" borderId="12" xfId="4" applyFont="1" applyFill="1" applyBorder="1" applyAlignment="1">
      <alignment horizontal="left" vertical="center" wrapText="1"/>
    </xf>
    <xf numFmtId="0" fontId="0" fillId="0" borderId="0" xfId="0" applyAlignment="1">
      <alignment vertical="center"/>
    </xf>
    <xf numFmtId="0" fontId="23" fillId="4" borderId="12" xfId="0" applyFont="1" applyFill="1" applyBorder="1" applyAlignment="1">
      <alignment vertical="center"/>
    </xf>
    <xf numFmtId="0" fontId="4" fillId="0" borderId="14" xfId="4" applyFont="1" applyFill="1" applyBorder="1" applyAlignment="1">
      <alignment horizontal="left" vertical="center"/>
    </xf>
    <xf numFmtId="0" fontId="15" fillId="0" borderId="15" xfId="4" applyFont="1" applyFill="1" applyBorder="1" applyAlignment="1">
      <alignment horizontal="left" vertical="center"/>
    </xf>
    <xf numFmtId="0" fontId="29" fillId="4" borderId="12" xfId="0" applyFont="1" applyFill="1" applyBorder="1" applyAlignment="1">
      <alignment vertical="center"/>
    </xf>
    <xf numFmtId="0" fontId="4" fillId="0" borderId="15" xfId="4" applyFont="1" applyFill="1" applyBorder="1" applyAlignment="1">
      <alignment horizontal="left" vertical="center"/>
    </xf>
    <xf numFmtId="0" fontId="4" fillId="0" borderId="13" xfId="4" applyFont="1" applyFill="1" applyBorder="1" applyAlignment="1">
      <alignment horizontal="left" vertical="center"/>
    </xf>
    <xf numFmtId="0" fontId="29" fillId="9" borderId="12" xfId="0" applyFont="1" applyFill="1" applyBorder="1" applyAlignment="1">
      <alignment vertical="center"/>
    </xf>
    <xf numFmtId="0" fontId="5" fillId="2" borderId="0" xfId="3" applyFont="1" applyFill="1" applyAlignment="1">
      <alignment vertical="center"/>
    </xf>
    <xf numFmtId="0" fontId="30" fillId="3" borderId="0" xfId="0" applyFont="1" applyFill="1" applyAlignment="1">
      <alignment horizontal="left" vertical="center"/>
    </xf>
    <xf numFmtId="166" fontId="15" fillId="3" borderId="0" xfId="2" applyNumberFormat="1" applyFont="1" applyFill="1" applyAlignment="1">
      <alignment horizontal="center" vertical="center"/>
    </xf>
    <xf numFmtId="0" fontId="31" fillId="3" borderId="0" xfId="4" applyFont="1" applyAlignment="1">
      <alignment horizontal="left" vertical="center"/>
    </xf>
    <xf numFmtId="168" fontId="15" fillId="3" borderId="0" xfId="5" applyNumberFormat="1" applyFont="1" applyFill="1" applyAlignment="1">
      <alignment horizontal="center" vertical="center"/>
    </xf>
    <xf numFmtId="0" fontId="9" fillId="3" borderId="0" xfId="4" applyFont="1" applyAlignment="1">
      <alignment horizontal="left" vertical="center"/>
    </xf>
    <xf numFmtId="0" fontId="11" fillId="4" borderId="9" xfId="4" applyFont="1" applyFill="1" applyBorder="1" applyAlignment="1">
      <alignment horizontal="left" vertical="center" wrapText="1"/>
    </xf>
    <xf numFmtId="0" fontId="16" fillId="4" borderId="12" xfId="4" applyFont="1" applyFill="1" applyBorder="1" applyAlignment="1">
      <alignment horizontal="left" vertical="center"/>
    </xf>
    <xf numFmtId="0" fontId="15" fillId="3" borderId="14" xfId="4" applyFont="1" applyBorder="1" applyAlignment="1">
      <alignment horizontal="left" vertical="center"/>
    </xf>
    <xf numFmtId="0" fontId="15" fillId="0" borderId="14" xfId="5" applyNumberFormat="1" applyFont="1" applyFill="1" applyBorder="1" applyAlignment="1">
      <alignment horizontal="left" vertical="center"/>
    </xf>
    <xf numFmtId="0" fontId="15" fillId="0" borderId="14" xfId="4" applyFont="1" applyFill="1" applyBorder="1" applyAlignment="1">
      <alignment horizontal="left" vertical="center"/>
    </xf>
    <xf numFmtId="0" fontId="15" fillId="3" borderId="13" xfId="4" applyFont="1" applyBorder="1" applyAlignment="1">
      <alignment horizontal="left" vertical="center"/>
    </xf>
    <xf numFmtId="0" fontId="15" fillId="3" borderId="15" xfId="4" applyFont="1" applyBorder="1" applyAlignment="1">
      <alignment horizontal="left" vertical="center"/>
    </xf>
    <xf numFmtId="0" fontId="15" fillId="0" borderId="12" xfId="4" applyFont="1" applyFill="1" applyBorder="1" applyAlignment="1">
      <alignment horizontal="left" vertical="center"/>
    </xf>
    <xf numFmtId="0" fontId="4" fillId="0" borderId="9" xfId="4" applyFont="1" applyFill="1" applyBorder="1" applyAlignment="1">
      <alignment horizontal="left" vertical="center"/>
    </xf>
    <xf numFmtId="168" fontId="23" fillId="0" borderId="0" xfId="0" applyNumberFormat="1" applyFont="1" applyAlignment="1">
      <alignment vertical="center"/>
    </xf>
    <xf numFmtId="166" fontId="23" fillId="0" borderId="0" xfId="0" applyNumberFormat="1" applyFont="1" applyAlignment="1">
      <alignment horizontal="center" vertical="center"/>
    </xf>
    <xf numFmtId="0" fontId="4" fillId="3" borderId="7" xfId="0" applyFont="1" applyFill="1" applyBorder="1" applyAlignment="1">
      <alignment horizontal="center" vertical="center"/>
    </xf>
    <xf numFmtId="0" fontId="0" fillId="0" borderId="0" xfId="0" applyAlignment="1">
      <alignment horizontal="right" vertical="center"/>
    </xf>
    <xf numFmtId="0" fontId="11" fillId="4" borderId="10" xfId="5" applyNumberFormat="1" applyFont="1" applyFill="1" applyBorder="1" applyAlignment="1">
      <alignment horizontal="center" vertical="center"/>
    </xf>
    <xf numFmtId="0" fontId="11" fillId="4" borderId="9" xfId="5" applyNumberFormat="1" applyFont="1" applyFill="1" applyBorder="1" applyAlignment="1">
      <alignment horizontal="center" vertical="center"/>
    </xf>
    <xf numFmtId="3" fontId="11" fillId="4" borderId="10" xfId="5" applyNumberFormat="1" applyFont="1" applyFill="1" applyBorder="1" applyAlignment="1">
      <alignment horizontal="center" vertical="center"/>
    </xf>
    <xf numFmtId="3" fontId="4" fillId="3" borderId="1" xfId="5" applyNumberFormat="1" applyFont="1" applyFill="1" applyBorder="1" applyAlignment="1">
      <alignment horizontal="center" vertical="center"/>
    </xf>
    <xf numFmtId="3" fontId="4" fillId="3" borderId="2" xfId="5" applyNumberFormat="1" applyFont="1" applyFill="1" applyBorder="1" applyAlignment="1">
      <alignment horizontal="center" vertical="center"/>
    </xf>
    <xf numFmtId="3" fontId="4" fillId="3" borderId="7" xfId="5" applyNumberFormat="1" applyFont="1" applyFill="1" applyBorder="1" applyAlignment="1">
      <alignment horizontal="center" vertical="center"/>
    </xf>
    <xf numFmtId="3" fontId="4" fillId="3" borderId="0" xfId="5" applyNumberFormat="1" applyFont="1" applyFill="1" applyBorder="1" applyAlignment="1">
      <alignment horizontal="center" vertical="center"/>
    </xf>
    <xf numFmtId="3" fontId="4" fillId="0" borderId="7" xfId="5" applyNumberFormat="1" applyFont="1" applyFill="1" applyBorder="1" applyAlignment="1">
      <alignment horizontal="center" vertical="center"/>
    </xf>
    <xf numFmtId="3" fontId="4" fillId="0" borderId="0" xfId="5" applyNumberFormat="1" applyFont="1" applyFill="1" applyBorder="1" applyAlignment="1">
      <alignment horizontal="center" vertical="center"/>
    </xf>
    <xf numFmtId="3" fontId="4" fillId="0" borderId="4" xfId="5" applyNumberFormat="1" applyFont="1" applyFill="1" applyBorder="1" applyAlignment="1">
      <alignment horizontal="center" vertical="center"/>
    </xf>
    <xf numFmtId="3" fontId="4" fillId="0" borderId="5" xfId="5" applyNumberFormat="1" applyFont="1" applyFill="1" applyBorder="1" applyAlignment="1">
      <alignment horizontal="center" vertical="center"/>
    </xf>
    <xf numFmtId="3" fontId="11" fillId="4" borderId="9" xfId="5" applyNumberFormat="1" applyFont="1" applyFill="1" applyBorder="1" applyAlignment="1">
      <alignment horizontal="center" vertical="center"/>
    </xf>
    <xf numFmtId="166" fontId="11" fillId="4" borderId="11" xfId="2" applyNumberFormat="1" applyFont="1" applyFill="1" applyBorder="1" applyAlignment="1">
      <alignment horizontal="center" vertical="center"/>
    </xf>
    <xf numFmtId="166" fontId="11" fillId="4" borderId="12" xfId="2" applyNumberFormat="1" applyFont="1" applyFill="1" applyBorder="1" applyAlignment="1">
      <alignment horizontal="center" vertical="center"/>
    </xf>
    <xf numFmtId="166" fontId="4" fillId="3" borderId="3" xfId="2" applyNumberFormat="1" applyFont="1" applyFill="1" applyBorder="1" applyAlignment="1">
      <alignment horizontal="center" vertical="center"/>
    </xf>
    <xf numFmtId="166" fontId="4" fillId="3" borderId="0" xfId="2" applyNumberFormat="1" applyFont="1" applyFill="1" applyBorder="1" applyAlignment="1">
      <alignment horizontal="center" vertical="center"/>
    </xf>
    <xf numFmtId="166" fontId="4" fillId="3" borderId="13" xfId="2" applyNumberFormat="1" applyFont="1" applyFill="1" applyBorder="1" applyAlignment="1">
      <alignment horizontal="center" vertical="center"/>
    </xf>
    <xf numFmtId="166" fontId="4" fillId="3" borderId="8" xfId="2" applyNumberFormat="1" applyFont="1" applyFill="1" applyBorder="1" applyAlignment="1">
      <alignment horizontal="center" vertical="center"/>
    </xf>
    <xf numFmtId="166" fontId="4" fillId="3" borderId="14" xfId="2" applyNumberFormat="1" applyFont="1" applyFill="1" applyBorder="1" applyAlignment="1">
      <alignment horizontal="center" vertical="center"/>
    </xf>
    <xf numFmtId="166" fontId="4" fillId="3" borderId="6" xfId="2" applyNumberFormat="1" applyFont="1" applyFill="1" applyBorder="1" applyAlignment="1">
      <alignment horizontal="center" vertical="center"/>
    </xf>
    <xf numFmtId="166" fontId="4" fillId="3" borderId="15" xfId="2" applyNumberFormat="1" applyFont="1" applyFill="1" applyBorder="1" applyAlignment="1">
      <alignment horizontal="center" vertical="center"/>
    </xf>
    <xf numFmtId="166" fontId="4" fillId="0" borderId="6" xfId="2" applyNumberFormat="1" applyFont="1" applyFill="1" applyBorder="1" applyAlignment="1">
      <alignment horizontal="center" vertical="center"/>
    </xf>
    <xf numFmtId="3" fontId="4" fillId="0" borderId="1" xfId="5" applyNumberFormat="1" applyFont="1" applyFill="1" applyBorder="1" applyAlignment="1">
      <alignment horizontal="center" vertical="center"/>
    </xf>
    <xf numFmtId="3" fontId="4" fillId="0" borderId="2" xfId="5" applyNumberFormat="1" applyFont="1" applyFill="1" applyBorder="1" applyAlignment="1">
      <alignment horizontal="center" vertical="center"/>
    </xf>
    <xf numFmtId="166" fontId="4" fillId="0" borderId="3" xfId="2" applyNumberFormat="1" applyFont="1" applyFill="1" applyBorder="1" applyAlignment="1">
      <alignment horizontal="center" vertical="center"/>
    </xf>
    <xf numFmtId="166" fontId="4" fillId="0" borderId="13" xfId="2" applyNumberFormat="1" applyFont="1" applyFill="1" applyBorder="1" applyAlignment="1">
      <alignment horizontal="center" vertical="center"/>
    </xf>
    <xf numFmtId="166" fontId="4" fillId="0" borderId="8" xfId="2" applyNumberFormat="1" applyFont="1" applyFill="1" applyBorder="1" applyAlignment="1">
      <alignment horizontal="center" vertical="center"/>
    </xf>
    <xf numFmtId="166" fontId="4" fillId="0" borderId="14" xfId="2" applyNumberFormat="1" applyFont="1" applyFill="1" applyBorder="1" applyAlignment="1">
      <alignment horizontal="center" vertical="center"/>
    </xf>
    <xf numFmtId="166" fontId="4" fillId="0" borderId="15" xfId="2" applyNumberFormat="1" applyFont="1" applyFill="1" applyBorder="1" applyAlignment="1">
      <alignment horizontal="center" vertical="center"/>
    </xf>
    <xf numFmtId="3" fontId="4" fillId="3" borderId="4" xfId="5" applyNumberFormat="1" applyFont="1" applyFill="1" applyBorder="1" applyAlignment="1">
      <alignment horizontal="center" vertical="center"/>
    </xf>
    <xf numFmtId="3" fontId="4" fillId="3" borderId="5" xfId="5" applyNumberFormat="1" applyFont="1" applyFill="1" applyBorder="1" applyAlignment="1">
      <alignment horizontal="center" vertical="center"/>
    </xf>
    <xf numFmtId="3" fontId="4" fillId="3" borderId="10" xfId="5" applyNumberFormat="1" applyFont="1" applyFill="1" applyBorder="1" applyAlignment="1">
      <alignment horizontal="center" vertical="center"/>
    </xf>
    <xf numFmtId="166" fontId="4" fillId="3" borderId="11" xfId="2" applyNumberFormat="1" applyFont="1" applyFill="1" applyBorder="1" applyAlignment="1">
      <alignment horizontal="center" vertical="center"/>
    </xf>
    <xf numFmtId="3" fontId="4" fillId="0" borderId="7" xfId="5" applyNumberFormat="1" applyFont="1" applyBorder="1" applyAlignment="1">
      <alignment horizontal="center" vertical="center"/>
    </xf>
    <xf numFmtId="3" fontId="4" fillId="0" borderId="0" xfId="5" applyNumberFormat="1" applyFont="1" applyBorder="1" applyAlignment="1">
      <alignment horizontal="center" vertical="center"/>
    </xf>
    <xf numFmtId="3" fontId="15" fillId="0" borderId="7" xfId="5" applyNumberFormat="1" applyFont="1" applyFill="1" applyBorder="1" applyAlignment="1">
      <alignment horizontal="center" vertical="center"/>
    </xf>
    <xf numFmtId="3" fontId="4" fillId="3" borderId="1" xfId="2" applyNumberFormat="1" applyFont="1" applyFill="1" applyBorder="1" applyAlignment="1">
      <alignment horizontal="center" vertical="center"/>
    </xf>
    <xf numFmtId="3" fontId="4" fillId="3" borderId="0" xfId="2" applyNumberFormat="1" applyFont="1" applyFill="1" applyBorder="1" applyAlignment="1">
      <alignment horizontal="center" vertical="center"/>
    </xf>
    <xf numFmtId="166" fontId="4" fillId="3" borderId="2" xfId="2" applyNumberFormat="1" applyFont="1" applyFill="1" applyBorder="1" applyAlignment="1">
      <alignment horizontal="center" vertical="center"/>
    </xf>
    <xf numFmtId="3" fontId="4" fillId="3" borderId="7" xfId="2" applyNumberFormat="1" applyFont="1" applyFill="1" applyBorder="1" applyAlignment="1">
      <alignment horizontal="center" vertical="center"/>
    </xf>
    <xf numFmtId="164" fontId="4" fillId="3" borderId="0" xfId="2" applyNumberFormat="1" applyFont="1" applyFill="1" applyBorder="1" applyAlignment="1">
      <alignment horizontal="center" vertical="center"/>
    </xf>
    <xf numFmtId="166" fontId="4" fillId="3" borderId="5" xfId="2" applyNumberFormat="1" applyFont="1" applyFill="1" applyBorder="1" applyAlignment="1">
      <alignment horizontal="center" vertical="center"/>
    </xf>
    <xf numFmtId="3" fontId="11" fillId="4" borderId="4" xfId="5" applyNumberFormat="1" applyFont="1" applyFill="1" applyBorder="1" applyAlignment="1">
      <alignment horizontal="center" vertical="center"/>
    </xf>
    <xf numFmtId="3" fontId="4" fillId="3" borderId="2" xfId="2" applyNumberFormat="1" applyFont="1" applyFill="1" applyBorder="1" applyAlignment="1">
      <alignment horizontal="center" vertical="center"/>
    </xf>
    <xf numFmtId="166" fontId="34" fillId="3" borderId="0" xfId="2" applyNumberFormat="1" applyFont="1" applyFill="1" applyBorder="1" applyAlignment="1">
      <alignment horizontal="center" vertical="center"/>
    </xf>
    <xf numFmtId="3" fontId="4" fillId="3" borderId="4" xfId="2" applyNumberFormat="1" applyFont="1" applyFill="1" applyBorder="1" applyAlignment="1">
      <alignment horizontal="center" vertical="center"/>
    </xf>
    <xf numFmtId="10" fontId="11" fillId="4" borderId="11" xfId="2" applyNumberFormat="1" applyFont="1" applyFill="1" applyBorder="1" applyAlignment="1">
      <alignment horizontal="center" vertical="center"/>
    </xf>
    <xf numFmtId="10" fontId="11" fillId="4" borderId="12" xfId="2" applyNumberFormat="1" applyFont="1" applyFill="1" applyBorder="1" applyAlignment="1">
      <alignment horizontal="center" vertical="center"/>
    </xf>
    <xf numFmtId="0" fontId="0" fillId="0" borderId="0" xfId="0" applyAlignment="1">
      <alignment horizontal="center" vertical="center"/>
    </xf>
    <xf numFmtId="3" fontId="4" fillId="3" borderId="7" xfId="1" applyNumberFormat="1" applyFont="1" applyFill="1" applyBorder="1" applyAlignment="1">
      <alignment horizontal="center" vertical="center"/>
    </xf>
    <xf numFmtId="3" fontId="4" fillId="3" borderId="0" xfId="1" applyNumberFormat="1" applyFont="1" applyFill="1" applyBorder="1" applyAlignment="1">
      <alignment horizontal="center" vertical="center"/>
    </xf>
    <xf numFmtId="3" fontId="16" fillId="4" borderId="10" xfId="5" applyNumberFormat="1" applyFont="1" applyFill="1" applyBorder="1" applyAlignment="1">
      <alignment horizontal="center" vertical="center"/>
    </xf>
    <xf numFmtId="3" fontId="15" fillId="3" borderId="0" xfId="5" applyNumberFormat="1" applyFont="1" applyFill="1" applyBorder="1" applyAlignment="1">
      <alignment horizontal="center" vertical="center"/>
    </xf>
    <xf numFmtId="3" fontId="15" fillId="0" borderId="0" xfId="5" applyNumberFormat="1" applyFont="1" applyFill="1" applyBorder="1" applyAlignment="1">
      <alignment horizontal="center" vertical="center"/>
    </xf>
    <xf numFmtId="3" fontId="15" fillId="0" borderId="5" xfId="5" applyNumberFormat="1" applyFont="1" applyFill="1" applyBorder="1" applyAlignment="1">
      <alignment horizontal="center" vertical="center"/>
    </xf>
    <xf numFmtId="3" fontId="16" fillId="4" borderId="9" xfId="5" applyNumberFormat="1" applyFont="1" applyFill="1" applyBorder="1" applyAlignment="1">
      <alignment horizontal="center" vertical="center"/>
    </xf>
    <xf numFmtId="3" fontId="15" fillId="3" borderId="0" xfId="5" applyNumberFormat="1" applyFont="1" applyFill="1" applyAlignment="1">
      <alignment horizontal="center" vertical="center"/>
    </xf>
    <xf numFmtId="3" fontId="15" fillId="0" borderId="0" xfId="5" applyNumberFormat="1" applyFont="1" applyFill="1" applyAlignment="1">
      <alignment horizontal="center" vertical="center"/>
    </xf>
    <xf numFmtId="3" fontId="15" fillId="0" borderId="0" xfId="1" applyNumberFormat="1" applyFont="1" applyFill="1" applyBorder="1" applyAlignment="1">
      <alignment horizontal="center" vertical="center"/>
    </xf>
    <xf numFmtId="3" fontId="15" fillId="3" borderId="1" xfId="5" applyNumberFormat="1" applyFont="1" applyFill="1" applyBorder="1" applyAlignment="1">
      <alignment horizontal="center" vertical="center"/>
    </xf>
    <xf numFmtId="3" fontId="15" fillId="3" borderId="2" xfId="5" applyNumberFormat="1" applyFont="1" applyFill="1" applyBorder="1" applyAlignment="1">
      <alignment horizontal="center" vertical="center"/>
    </xf>
    <xf numFmtId="3" fontId="15" fillId="3" borderId="7" xfId="5" applyNumberFormat="1" applyFont="1" applyFill="1" applyBorder="1" applyAlignment="1">
      <alignment horizontal="center" vertical="center"/>
    </xf>
    <xf numFmtId="3" fontId="15" fillId="0" borderId="7" xfId="1" applyNumberFormat="1" applyFont="1" applyFill="1" applyBorder="1" applyAlignment="1">
      <alignment horizontal="center" vertical="center"/>
    </xf>
    <xf numFmtId="3" fontId="15" fillId="0" borderId="4" xfId="1" applyNumberFormat="1" applyFont="1" applyFill="1" applyBorder="1" applyAlignment="1">
      <alignment horizontal="center" vertical="center"/>
    </xf>
    <xf numFmtId="3" fontId="15" fillId="0" borderId="5" xfId="1" applyNumberFormat="1" applyFont="1" applyFill="1" applyBorder="1" applyAlignment="1">
      <alignment horizontal="center" vertical="center"/>
    </xf>
    <xf numFmtId="3" fontId="15" fillId="0" borderId="0" xfId="1" applyNumberFormat="1" applyFont="1" applyFill="1" applyAlignment="1">
      <alignment horizontal="center" vertical="center"/>
    </xf>
    <xf numFmtId="3" fontId="15" fillId="0" borderId="9" xfId="5" applyNumberFormat="1" applyFont="1" applyFill="1" applyBorder="1" applyAlignment="1">
      <alignment horizontal="center" vertical="center"/>
    </xf>
    <xf numFmtId="3" fontId="15" fillId="0" borderId="10" xfId="5" applyNumberFormat="1" applyFont="1" applyFill="1" applyBorder="1" applyAlignment="1">
      <alignment horizontal="center" vertical="center"/>
    </xf>
    <xf numFmtId="3" fontId="15" fillId="3" borderId="4" xfId="5" applyNumberFormat="1" applyFont="1" applyFill="1" applyBorder="1" applyAlignment="1">
      <alignment horizontal="center" vertical="center"/>
    </xf>
    <xf numFmtId="3" fontId="15" fillId="3" borderId="5" xfId="5" applyNumberFormat="1" applyFont="1" applyFill="1" applyBorder="1" applyAlignment="1">
      <alignment horizontal="center" vertical="center"/>
    </xf>
    <xf numFmtId="3" fontId="15" fillId="3" borderId="4" xfId="1" applyNumberFormat="1" applyFont="1" applyFill="1" applyBorder="1" applyAlignment="1">
      <alignment horizontal="center" vertical="center"/>
    </xf>
    <xf numFmtId="3" fontId="15" fillId="3" borderId="0" xfId="1" applyNumberFormat="1" applyFont="1" applyFill="1" applyBorder="1" applyAlignment="1">
      <alignment horizontal="center" vertical="center"/>
    </xf>
    <xf numFmtId="3" fontId="15" fillId="3" borderId="5" xfId="1" applyNumberFormat="1" applyFont="1" applyFill="1" applyBorder="1" applyAlignment="1">
      <alignment horizontal="center" vertical="center"/>
    </xf>
    <xf numFmtId="3" fontId="15" fillId="3" borderId="9" xfId="5" applyNumberFormat="1" applyFont="1" applyFill="1" applyBorder="1" applyAlignment="1">
      <alignment horizontal="center" vertical="center"/>
    </xf>
    <xf numFmtId="3" fontId="15" fillId="3" borderId="10" xfId="5" applyNumberFormat="1" applyFont="1" applyFill="1" applyBorder="1" applyAlignment="1">
      <alignment horizontal="center" vertical="center"/>
    </xf>
    <xf numFmtId="10" fontId="11" fillId="4" borderId="10" xfId="2" applyNumberFormat="1" applyFont="1" applyFill="1" applyBorder="1" applyAlignment="1">
      <alignment horizontal="center" vertical="center"/>
    </xf>
    <xf numFmtId="166" fontId="16" fillId="4" borderId="10" xfId="2" applyNumberFormat="1" applyFont="1" applyFill="1" applyBorder="1" applyAlignment="1">
      <alignment horizontal="center" vertical="center"/>
    </xf>
    <xf numFmtId="166" fontId="15" fillId="3" borderId="0" xfId="2" applyNumberFormat="1" applyFont="1" applyFill="1" applyBorder="1" applyAlignment="1">
      <alignment horizontal="center" vertical="center"/>
    </xf>
    <xf numFmtId="166" fontId="15" fillId="3" borderId="5" xfId="2" applyNumberFormat="1" applyFont="1" applyFill="1" applyBorder="1" applyAlignment="1">
      <alignment horizontal="center" vertical="center"/>
    </xf>
    <xf numFmtId="166" fontId="16" fillId="4" borderId="11" xfId="2" applyNumberFormat="1" applyFont="1" applyFill="1" applyBorder="1" applyAlignment="1">
      <alignment horizontal="center" vertical="center"/>
    </xf>
    <xf numFmtId="166" fontId="15" fillId="3" borderId="3" xfId="2" applyNumberFormat="1" applyFont="1" applyFill="1" applyBorder="1" applyAlignment="1">
      <alignment horizontal="center" vertical="center"/>
    </xf>
    <xf numFmtId="166" fontId="15" fillId="3" borderId="8" xfId="2" applyNumberFormat="1" applyFont="1" applyFill="1" applyBorder="1" applyAlignment="1">
      <alignment horizontal="center" vertical="center"/>
    </xf>
    <xf numFmtId="166" fontId="15" fillId="3" borderId="6" xfId="2" applyNumberFormat="1" applyFont="1" applyFill="1" applyBorder="1" applyAlignment="1">
      <alignment horizontal="center" vertical="center"/>
    </xf>
    <xf numFmtId="166" fontId="15" fillId="3" borderId="11" xfId="2" applyNumberFormat="1" applyFont="1" applyFill="1" applyBorder="1" applyAlignment="1">
      <alignment horizontal="center" vertical="center"/>
    </xf>
    <xf numFmtId="166" fontId="4" fillId="3" borderId="10" xfId="2" applyNumberFormat="1" applyFont="1" applyFill="1" applyBorder="1" applyAlignment="1">
      <alignment horizontal="center" vertical="center"/>
    </xf>
    <xf numFmtId="168" fontId="23" fillId="0" borderId="0" xfId="0" applyNumberFormat="1" applyFont="1" applyAlignment="1">
      <alignment horizontal="center" vertical="center"/>
    </xf>
    <xf numFmtId="166" fontId="16" fillId="4" borderId="0" xfId="2" applyNumberFormat="1" applyFont="1" applyFill="1" applyBorder="1" applyAlignment="1">
      <alignment horizontal="center" vertical="center"/>
    </xf>
    <xf numFmtId="10" fontId="15" fillId="3" borderId="8" xfId="2" applyNumberFormat="1" applyFont="1" applyFill="1" applyBorder="1" applyAlignment="1">
      <alignment horizontal="center" vertical="center"/>
    </xf>
    <xf numFmtId="166" fontId="16" fillId="4" borderId="12" xfId="2" applyNumberFormat="1" applyFont="1" applyFill="1" applyBorder="1" applyAlignment="1">
      <alignment horizontal="center" vertical="center"/>
    </xf>
    <xf numFmtId="166" fontId="15" fillId="3" borderId="13" xfId="2" applyNumberFormat="1" applyFont="1" applyFill="1" applyBorder="1" applyAlignment="1">
      <alignment horizontal="center" vertical="center"/>
    </xf>
    <xf numFmtId="166" fontId="15" fillId="3" borderId="14" xfId="2" applyNumberFormat="1" applyFont="1" applyFill="1" applyBorder="1" applyAlignment="1">
      <alignment horizontal="center" vertical="center"/>
    </xf>
    <xf numFmtId="10" fontId="15" fillId="3" borderId="14" xfId="2" applyNumberFormat="1" applyFont="1" applyFill="1" applyBorder="1" applyAlignment="1">
      <alignment horizontal="center" vertical="center"/>
    </xf>
    <xf numFmtId="166" fontId="15" fillId="3" borderId="12" xfId="2" applyNumberFormat="1" applyFont="1" applyFill="1" applyBorder="1" applyAlignment="1">
      <alignment horizontal="center" vertical="center"/>
    </xf>
    <xf numFmtId="164" fontId="4" fillId="0" borderId="5" xfId="5" applyNumberFormat="1" applyFont="1" applyFill="1" applyBorder="1" applyAlignment="1">
      <alignment horizontal="center" vertical="center"/>
    </xf>
    <xf numFmtId="164" fontId="4" fillId="0" borderId="4" xfId="5" applyNumberFormat="1" applyFont="1" applyFill="1" applyBorder="1" applyAlignment="1">
      <alignment horizontal="center" vertical="center"/>
    </xf>
    <xf numFmtId="164" fontId="4" fillId="3" borderId="4" xfId="5" applyNumberFormat="1" applyFont="1" applyFill="1" applyBorder="1" applyAlignment="1">
      <alignment horizontal="center" vertical="center"/>
    </xf>
    <xf numFmtId="164" fontId="4" fillId="3" borderId="5" xfId="5" applyNumberFormat="1" applyFont="1" applyFill="1" applyBorder="1" applyAlignment="1">
      <alignment horizontal="center" vertical="center"/>
    </xf>
    <xf numFmtId="164" fontId="4" fillId="0" borderId="7" xfId="1" applyNumberFormat="1" applyFont="1" applyFill="1" applyBorder="1" applyAlignment="1">
      <alignment horizontal="center" vertical="center"/>
    </xf>
    <xf numFmtId="164" fontId="4" fillId="0" borderId="0" xfId="5" applyNumberFormat="1" applyFont="1" applyFill="1" applyBorder="1" applyAlignment="1">
      <alignment horizontal="center" vertical="center"/>
    </xf>
    <xf numFmtId="164" fontId="15" fillId="0" borderId="4" xfId="5" applyNumberFormat="1" applyFont="1" applyFill="1" applyBorder="1" applyAlignment="1">
      <alignment horizontal="center" vertical="center"/>
    </xf>
    <xf numFmtId="164" fontId="4" fillId="3" borderId="7" xfId="2" applyNumberFormat="1" applyFont="1" applyFill="1" applyBorder="1" applyAlignment="1">
      <alignment horizontal="center" vertical="center"/>
    </xf>
    <xf numFmtId="164" fontId="4" fillId="3" borderId="4" xfId="2" applyNumberFormat="1" applyFont="1" applyFill="1" applyBorder="1" applyAlignment="1">
      <alignment horizontal="center" vertical="center"/>
    </xf>
    <xf numFmtId="164" fontId="4" fillId="3" borderId="5" xfId="2" applyNumberFormat="1" applyFont="1" applyFill="1" applyBorder="1" applyAlignment="1">
      <alignment horizontal="center" vertical="center"/>
    </xf>
    <xf numFmtId="164" fontId="15" fillId="0" borderId="5" xfId="5" applyNumberFormat="1" applyFont="1" applyFill="1" applyBorder="1" applyAlignment="1">
      <alignment horizontal="center" vertical="center"/>
    </xf>
    <xf numFmtId="3" fontId="35" fillId="0" borderId="5" xfId="3" applyNumberFormat="1" applyFont="1" applyBorder="1" applyAlignment="1">
      <alignment horizontal="center" vertical="center"/>
    </xf>
    <xf numFmtId="3" fontId="35" fillId="2" borderId="5" xfId="3" applyNumberFormat="1" applyFont="1" applyFill="1" applyBorder="1" applyAlignment="1">
      <alignment horizontal="center" vertical="center"/>
    </xf>
    <xf numFmtId="3" fontId="36" fillId="2" borderId="0" xfId="3" applyNumberFormat="1" applyFont="1" applyFill="1" applyAlignment="1">
      <alignment horizontal="center" vertical="center"/>
    </xf>
    <xf numFmtId="164" fontId="36" fillId="2" borderId="0" xfId="3" applyNumberFormat="1" applyFont="1" applyFill="1" applyAlignment="1">
      <alignment horizontal="center" vertical="center"/>
    </xf>
    <xf numFmtId="3" fontId="36" fillId="2" borderId="16" xfId="3" applyNumberFormat="1" applyFont="1" applyFill="1" applyBorder="1" applyAlignment="1">
      <alignment horizontal="center" vertical="center"/>
    </xf>
    <xf numFmtId="164" fontId="36" fillId="2" borderId="16" xfId="3" applyNumberFormat="1" applyFont="1" applyFill="1" applyBorder="1" applyAlignment="1">
      <alignment horizontal="center" vertical="center"/>
    </xf>
    <xf numFmtId="3" fontId="35" fillId="0" borderId="6" xfId="3" applyNumberFormat="1" applyFont="1" applyBorder="1" applyAlignment="1">
      <alignment horizontal="center" vertical="center"/>
    </xf>
    <xf numFmtId="0" fontId="6" fillId="5" borderId="4" xfId="3" applyFont="1" applyFill="1" applyBorder="1" applyAlignment="1">
      <alignment horizontal="left" vertical="center"/>
    </xf>
    <xf numFmtId="3" fontId="35" fillId="0" borderId="0" xfId="3" applyNumberFormat="1" applyFont="1" applyAlignment="1">
      <alignment horizontal="center" vertical="center"/>
    </xf>
    <xf numFmtId="3" fontId="36" fillId="0" borderId="5" xfId="3" applyNumberFormat="1" applyFont="1" applyBorder="1" applyAlignment="1">
      <alignment horizontal="center" vertical="center"/>
    </xf>
    <xf numFmtId="3" fontId="35" fillId="0" borderId="8" xfId="3" applyNumberFormat="1" applyFont="1" applyBorder="1" applyAlignment="1">
      <alignment horizontal="center" vertical="center"/>
    </xf>
    <xf numFmtId="3" fontId="37" fillId="0" borderId="0" xfId="4" applyNumberFormat="1" applyFont="1" applyFill="1" applyAlignment="1">
      <alignment horizontal="center" vertical="center"/>
    </xf>
    <xf numFmtId="2" fontId="7" fillId="0" borderId="17" xfId="3" applyNumberFormat="1" applyFont="1" applyBorder="1" applyAlignment="1">
      <alignment horizontal="center" vertical="center"/>
    </xf>
    <xf numFmtId="37" fontId="34" fillId="3" borderId="0" xfId="5" applyNumberFormat="1" applyFont="1" applyFill="1" applyBorder="1" applyAlignment="1">
      <alignment horizontal="center" vertical="center"/>
    </xf>
    <xf numFmtId="0" fontId="23" fillId="4" borderId="11" xfId="0" applyFont="1" applyFill="1" applyBorder="1" applyAlignment="1">
      <alignment vertical="center"/>
    </xf>
    <xf numFmtId="0" fontId="23" fillId="0" borderId="8" xfId="0" applyFont="1" applyBorder="1" applyAlignment="1">
      <alignment vertical="center"/>
    </xf>
    <xf numFmtId="0" fontId="34" fillId="0" borderId="13" xfId="4" applyFont="1" applyFill="1" applyBorder="1" applyAlignment="1">
      <alignment horizontal="left" vertical="center" indent="1"/>
    </xf>
    <xf numFmtId="0" fontId="34" fillId="0" borderId="14" xfId="4" applyFont="1" applyFill="1" applyBorder="1" applyAlignment="1">
      <alignment horizontal="left" vertical="center" indent="1"/>
    </xf>
    <xf numFmtId="0" fontId="37" fillId="0" borderId="15" xfId="4" applyFont="1" applyFill="1" applyBorder="1" applyAlignment="1">
      <alignment horizontal="left" indent="1"/>
    </xf>
    <xf numFmtId="0" fontId="34" fillId="0" borderId="3" xfId="4" applyFont="1" applyFill="1" applyBorder="1" applyAlignment="1">
      <alignment horizontal="left" vertical="center" indent="1"/>
    </xf>
    <xf numFmtId="0" fontId="34" fillId="0" borderId="8" xfId="4" applyFont="1" applyFill="1" applyBorder="1" applyAlignment="1">
      <alignment horizontal="left" vertical="center" indent="1"/>
    </xf>
    <xf numFmtId="0" fontId="37" fillId="0" borderId="6" xfId="4" applyFont="1" applyFill="1" applyBorder="1" applyAlignment="1">
      <alignment horizontal="left" indent="1"/>
    </xf>
    <xf numFmtId="166" fontId="11" fillId="4" borderId="6" xfId="2" applyNumberFormat="1" applyFont="1" applyFill="1" applyBorder="1" applyAlignment="1">
      <alignment horizontal="center" vertical="center"/>
    </xf>
    <xf numFmtId="37" fontId="34" fillId="3" borderId="5" xfId="5" applyNumberFormat="1" applyFont="1" applyFill="1" applyBorder="1" applyAlignment="1">
      <alignment horizontal="center" vertical="center"/>
    </xf>
    <xf numFmtId="0" fontId="37" fillId="0" borderId="8" xfId="4" applyFont="1" applyFill="1" applyBorder="1" applyAlignment="1">
      <alignment horizontal="left" indent="1"/>
    </xf>
    <xf numFmtId="0" fontId="29" fillId="4" borderId="11" xfId="0" applyFont="1" applyFill="1" applyBorder="1" applyAlignment="1">
      <alignment vertical="center"/>
    </xf>
    <xf numFmtId="0" fontId="34" fillId="3" borderId="8" xfId="4" applyFont="1" applyBorder="1" applyAlignment="1">
      <alignment horizontal="left" vertical="center" indent="1"/>
    </xf>
    <xf numFmtId="3" fontId="11" fillId="4" borderId="2" xfId="5" applyNumberFormat="1" applyFont="1" applyFill="1" applyBorder="1" applyAlignment="1">
      <alignment horizontal="center" vertical="center"/>
    </xf>
    <xf numFmtId="3" fontId="4" fillId="3" borderId="5" xfId="2" applyNumberFormat="1" applyFont="1" applyFill="1" applyBorder="1" applyAlignment="1">
      <alignment horizontal="center" vertical="center"/>
    </xf>
    <xf numFmtId="164" fontId="4" fillId="3" borderId="7" xfId="5" applyNumberFormat="1" applyFont="1" applyFill="1" applyBorder="1" applyAlignment="1">
      <alignment horizontal="center" vertical="center"/>
    </xf>
    <xf numFmtId="164" fontId="4" fillId="3" borderId="0" xfId="5" applyNumberFormat="1" applyFont="1" applyFill="1" applyBorder="1" applyAlignment="1">
      <alignment horizontal="center" vertical="center"/>
    </xf>
    <xf numFmtId="169" fontId="15" fillId="3" borderId="14" xfId="2" applyNumberFormat="1" applyFont="1" applyFill="1" applyBorder="1" applyAlignment="1">
      <alignment horizontal="center" vertical="center"/>
    </xf>
    <xf numFmtId="3" fontId="16" fillId="4" borderId="0" xfId="5" applyNumberFormat="1" applyFont="1" applyFill="1" applyBorder="1" applyAlignment="1">
      <alignment horizontal="center" vertical="center"/>
    </xf>
    <xf numFmtId="0" fontId="7" fillId="5" borderId="5" xfId="3" applyFont="1" applyFill="1" applyBorder="1" applyAlignment="1">
      <alignment horizontal="center" vertical="center"/>
    </xf>
    <xf numFmtId="3" fontId="7" fillId="5" borderId="5" xfId="3" applyNumberFormat="1" applyFont="1" applyFill="1" applyBorder="1" applyAlignment="1">
      <alignment horizontal="center" vertical="center"/>
    </xf>
    <xf numFmtId="0" fontId="7" fillId="5" borderId="6" xfId="3" applyFont="1" applyFill="1" applyBorder="1" applyAlignment="1">
      <alignment horizontal="center" vertical="center"/>
    </xf>
    <xf numFmtId="3" fontId="4" fillId="3" borderId="9" xfId="5" applyNumberFormat="1" applyFont="1" applyFill="1" applyBorder="1" applyAlignment="1">
      <alignment horizontal="center" vertical="center"/>
    </xf>
    <xf numFmtId="4" fontId="36" fillId="2" borderId="8" xfId="3" applyNumberFormat="1" applyFont="1" applyFill="1" applyBorder="1" applyAlignment="1">
      <alignment horizontal="center" vertical="center"/>
    </xf>
    <xf numFmtId="3" fontId="9" fillId="2" borderId="7" xfId="3" applyNumberFormat="1" applyFont="1" applyFill="1" applyBorder="1" applyAlignment="1">
      <alignment horizontal="center" vertical="center"/>
    </xf>
    <xf numFmtId="37" fontId="34" fillId="3" borderId="2" xfId="5" applyNumberFormat="1" applyFont="1" applyFill="1" applyBorder="1" applyAlignment="1">
      <alignment horizontal="center" vertical="center"/>
    </xf>
    <xf numFmtId="37" fontId="34" fillId="3" borderId="1" xfId="5" applyNumberFormat="1" applyFont="1" applyFill="1" applyBorder="1" applyAlignment="1">
      <alignment horizontal="center" vertical="center"/>
    </xf>
    <xf numFmtId="37" fontId="34" fillId="3" borderId="4" xfId="5" applyNumberFormat="1" applyFont="1" applyFill="1" applyBorder="1" applyAlignment="1">
      <alignment horizontal="center" vertical="center"/>
    </xf>
    <xf numFmtId="3" fontId="15" fillId="0" borderId="4" xfId="5" applyNumberFormat="1" applyFont="1" applyFill="1" applyBorder="1" applyAlignment="1">
      <alignment horizontal="center" vertical="center"/>
    </xf>
    <xf numFmtId="0" fontId="15" fillId="0" borderId="13" xfId="4" applyFont="1" applyFill="1" applyBorder="1" applyAlignment="1">
      <alignment horizontal="left" vertical="center"/>
    </xf>
    <xf numFmtId="3" fontId="15" fillId="0" borderId="1" xfId="5" applyNumberFormat="1" applyFont="1" applyFill="1" applyBorder="1" applyAlignment="1">
      <alignment horizontal="center" vertical="center"/>
    </xf>
    <xf numFmtId="3" fontId="15" fillId="0" borderId="2" xfId="5" applyNumberFormat="1" applyFont="1" applyFill="1" applyBorder="1" applyAlignment="1">
      <alignment horizontal="center" vertical="center"/>
    </xf>
    <xf numFmtId="164" fontId="35" fillId="0" borderId="3" xfId="3" applyNumberFormat="1" applyFont="1" applyBorder="1" applyAlignment="1">
      <alignment horizontal="center" vertical="center"/>
    </xf>
    <xf numFmtId="164" fontId="36" fillId="0" borderId="6" xfId="3" applyNumberFormat="1" applyFont="1" applyBorder="1" applyAlignment="1">
      <alignment horizontal="center" vertical="center"/>
    </xf>
    <xf numFmtId="4" fontId="37" fillId="0" borderId="3" xfId="4" applyNumberFormat="1" applyFont="1" applyFill="1" applyBorder="1" applyAlignment="1">
      <alignment horizontal="center" vertical="center"/>
    </xf>
    <xf numFmtId="4" fontId="37" fillId="0" borderId="6" xfId="4" applyNumberFormat="1" applyFont="1" applyFill="1" applyBorder="1" applyAlignment="1">
      <alignment horizontal="center" vertical="center"/>
    </xf>
    <xf numFmtId="10" fontId="4" fillId="3" borderId="14" xfId="2" applyNumberFormat="1" applyFont="1" applyFill="1" applyBorder="1" applyAlignment="1">
      <alignment horizontal="center" vertical="center"/>
    </xf>
    <xf numFmtId="4" fontId="36" fillId="0" borderId="16" xfId="3" applyNumberFormat="1" applyFont="1" applyBorder="1" applyAlignment="1">
      <alignment horizontal="center" vertical="center"/>
    </xf>
    <xf numFmtId="10" fontId="4" fillId="0" borderId="14" xfId="2" applyNumberFormat="1" applyFont="1" applyFill="1" applyBorder="1" applyAlignment="1">
      <alignment horizontal="center" vertical="center"/>
    </xf>
    <xf numFmtId="164" fontId="11" fillId="4" borderId="9" xfId="5" applyNumberFormat="1" applyFont="1" applyFill="1" applyBorder="1" applyAlignment="1">
      <alignment horizontal="center" vertical="center"/>
    </xf>
    <xf numFmtId="164" fontId="11" fillId="4" borderId="10" xfId="5" applyNumberFormat="1" applyFont="1" applyFill="1" applyBorder="1" applyAlignment="1">
      <alignment horizontal="center" vertical="center"/>
    </xf>
    <xf numFmtId="164" fontId="4" fillId="0" borderId="1" xfId="5" applyNumberFormat="1" applyFont="1" applyFill="1" applyBorder="1" applyAlignment="1">
      <alignment horizontal="center" vertical="center"/>
    </xf>
    <xf numFmtId="164" fontId="4" fillId="0" borderId="2" xfId="5" applyNumberFormat="1" applyFont="1" applyFill="1" applyBorder="1" applyAlignment="1">
      <alignment horizontal="center" vertical="center"/>
    </xf>
    <xf numFmtId="170" fontId="15" fillId="3" borderId="14" xfId="2" applyNumberFormat="1" applyFont="1" applyFill="1" applyBorder="1" applyAlignment="1">
      <alignment horizontal="center" vertical="center"/>
    </xf>
    <xf numFmtId="164" fontId="16" fillId="4" borderId="9" xfId="5" applyNumberFormat="1" applyFont="1" applyFill="1" applyBorder="1" applyAlignment="1">
      <alignment horizontal="center" vertical="center"/>
    </xf>
    <xf numFmtId="164" fontId="16" fillId="4" borderId="10" xfId="5" applyNumberFormat="1" applyFont="1" applyFill="1" applyBorder="1" applyAlignment="1">
      <alignment horizontal="center" vertical="center"/>
    </xf>
    <xf numFmtId="164" fontId="4" fillId="0" borderId="9" xfId="5" applyNumberFormat="1" applyFont="1" applyFill="1" applyBorder="1" applyAlignment="1">
      <alignment horizontal="center" vertical="center"/>
    </xf>
    <xf numFmtId="164" fontId="4" fillId="0" borderId="10" xfId="5" applyNumberFormat="1" applyFont="1" applyFill="1" applyBorder="1" applyAlignment="1">
      <alignment horizontal="center" vertical="center"/>
    </xf>
    <xf numFmtId="10" fontId="15" fillId="0" borderId="6" xfId="2" applyNumberFormat="1" applyFont="1" applyFill="1" applyBorder="1" applyAlignment="1">
      <alignment horizontal="center" vertical="center"/>
    </xf>
    <xf numFmtId="170" fontId="15" fillId="0" borderId="15" xfId="2" applyNumberFormat="1" applyFont="1" applyFill="1" applyBorder="1" applyAlignment="1">
      <alignment horizontal="center" vertical="center"/>
    </xf>
    <xf numFmtId="169" fontId="15" fillId="0" borderId="15" xfId="2" applyNumberFormat="1" applyFont="1" applyFill="1" applyBorder="1" applyAlignment="1">
      <alignment horizontal="center" vertical="center"/>
    </xf>
    <xf numFmtId="166" fontId="15" fillId="0" borderId="15" xfId="2" applyNumberFormat="1" applyFont="1" applyFill="1" applyBorder="1" applyAlignment="1">
      <alignment horizontal="center" vertical="center"/>
    </xf>
    <xf numFmtId="10" fontId="15" fillId="0" borderId="15" xfId="2" applyNumberFormat="1" applyFont="1" applyFill="1" applyBorder="1" applyAlignment="1">
      <alignment horizontal="center" vertical="center"/>
    </xf>
    <xf numFmtId="166" fontId="15" fillId="0" borderId="14" xfId="2" applyNumberFormat="1" applyFont="1" applyFill="1" applyBorder="1" applyAlignment="1">
      <alignment horizontal="center" vertical="center"/>
    </xf>
    <xf numFmtId="10" fontId="15" fillId="0" borderId="14" xfId="2" applyNumberFormat="1" applyFont="1" applyFill="1" applyBorder="1" applyAlignment="1">
      <alignment horizontal="center" vertical="center"/>
    </xf>
    <xf numFmtId="0" fontId="34" fillId="0" borderId="15" xfId="4" applyFont="1" applyFill="1" applyBorder="1" applyAlignment="1">
      <alignment horizontal="left" vertical="center" indent="1"/>
    </xf>
    <xf numFmtId="0" fontId="4" fillId="3" borderId="9" xfId="0" applyFont="1" applyFill="1" applyBorder="1" applyAlignment="1">
      <alignment horizontal="left" vertical="center" wrapText="1"/>
    </xf>
    <xf numFmtId="0" fontId="4" fillId="3" borderId="10" xfId="0" applyFont="1" applyFill="1" applyBorder="1" applyAlignment="1">
      <alignment horizontal="left" vertical="center" wrapText="1"/>
    </xf>
    <xf numFmtId="0" fontId="4" fillId="3" borderId="11" xfId="0" applyFont="1" applyFill="1" applyBorder="1" applyAlignment="1">
      <alignment horizontal="left" vertical="center" wrapText="1"/>
    </xf>
    <xf numFmtId="0" fontId="3" fillId="2" borderId="0" xfId="3" applyFont="1" applyFill="1" applyAlignment="1">
      <alignment horizontal="center" vertical="center"/>
    </xf>
    <xf numFmtId="0" fontId="5" fillId="2" borderId="0" xfId="3" applyFont="1" applyFill="1" applyAlignment="1">
      <alignment horizontal="center" vertical="center"/>
    </xf>
    <xf numFmtId="0" fontId="3" fillId="2" borderId="0" xfId="3" applyFont="1" applyFill="1" applyAlignment="1">
      <alignment horizontal="left" vertical="center" wrapText="1"/>
    </xf>
    <xf numFmtId="0" fontId="7" fillId="0" borderId="7" xfId="3" applyFont="1" applyBorder="1" applyAlignment="1">
      <alignment horizontal="left" vertical="center" wrapText="1"/>
    </xf>
    <xf numFmtId="0" fontId="7" fillId="0" borderId="0" xfId="3" applyFont="1" applyAlignment="1">
      <alignment horizontal="left" vertical="center" wrapText="1"/>
    </xf>
    <xf numFmtId="0" fontId="7" fillId="0" borderId="8" xfId="3" applyFont="1" applyBorder="1" applyAlignment="1">
      <alignment horizontal="left" vertical="center" wrapText="1"/>
    </xf>
    <xf numFmtId="0" fontId="7" fillId="0" borderId="4" xfId="3" applyFont="1" applyBorder="1" applyAlignment="1">
      <alignment horizontal="left" vertical="center" wrapText="1"/>
    </xf>
    <xf numFmtId="0" fontId="7" fillId="0" borderId="5" xfId="3" applyFont="1" applyBorder="1" applyAlignment="1">
      <alignment horizontal="left" vertical="center" wrapText="1"/>
    </xf>
    <xf numFmtId="0" fontId="7" fillId="0" borderId="6" xfId="3" applyFont="1" applyBorder="1" applyAlignment="1">
      <alignment horizontal="left" vertical="center" wrapText="1"/>
    </xf>
    <xf numFmtId="0" fontId="24" fillId="0" borderId="0" xfId="0" applyFont="1" applyAlignment="1">
      <alignment horizontal="center" vertical="center" wrapText="1"/>
    </xf>
    <xf numFmtId="0" fontId="14" fillId="2" borderId="0" xfId="3" applyFont="1" applyFill="1" applyAlignment="1">
      <alignment horizontal="center" vertical="center"/>
    </xf>
    <xf numFmtId="3" fontId="11" fillId="4" borderId="9" xfId="4" applyNumberFormat="1" applyFont="1" applyFill="1" applyBorder="1" applyAlignment="1">
      <alignment horizontal="center" vertical="center" wrapText="1"/>
    </xf>
    <xf numFmtId="3" fontId="11" fillId="4" borderId="10" xfId="4" applyNumberFormat="1" applyFont="1" applyFill="1" applyBorder="1" applyAlignment="1">
      <alignment horizontal="center" vertical="center"/>
    </xf>
    <xf numFmtId="3" fontId="11" fillId="4" borderId="11" xfId="4" applyNumberFormat="1" applyFont="1" applyFill="1" applyBorder="1" applyAlignment="1">
      <alignment horizontal="center" vertical="center"/>
    </xf>
    <xf numFmtId="0" fontId="4" fillId="0" borderId="9" xfId="0" applyFont="1" applyBorder="1" applyAlignment="1">
      <alignment horizontal="left" vertical="center" wrapText="1"/>
    </xf>
    <xf numFmtId="0" fontId="4" fillId="0" borderId="10" xfId="0" applyFont="1" applyBorder="1" applyAlignment="1">
      <alignment horizontal="left" vertical="center" wrapText="1"/>
    </xf>
    <xf numFmtId="0" fontId="4" fillId="0" borderId="11" xfId="0" applyFont="1" applyBorder="1" applyAlignment="1">
      <alignment horizontal="left" vertical="center" wrapText="1"/>
    </xf>
    <xf numFmtId="3" fontId="11" fillId="4" borderId="1" xfId="4" applyNumberFormat="1" applyFont="1" applyFill="1" applyBorder="1" applyAlignment="1">
      <alignment horizontal="center" vertical="center" wrapText="1"/>
    </xf>
    <xf numFmtId="3" fontId="11" fillId="4" borderId="2" xfId="4" applyNumberFormat="1" applyFont="1" applyFill="1" applyBorder="1" applyAlignment="1">
      <alignment horizontal="center" vertical="center"/>
    </xf>
    <xf numFmtId="3" fontId="6" fillId="4" borderId="11" xfId="3" applyNumberFormat="1" applyFont="1" applyFill="1" applyBorder="1" applyAlignment="1">
      <alignment horizontal="center" vertical="center"/>
    </xf>
  </cellXfs>
  <cellStyles count="6">
    <cellStyle name="Millares" xfId="1" builtinId="3"/>
    <cellStyle name="Millares 2 3" xfId="5" xr:uid="{91F79B58-C3C6-403F-A8E9-4300BB98F3CB}"/>
    <cellStyle name="Normal" xfId="0" builtinId="0"/>
    <cellStyle name="Normal 4 3" xfId="3" xr:uid="{D267B31E-527F-4464-A87D-B67EB82B966C}"/>
    <cellStyle name="Porcentaje" xfId="2" builtinId="5"/>
    <cellStyle name="TEXTO NORMAL" xfId="4" xr:uid="{EDAE4161-A78A-4A5B-A559-60E5C027FF5D}"/>
  </cellStyles>
  <dxfs count="1">
    <dxf>
      <fill>
        <patternFill patternType="none"/>
      </fill>
    </dxf>
  </dxfs>
  <tableStyles count="0" defaultTableStyle="TableStyleMedium2" defaultPivotStyle="PivotStyleLight16"/>
  <colors>
    <mruColors>
      <color rgb="FFC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spPr>
            <a:solidFill>
              <a:srgbClr val="C00000">
                <a:alpha val="30196"/>
              </a:srgbClr>
            </a:solidFill>
          </c:spPr>
          <c:invertIfNegative val="0"/>
          <c:dPt>
            <c:idx val="7"/>
            <c:invertIfNegative val="0"/>
            <c:bubble3D val="0"/>
            <c:extLst>
              <c:ext xmlns:c16="http://schemas.microsoft.com/office/drawing/2014/chart" uri="{C3380CC4-5D6E-409C-BE32-E72D297353CC}">
                <c16:uniqueId val="{00000000-9898-4371-A9E4-B533EE1B1C1E}"/>
              </c:ext>
            </c:extLst>
          </c:dPt>
          <c:dPt>
            <c:idx val="9"/>
            <c:invertIfNegative val="0"/>
            <c:bubble3D val="0"/>
            <c:spPr>
              <a:solidFill>
                <a:srgbClr val="C00000"/>
              </a:solidFill>
            </c:spPr>
            <c:extLst>
              <c:ext xmlns:c16="http://schemas.microsoft.com/office/drawing/2014/chart" uri="{C3380CC4-5D6E-409C-BE32-E72D297353CC}">
                <c16:uniqueId val="{00000002-9898-4371-A9E4-B533EE1B1C1E}"/>
              </c:ext>
            </c:extLst>
          </c:dPt>
          <c:dLbls>
            <c:dLbl>
              <c:idx val="9"/>
              <c:spPr>
                <a:noFill/>
                <a:ln>
                  <a:noFill/>
                </a:ln>
                <a:effectLst/>
              </c:spPr>
              <c:txPr>
                <a:bodyPr/>
                <a:lstStyle/>
                <a:p>
                  <a:pPr>
                    <a:defRPr sz="1100" b="1"/>
                  </a:pPr>
                  <a:endParaRPr lang="es-PE"/>
                </a:p>
              </c:txPr>
              <c:dLblPos val="outEnd"/>
              <c:showLegendKey val="0"/>
              <c:showVal val="1"/>
              <c:showCatName val="0"/>
              <c:showSerName val="0"/>
              <c:showPercent val="0"/>
              <c:showBubbleSize val="0"/>
              <c:extLst>
                <c:ext xmlns:c16="http://schemas.microsoft.com/office/drawing/2014/chart" uri="{C3380CC4-5D6E-409C-BE32-E72D297353CC}">
                  <c16:uniqueId val="{00000002-9898-4371-A9E4-B533EE1B1C1E}"/>
                </c:ext>
              </c:extLst>
            </c:dLbl>
            <c:spPr>
              <a:noFill/>
              <a:ln>
                <a:noFill/>
              </a:ln>
              <a:effectLst/>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'S01.C01'!$C$27:$C$36</c:f>
              <c:strCache>
                <c:ptCount val="10"/>
                <c:pt idx="0">
                  <c:v>2016</c:v>
                </c:pt>
                <c:pt idx="1">
                  <c:v>2017</c:v>
                </c:pt>
                <c:pt idx="2">
                  <c:v>2018</c:v>
                </c:pt>
                <c:pt idx="3">
                  <c:v>2019</c:v>
                </c:pt>
                <c:pt idx="4">
                  <c:v>2020</c:v>
                </c:pt>
                <c:pt idx="5">
                  <c:v>2021</c:v>
                </c:pt>
                <c:pt idx="6">
                  <c:v>2022</c:v>
                </c:pt>
                <c:pt idx="7">
                  <c:v>2023</c:v>
                </c:pt>
                <c:pt idx="8">
                  <c:v>2024</c:v>
                </c:pt>
                <c:pt idx="9">
                  <c:v>2025
(Ene-Oct)
(Jan-Oct.)</c:v>
                </c:pt>
              </c:strCache>
            </c:strRef>
          </c:cat>
          <c:val>
            <c:numRef>
              <c:f>'S01.C01'!$Q$27:$Q$36</c:f>
              <c:numCache>
                <c:formatCode>#,##0</c:formatCode>
                <c:ptCount val="10"/>
                <c:pt idx="0">
                  <c:v>2352.9595047380653</c:v>
                </c:pt>
                <c:pt idx="1">
                  <c:v>2440.1811105834286</c:v>
                </c:pt>
                <c:pt idx="2">
                  <c:v>2416.8811002070697</c:v>
                </c:pt>
                <c:pt idx="3">
                  <c:v>2437.9253739027731</c:v>
                </c:pt>
                <c:pt idx="4">
                  <c:v>2150.1259121219628</c:v>
                </c:pt>
                <c:pt idx="5">
                  <c:v>2326.0353089323735</c:v>
                </c:pt>
                <c:pt idx="6">
                  <c:v>2445.2708303173977</c:v>
                </c:pt>
                <c:pt idx="7">
                  <c:v>2755.2443167853276</c:v>
                </c:pt>
                <c:pt idx="8">
                  <c:v>2736.2371072517244</c:v>
                </c:pt>
                <c:pt idx="9">
                  <c:v>2296.5872300311225</c:v>
                </c:pt>
              </c:numCache>
            </c:numRef>
          </c:val>
          <c:extLst>
            <c:ext xmlns:c16="http://schemas.microsoft.com/office/drawing/2014/chart" uri="{C3380CC4-5D6E-409C-BE32-E72D297353CC}">
              <c16:uniqueId val="{00000003-9898-4371-A9E4-B533EE1B1C1E}"/>
            </c:ext>
          </c:extLst>
        </c:ser>
        <c:dLbls>
          <c:dLblPos val="outEnd"/>
          <c:showLegendKey val="0"/>
          <c:showVal val="1"/>
          <c:showCatName val="0"/>
          <c:showSerName val="0"/>
          <c:showPercent val="0"/>
          <c:showBubbleSize val="0"/>
        </c:dLbls>
        <c:gapWidth val="150"/>
        <c:axId val="173291776"/>
        <c:axId val="173301760"/>
      </c:barChart>
      <c:catAx>
        <c:axId val="173291776"/>
        <c:scaling>
          <c:orientation val="minMax"/>
        </c:scaling>
        <c:delete val="0"/>
        <c:axPos val="b"/>
        <c:numFmt formatCode="General" sourceLinked="0"/>
        <c:majorTickMark val="out"/>
        <c:minorTickMark val="none"/>
        <c:tickLblPos val="nextTo"/>
        <c:crossAx val="173301760"/>
        <c:crosses val="autoZero"/>
        <c:auto val="1"/>
        <c:lblAlgn val="ctr"/>
        <c:lblOffset val="100"/>
        <c:noMultiLvlLbl val="0"/>
      </c:catAx>
      <c:valAx>
        <c:axId val="173301760"/>
        <c:scaling>
          <c:orientation val="minMax"/>
        </c:scaling>
        <c:delete val="0"/>
        <c:axPos val="l"/>
        <c:numFmt formatCode="#,##0" sourceLinked="1"/>
        <c:majorTickMark val="out"/>
        <c:minorTickMark val="none"/>
        <c:tickLblPos val="nextTo"/>
        <c:crossAx val="173291776"/>
        <c:crosses val="autoZero"/>
        <c:crossBetween val="between"/>
        <c:majorUnit val="1000"/>
      </c:valAx>
    </c:plotArea>
    <c:plotVisOnly val="1"/>
    <c:dispBlanksAs val="gap"/>
    <c:showDLblsOverMax val="0"/>
  </c:chart>
  <c:spPr>
    <a:ln>
      <a:noFill/>
    </a:ln>
  </c:spPr>
  <c:txPr>
    <a:bodyPr/>
    <a:lstStyle/>
    <a:p>
      <a:pPr>
        <a:defRPr>
          <a:latin typeface="+mj-lt"/>
        </a:defRPr>
      </a:pPr>
      <a:endParaRPr lang="es-PE"/>
    </a:p>
  </c:txPr>
  <c:printSettings>
    <c:headerFooter/>
    <c:pageMargins b="0.75" l="0.7" r="0.7" t="0.75" header="0.3" footer="0.3"/>
    <c:pageSetup orientation="portrait"/>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63207</xdr:colOff>
      <xdr:row>65</xdr:row>
      <xdr:rowOff>19050</xdr:rowOff>
    </xdr:from>
    <xdr:to>
      <xdr:col>15</xdr:col>
      <xdr:colOff>542924</xdr:colOff>
      <xdr:row>72</xdr:row>
      <xdr:rowOff>1</xdr:rowOff>
    </xdr:to>
    <xdr:graphicFrame macro="">
      <xdr:nvGraphicFramePr>
        <xdr:cNvPr id="2" name="2 Gráfico">
          <a:extLst>
            <a:ext uri="{FF2B5EF4-FFF2-40B4-BE49-F238E27FC236}">
              <a16:creationId xmlns:a16="http://schemas.microsoft.com/office/drawing/2014/main" id="{7A05BD03-B28A-43AA-BB20-4FA32B326A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A3D1A5-1E2C-4C4B-962C-18DF0D6A85A6}">
  <sheetPr>
    <tabColor rgb="FFC00000"/>
    <pageSetUpPr fitToPage="1"/>
  </sheetPr>
  <dimension ref="C3:AJ74"/>
  <sheetViews>
    <sheetView showGridLines="0" tabSelected="1" view="pageBreakPreview" topLeftCell="A22" zoomScaleNormal="100" zoomScaleSheetLayoutView="100" workbookViewId="0">
      <selection activeCell="J49" sqref="J49"/>
    </sheetView>
  </sheetViews>
  <sheetFormatPr baseColWidth="10" defaultColWidth="11.42578125" defaultRowHeight="12.75" x14ac:dyDescent="0.25"/>
  <cols>
    <col min="1" max="2" width="2.7109375" style="2" customWidth="1"/>
    <col min="3" max="3" width="12.85546875" style="39" customWidth="1"/>
    <col min="4" max="4" width="12.42578125" style="2" customWidth="1"/>
    <col min="5" max="5" width="13.28515625" style="2" bestFit="1" customWidth="1"/>
    <col min="6" max="16" width="12.42578125" style="2" customWidth="1"/>
    <col min="17" max="17" width="2.42578125" style="8" customWidth="1"/>
    <col min="18" max="18" width="11.42578125" style="2"/>
    <col min="19" max="19" width="12.42578125" style="2" bestFit="1" customWidth="1"/>
    <col min="20" max="20" width="14.42578125" style="2" bestFit="1" customWidth="1"/>
    <col min="21" max="22" width="12.42578125" style="2" bestFit="1" customWidth="1"/>
    <col min="23" max="23" width="11.5703125" style="2" bestFit="1" customWidth="1"/>
    <col min="24" max="24" width="13.42578125" style="2" bestFit="1" customWidth="1"/>
    <col min="25" max="26" width="11.5703125" style="2" bestFit="1" customWidth="1"/>
    <col min="27" max="27" width="11.42578125" style="2"/>
    <col min="28" max="28" width="11.5703125" style="2" bestFit="1" customWidth="1"/>
    <col min="29" max="29" width="13.42578125" style="2" bestFit="1" customWidth="1"/>
    <col min="30" max="32" width="11.5703125" style="2" bestFit="1" customWidth="1"/>
    <col min="33" max="33" width="12.42578125" style="2" bestFit="1" customWidth="1"/>
    <col min="34" max="35" width="11.5703125" style="2" bestFit="1" customWidth="1"/>
    <col min="36" max="16384" width="11.42578125" style="2"/>
  </cols>
  <sheetData>
    <row r="3" spans="3:17" ht="15.75" customHeight="1" x14ac:dyDescent="0.25">
      <c r="C3" s="277" t="s">
        <v>0</v>
      </c>
      <c r="D3" s="277"/>
      <c r="E3" s="277"/>
      <c r="F3" s="277"/>
      <c r="G3" s="277"/>
      <c r="H3" s="277"/>
      <c r="I3" s="277"/>
      <c r="J3" s="277"/>
      <c r="K3" s="277"/>
      <c r="L3" s="277"/>
      <c r="M3" s="277"/>
      <c r="N3" s="277"/>
      <c r="O3" s="277"/>
      <c r="P3" s="277"/>
      <c r="Q3" s="1"/>
    </row>
    <row r="4" spans="3:17" ht="14.25" customHeight="1" x14ac:dyDescent="0.25">
      <c r="C4" s="278" t="s">
        <v>1</v>
      </c>
      <c r="D4" s="278"/>
      <c r="E4" s="278"/>
      <c r="F4" s="278"/>
      <c r="G4" s="278"/>
      <c r="H4" s="278"/>
      <c r="I4" s="278"/>
      <c r="J4" s="278"/>
      <c r="K4" s="278"/>
      <c r="L4" s="278"/>
      <c r="M4" s="278"/>
      <c r="N4" s="278"/>
      <c r="O4" s="278"/>
      <c r="P4" s="278"/>
      <c r="Q4" s="3"/>
    </row>
    <row r="5" spans="3:17" ht="9" customHeight="1" x14ac:dyDescent="0.25">
      <c r="C5" s="4"/>
      <c r="D5" s="5"/>
      <c r="E5" s="5"/>
      <c r="F5" s="5"/>
      <c r="G5" s="5"/>
      <c r="H5" s="6"/>
      <c r="I5" s="7"/>
      <c r="J5" s="6"/>
      <c r="K5" s="5"/>
      <c r="L5" s="5"/>
      <c r="M5" s="5"/>
      <c r="N5" s="5"/>
      <c r="O5" s="5"/>
      <c r="P5" s="5"/>
    </row>
    <row r="6" spans="3:17" ht="14.45" customHeight="1" x14ac:dyDescent="0.25">
      <c r="C6" s="279" t="s">
        <v>2</v>
      </c>
      <c r="D6" s="279"/>
      <c r="E6" s="279"/>
      <c r="F6" s="279"/>
      <c r="G6" s="279"/>
      <c r="H6" s="279"/>
      <c r="I6" s="279"/>
      <c r="J6" s="279"/>
      <c r="K6" s="279"/>
      <c r="L6" s="9"/>
      <c r="M6" s="9"/>
      <c r="N6" s="9"/>
      <c r="O6" s="9"/>
      <c r="P6" s="9"/>
    </row>
    <row r="7" spans="3:17" ht="14.45" customHeight="1" x14ac:dyDescent="0.25">
      <c r="C7" s="10" t="s">
        <v>3</v>
      </c>
      <c r="D7" s="9"/>
      <c r="E7" s="9"/>
      <c r="F7" s="9"/>
      <c r="G7" s="9"/>
      <c r="H7" s="9"/>
      <c r="I7" s="9"/>
      <c r="J7" s="9"/>
      <c r="K7" s="9"/>
      <c r="L7" s="9"/>
      <c r="M7" s="9"/>
      <c r="N7" s="9"/>
      <c r="O7" s="9"/>
      <c r="P7" s="9"/>
    </row>
    <row r="8" spans="3:17" x14ac:dyDescent="0.25">
      <c r="C8" s="5"/>
      <c r="D8" s="5"/>
      <c r="E8" s="5"/>
      <c r="F8" s="5"/>
      <c r="G8" s="5"/>
      <c r="H8" s="5"/>
      <c r="I8" s="5"/>
      <c r="J8" s="5"/>
      <c r="K8" s="5"/>
      <c r="L8" s="5"/>
      <c r="M8" s="5"/>
      <c r="N8" s="5"/>
      <c r="O8" s="5"/>
      <c r="P8" s="5"/>
    </row>
    <row r="9" spans="3:17" s="15" customFormat="1" ht="29.25" customHeight="1" x14ac:dyDescent="0.25">
      <c r="C9" s="11" t="s">
        <v>4</v>
      </c>
      <c r="D9" s="12" t="s">
        <v>5</v>
      </c>
      <c r="E9" s="12" t="s">
        <v>6</v>
      </c>
      <c r="F9" s="12" t="s">
        <v>7</v>
      </c>
      <c r="G9" s="12" t="s">
        <v>8</v>
      </c>
      <c r="H9" s="12" t="s">
        <v>9</v>
      </c>
      <c r="I9" s="12" t="s">
        <v>10</v>
      </c>
      <c r="J9" s="12" t="s">
        <v>11</v>
      </c>
      <c r="K9" s="12" t="s">
        <v>12</v>
      </c>
      <c r="L9" s="12" t="s">
        <v>13</v>
      </c>
      <c r="M9" s="12" t="s">
        <v>14</v>
      </c>
      <c r="N9" s="12" t="s">
        <v>15</v>
      </c>
      <c r="O9" s="12" t="s">
        <v>16</v>
      </c>
      <c r="P9" s="13" t="s">
        <v>17</v>
      </c>
      <c r="Q9" s="14"/>
    </row>
    <row r="10" spans="3:17" ht="24" x14ac:dyDescent="0.25">
      <c r="C10" s="16"/>
      <c r="D10" s="17" t="s">
        <v>18</v>
      </c>
      <c r="E10" s="17" t="s">
        <v>19</v>
      </c>
      <c r="F10" s="17" t="s">
        <v>18</v>
      </c>
      <c r="G10" s="17" t="s">
        <v>20</v>
      </c>
      <c r="H10" s="17" t="s">
        <v>18</v>
      </c>
      <c r="I10" s="17" t="s">
        <v>18</v>
      </c>
      <c r="J10" s="17" t="s">
        <v>18</v>
      </c>
      <c r="K10" s="17" t="s">
        <v>18</v>
      </c>
      <c r="L10" s="17" t="s">
        <v>18</v>
      </c>
      <c r="M10" s="17" t="s">
        <v>18</v>
      </c>
      <c r="N10" s="17" t="s">
        <v>18</v>
      </c>
      <c r="O10" s="17" t="s">
        <v>18</v>
      </c>
      <c r="P10" s="18" t="s">
        <v>18</v>
      </c>
    </row>
    <row r="11" spans="3:17" x14ac:dyDescent="0.25">
      <c r="C11" s="19">
        <v>2000</v>
      </c>
      <c r="D11" s="20">
        <v>553924</v>
      </c>
      <c r="E11" s="20">
        <v>132585078.00000001</v>
      </c>
      <c r="F11" s="20">
        <v>910303</v>
      </c>
      <c r="G11" s="20">
        <v>2437706</v>
      </c>
      <c r="H11" s="20">
        <v>270576</v>
      </c>
      <c r="I11" s="20">
        <v>2812784.7804642497</v>
      </c>
      <c r="J11" s="20">
        <v>37410</v>
      </c>
      <c r="K11" s="20">
        <v>7193</v>
      </c>
      <c r="L11" s="20" t="s">
        <v>21</v>
      </c>
      <c r="M11" s="20" t="s">
        <v>21</v>
      </c>
      <c r="N11" s="20" t="s">
        <v>21</v>
      </c>
      <c r="O11" s="20" t="s">
        <v>21</v>
      </c>
      <c r="P11" s="21" t="s">
        <v>21</v>
      </c>
    </row>
    <row r="12" spans="3:17" x14ac:dyDescent="0.25">
      <c r="C12" s="19">
        <v>2001</v>
      </c>
      <c r="D12" s="20">
        <v>722355.34555900015</v>
      </c>
      <c r="E12" s="20">
        <v>138522109.261338</v>
      </c>
      <c r="F12" s="20">
        <v>1056629.375614</v>
      </c>
      <c r="G12" s="20">
        <v>2571113.7884550001</v>
      </c>
      <c r="H12" s="20">
        <v>289546.06610700005</v>
      </c>
      <c r="I12" s="20">
        <v>3038401.494655</v>
      </c>
      <c r="J12" s="20">
        <v>38182.076774000001</v>
      </c>
      <c r="K12" s="20">
        <v>9499.2289039999996</v>
      </c>
      <c r="L12" s="20" t="s">
        <v>21</v>
      </c>
      <c r="M12" s="20" t="s">
        <v>21</v>
      </c>
      <c r="N12" s="20" t="s">
        <v>21</v>
      </c>
      <c r="O12" s="20" t="s">
        <v>21</v>
      </c>
      <c r="P12" s="21" t="s">
        <v>21</v>
      </c>
    </row>
    <row r="13" spans="3:17" x14ac:dyDescent="0.25">
      <c r="C13" s="19">
        <v>2002</v>
      </c>
      <c r="D13" s="20">
        <v>844552.87496099994</v>
      </c>
      <c r="E13" s="20">
        <v>157529918.53579301</v>
      </c>
      <c r="F13" s="20">
        <v>1232996.9204689998</v>
      </c>
      <c r="G13" s="20">
        <v>2869638.9847490001</v>
      </c>
      <c r="H13" s="20">
        <v>305650.71951300005</v>
      </c>
      <c r="I13" s="20">
        <v>3056055.2522</v>
      </c>
      <c r="J13" s="20">
        <v>38815.044966000001</v>
      </c>
      <c r="K13" s="20">
        <v>8612.8507310000005</v>
      </c>
      <c r="L13" s="20" t="s">
        <v>21</v>
      </c>
      <c r="M13" s="20" t="s">
        <v>21</v>
      </c>
      <c r="N13" s="20" t="s">
        <v>21</v>
      </c>
      <c r="O13" s="20" t="s">
        <v>21</v>
      </c>
      <c r="P13" s="21" t="s">
        <v>21</v>
      </c>
    </row>
    <row r="14" spans="3:17" x14ac:dyDescent="0.25">
      <c r="C14" s="19">
        <v>2003</v>
      </c>
      <c r="D14" s="20">
        <v>842605.07863000024</v>
      </c>
      <c r="E14" s="20">
        <v>172624629.84419996</v>
      </c>
      <c r="F14" s="20">
        <v>1373792.267121</v>
      </c>
      <c r="G14" s="20">
        <v>2923686.4022500003</v>
      </c>
      <c r="H14" s="20">
        <v>309163.88219000009</v>
      </c>
      <c r="I14" s="20">
        <v>3484900.3702520002</v>
      </c>
      <c r="J14" s="20">
        <v>40202.178839999993</v>
      </c>
      <c r="K14" s="20">
        <v>9589.5781260000003</v>
      </c>
      <c r="L14" s="20" t="s">
        <v>21</v>
      </c>
      <c r="M14" s="20" t="s">
        <v>21</v>
      </c>
      <c r="N14" s="20" t="s">
        <v>21</v>
      </c>
      <c r="O14" s="20" t="s">
        <v>21</v>
      </c>
      <c r="P14" s="21" t="s">
        <v>21</v>
      </c>
    </row>
    <row r="15" spans="3:17" x14ac:dyDescent="0.25">
      <c r="C15" s="19">
        <v>2004</v>
      </c>
      <c r="D15" s="20">
        <v>1035574.04973</v>
      </c>
      <c r="E15" s="20">
        <v>173223817.38585296</v>
      </c>
      <c r="F15" s="20">
        <v>1209005.7091610003</v>
      </c>
      <c r="G15" s="20">
        <v>3059961.8968920005</v>
      </c>
      <c r="H15" s="20">
        <v>306210.77793799998</v>
      </c>
      <c r="I15" s="20">
        <v>4247173.7726000007</v>
      </c>
      <c r="J15" s="20">
        <v>41613.363517999998</v>
      </c>
      <c r="K15" s="20">
        <v>14246.326868</v>
      </c>
      <c r="L15" s="20" t="s">
        <v>21</v>
      </c>
      <c r="M15" s="20" t="s">
        <v>21</v>
      </c>
      <c r="N15" s="20" t="s">
        <v>21</v>
      </c>
      <c r="O15" s="20" t="s">
        <v>21</v>
      </c>
      <c r="P15" s="21" t="s">
        <v>21</v>
      </c>
    </row>
    <row r="16" spans="3:17" x14ac:dyDescent="0.25">
      <c r="C16" s="19">
        <v>2005</v>
      </c>
      <c r="D16" s="20">
        <v>1009897.918423</v>
      </c>
      <c r="E16" s="20">
        <v>208001717.81876829</v>
      </c>
      <c r="F16" s="20">
        <v>1201670.9143999997</v>
      </c>
      <c r="G16" s="20">
        <v>3193145.5305729993</v>
      </c>
      <c r="H16" s="20">
        <v>319344.80289899989</v>
      </c>
      <c r="I16" s="20">
        <v>4564989.1370999999</v>
      </c>
      <c r="J16" s="20">
        <v>42144.586211000002</v>
      </c>
      <c r="K16" s="20">
        <v>17325.373315000004</v>
      </c>
      <c r="L16" s="20" t="s">
        <v>21</v>
      </c>
      <c r="M16" s="20" t="s">
        <v>21</v>
      </c>
      <c r="N16" s="20" t="s">
        <v>21</v>
      </c>
      <c r="O16" s="20" t="s">
        <v>21</v>
      </c>
      <c r="P16" s="21" t="s">
        <v>21</v>
      </c>
    </row>
    <row r="17" spans="3:36" x14ac:dyDescent="0.25">
      <c r="C17" s="19">
        <v>2006</v>
      </c>
      <c r="D17" s="20">
        <v>1048472.4635900002</v>
      </c>
      <c r="E17" s="20">
        <v>202825998.65453294</v>
      </c>
      <c r="F17" s="20">
        <v>1203364.0679980002</v>
      </c>
      <c r="G17" s="20">
        <v>3470661.2430209992</v>
      </c>
      <c r="H17" s="20">
        <v>313332.28608800005</v>
      </c>
      <c r="I17" s="20">
        <v>4784600.5820000004</v>
      </c>
      <c r="J17" s="20">
        <v>38469.547186000011</v>
      </c>
      <c r="K17" s="20">
        <v>17209.346067999999</v>
      </c>
      <c r="L17" s="20" t="s">
        <v>21</v>
      </c>
      <c r="M17" s="20" t="s">
        <v>21</v>
      </c>
      <c r="N17" s="20" t="s">
        <v>21</v>
      </c>
      <c r="O17" s="20" t="s">
        <v>21</v>
      </c>
      <c r="P17" s="21" t="s">
        <v>21</v>
      </c>
    </row>
    <row r="18" spans="3:36" x14ac:dyDescent="0.25">
      <c r="C18" s="19">
        <v>2007</v>
      </c>
      <c r="D18" s="20">
        <v>1190273.6039159999</v>
      </c>
      <c r="E18" s="20">
        <v>170127538.95581597</v>
      </c>
      <c r="F18" s="20">
        <v>1444361.4378260002</v>
      </c>
      <c r="G18" s="20">
        <v>3501461.9256330007</v>
      </c>
      <c r="H18" s="20">
        <v>329164.77903499996</v>
      </c>
      <c r="I18" s="20">
        <v>5103597.2635999992</v>
      </c>
      <c r="J18" s="20">
        <v>39018.915689000001</v>
      </c>
      <c r="K18" s="20">
        <v>16786.886077000003</v>
      </c>
      <c r="L18" s="20" t="s">
        <v>21</v>
      </c>
      <c r="M18" s="20" t="s">
        <v>21</v>
      </c>
      <c r="N18" s="20" t="s">
        <v>21</v>
      </c>
      <c r="O18" s="20" t="s">
        <v>21</v>
      </c>
      <c r="P18" s="21" t="s">
        <v>21</v>
      </c>
    </row>
    <row r="19" spans="3:36" x14ac:dyDescent="0.25">
      <c r="C19" s="19">
        <v>2008</v>
      </c>
      <c r="D19" s="20">
        <v>1267866.5800789997</v>
      </c>
      <c r="E19" s="20">
        <v>179870472.99560794</v>
      </c>
      <c r="F19" s="20">
        <v>1602597.0080210003</v>
      </c>
      <c r="G19" s="20">
        <v>3685931.0012759985</v>
      </c>
      <c r="H19" s="20">
        <v>345109.27027199999</v>
      </c>
      <c r="I19" s="20">
        <v>5160707.0164000001</v>
      </c>
      <c r="J19" s="20">
        <v>39037.065935000006</v>
      </c>
      <c r="K19" s="20">
        <v>16720.528117000002</v>
      </c>
      <c r="L19" s="20" t="s">
        <v>21</v>
      </c>
      <c r="M19" s="20" t="s">
        <v>21</v>
      </c>
      <c r="N19" s="20" t="s">
        <v>21</v>
      </c>
      <c r="O19" s="20" t="s">
        <v>21</v>
      </c>
      <c r="P19" s="21" t="s">
        <v>21</v>
      </c>
    </row>
    <row r="20" spans="3:36" x14ac:dyDescent="0.25">
      <c r="C20" s="19">
        <v>2009</v>
      </c>
      <c r="D20" s="20">
        <v>1276249.2028349997</v>
      </c>
      <c r="E20" s="20">
        <v>183994691.50778204</v>
      </c>
      <c r="F20" s="20">
        <v>1512931.0674320005</v>
      </c>
      <c r="G20" s="20">
        <v>3922708.3963299985</v>
      </c>
      <c r="H20" s="20">
        <v>302459.11290999997</v>
      </c>
      <c r="I20" s="20">
        <v>4418768.325600001</v>
      </c>
      <c r="J20" s="20">
        <v>37502.627191</v>
      </c>
      <c r="K20" s="20">
        <v>12297.103142</v>
      </c>
      <c r="L20" s="20" t="s">
        <v>21</v>
      </c>
      <c r="M20" s="20" t="s">
        <v>21</v>
      </c>
      <c r="N20" s="20" t="s">
        <v>21</v>
      </c>
      <c r="O20" s="20" t="s">
        <v>21</v>
      </c>
      <c r="P20" s="21" t="s">
        <v>21</v>
      </c>
    </row>
    <row r="21" spans="3:36" x14ac:dyDescent="0.25">
      <c r="C21" s="19">
        <v>2010</v>
      </c>
      <c r="D21" s="20">
        <v>1247184.0293920001</v>
      </c>
      <c r="E21" s="20">
        <v>164084388.90122896</v>
      </c>
      <c r="F21" s="20">
        <v>1470449.7064990005</v>
      </c>
      <c r="G21" s="20">
        <v>3640465.4641499999</v>
      </c>
      <c r="H21" s="20">
        <v>261989.60579399997</v>
      </c>
      <c r="I21" s="20">
        <v>6042644.2223000005</v>
      </c>
      <c r="J21" s="20">
        <v>33847.813441999999</v>
      </c>
      <c r="K21" s="20">
        <v>16963.268973000002</v>
      </c>
      <c r="L21" s="20" t="s">
        <v>21</v>
      </c>
      <c r="M21" s="20" t="s">
        <v>21</v>
      </c>
      <c r="N21" s="20" t="s">
        <v>21</v>
      </c>
      <c r="O21" s="20" t="s">
        <v>21</v>
      </c>
      <c r="P21" s="21" t="s">
        <v>21</v>
      </c>
    </row>
    <row r="22" spans="3:36" x14ac:dyDescent="0.25">
      <c r="C22" s="19">
        <v>2011</v>
      </c>
      <c r="D22" s="20">
        <v>1235345.068018001</v>
      </c>
      <c r="E22" s="20">
        <v>166186716.98165271</v>
      </c>
      <c r="F22" s="20">
        <v>1256382.6002109998</v>
      </c>
      <c r="G22" s="20">
        <v>3418862.1174220056</v>
      </c>
      <c r="H22" s="20">
        <v>230199.08238500016</v>
      </c>
      <c r="I22" s="20">
        <v>7010937.8915999997</v>
      </c>
      <c r="J22" s="20">
        <v>28881.790965999993</v>
      </c>
      <c r="K22" s="20">
        <v>19141.078052000001</v>
      </c>
      <c r="L22" s="20" t="s">
        <v>21</v>
      </c>
      <c r="M22" s="20" t="s">
        <v>21</v>
      </c>
      <c r="N22" s="20" t="s">
        <v>21</v>
      </c>
      <c r="O22" s="20" t="s">
        <v>21</v>
      </c>
      <c r="P22" s="21" t="s">
        <v>21</v>
      </c>
      <c r="Q22" s="22">
        <f t="shared" ref="Q22:Q36" si="0">D22/1000</f>
        <v>1235.345068018001</v>
      </c>
      <c r="AB22" s="23"/>
      <c r="AC22" s="23"/>
      <c r="AD22" s="23"/>
      <c r="AE22" s="23"/>
      <c r="AF22" s="23"/>
      <c r="AG22" s="23"/>
      <c r="AH22" s="23"/>
      <c r="AI22" s="23"/>
      <c r="AJ22" s="24"/>
    </row>
    <row r="23" spans="3:36" x14ac:dyDescent="0.25">
      <c r="C23" s="19">
        <v>2012</v>
      </c>
      <c r="D23" s="20">
        <v>1289916.9346156276</v>
      </c>
      <c r="E23" s="20">
        <v>153780960.26084191</v>
      </c>
      <c r="F23" s="20">
        <v>1281282.431485241</v>
      </c>
      <c r="G23" s="20">
        <v>3452004.3609873233</v>
      </c>
      <c r="H23" s="20">
        <v>249236.15747171015</v>
      </c>
      <c r="I23" s="20">
        <v>6684539.3918000003</v>
      </c>
      <c r="J23" s="20">
        <v>26104.854505400006</v>
      </c>
      <c r="K23" s="20">
        <v>16790.374244900002</v>
      </c>
      <c r="L23" s="20" t="s">
        <v>21</v>
      </c>
      <c r="M23" s="20" t="s">
        <v>21</v>
      </c>
      <c r="N23" s="20" t="s">
        <v>21</v>
      </c>
      <c r="O23" s="20" t="s">
        <v>21</v>
      </c>
      <c r="P23" s="21" t="s">
        <v>21</v>
      </c>
      <c r="Q23" s="22">
        <f t="shared" si="0"/>
        <v>1289.9169346156277</v>
      </c>
      <c r="R23" s="24"/>
      <c r="AB23" s="23"/>
      <c r="AC23" s="23"/>
      <c r="AD23" s="23"/>
      <c r="AE23" s="23"/>
      <c r="AF23" s="23"/>
      <c r="AG23" s="23"/>
      <c r="AH23" s="23"/>
      <c r="AI23" s="23"/>
    </row>
    <row r="24" spans="3:36" x14ac:dyDescent="0.25">
      <c r="C24" s="19">
        <v>2013</v>
      </c>
      <c r="D24" s="20">
        <v>1363452.9126998207</v>
      </c>
      <c r="E24" s="20">
        <v>143716837.41998193</v>
      </c>
      <c r="F24" s="20">
        <v>1351048.7423302194</v>
      </c>
      <c r="G24" s="20">
        <v>3648503.3400407191</v>
      </c>
      <c r="H24" s="20">
        <v>266312.71547875</v>
      </c>
      <c r="I24" s="20">
        <v>6680658.79</v>
      </c>
      <c r="J24" s="20">
        <v>23667.787451500008</v>
      </c>
      <c r="K24" s="20">
        <v>18139.597244000001</v>
      </c>
      <c r="L24" s="20" t="s">
        <v>21</v>
      </c>
      <c r="M24" s="20" t="s">
        <v>21</v>
      </c>
      <c r="N24" s="20" t="s">
        <v>21</v>
      </c>
      <c r="O24" s="20" t="s">
        <v>21</v>
      </c>
      <c r="P24" s="21" t="s">
        <v>21</v>
      </c>
      <c r="Q24" s="22">
        <f t="shared" si="0"/>
        <v>1363.4529126998207</v>
      </c>
      <c r="R24" s="24"/>
      <c r="AB24" s="23"/>
      <c r="AC24" s="23"/>
      <c r="AD24" s="23"/>
      <c r="AE24" s="23"/>
      <c r="AF24" s="23"/>
      <c r="AG24" s="23"/>
      <c r="AH24" s="23"/>
      <c r="AI24" s="23"/>
    </row>
    <row r="25" spans="3:36" x14ac:dyDescent="0.25">
      <c r="C25" s="19">
        <v>2014</v>
      </c>
      <c r="D25" s="20">
        <v>1377373.7760182077</v>
      </c>
      <c r="E25" s="20">
        <v>129946243.44281495</v>
      </c>
      <c r="F25" s="20">
        <v>1315221.0230463955</v>
      </c>
      <c r="G25" s="20">
        <v>3738279.9180184668</v>
      </c>
      <c r="H25" s="20">
        <v>277116.52714844397</v>
      </c>
      <c r="I25" s="20">
        <v>7192591.9308000002</v>
      </c>
      <c r="J25" s="20">
        <v>23105.261867800007</v>
      </c>
      <c r="K25" s="20">
        <v>17017.692464999996</v>
      </c>
      <c r="L25" s="20" t="s">
        <v>21</v>
      </c>
      <c r="M25" s="20" t="s">
        <v>21</v>
      </c>
      <c r="N25" s="20" t="s">
        <v>21</v>
      </c>
      <c r="O25" s="20" t="s">
        <v>21</v>
      </c>
      <c r="P25" s="21" t="s">
        <v>21</v>
      </c>
      <c r="Q25" s="22">
        <f t="shared" si="0"/>
        <v>1377.3737760182078</v>
      </c>
      <c r="R25" s="24"/>
      <c r="AB25" s="23"/>
      <c r="AC25" s="23"/>
      <c r="AD25" s="23"/>
      <c r="AE25" s="23"/>
      <c r="AF25" s="23"/>
      <c r="AG25" s="23"/>
      <c r="AH25" s="23"/>
      <c r="AI25" s="23"/>
    </row>
    <row r="26" spans="3:36" x14ac:dyDescent="0.25">
      <c r="C26" s="19">
        <v>2015</v>
      </c>
      <c r="D26" s="20">
        <v>1699939.7432781935</v>
      </c>
      <c r="E26" s="20">
        <v>137378305.7952458</v>
      </c>
      <c r="F26" s="20">
        <v>1415823.5863843861</v>
      </c>
      <c r="G26" s="20">
        <v>4071094.9244271382</v>
      </c>
      <c r="H26" s="20">
        <v>314011.10750861233</v>
      </c>
      <c r="I26" s="20">
        <v>7320806.8477000007</v>
      </c>
      <c r="J26" s="20">
        <v>19510.729779199999</v>
      </c>
      <c r="K26" s="20">
        <v>20153.237616000009</v>
      </c>
      <c r="L26" s="20" t="s">
        <v>21</v>
      </c>
      <c r="M26" s="20" t="s">
        <v>21</v>
      </c>
      <c r="N26" s="20" t="s">
        <v>21</v>
      </c>
      <c r="O26" s="20" t="s">
        <v>21</v>
      </c>
      <c r="P26" s="21" t="s">
        <v>21</v>
      </c>
      <c r="Q26" s="22">
        <f t="shared" si="0"/>
        <v>1699.9397432781934</v>
      </c>
      <c r="R26" s="24"/>
      <c r="AB26" s="23"/>
      <c r="AC26" s="23"/>
      <c r="AD26" s="23"/>
      <c r="AE26" s="23"/>
      <c r="AF26" s="23"/>
      <c r="AG26" s="23"/>
      <c r="AH26" s="23"/>
      <c r="AI26" s="23"/>
    </row>
    <row r="27" spans="3:36" x14ac:dyDescent="0.25">
      <c r="C27" s="19">
        <v>2016</v>
      </c>
      <c r="D27" s="20">
        <v>2352959.5047380654</v>
      </c>
      <c r="E27" s="20">
        <v>142230636.69316867</v>
      </c>
      <c r="F27" s="20">
        <v>1329178.0227656392</v>
      </c>
      <c r="G27" s="20">
        <v>4329179.7629066529</v>
      </c>
      <c r="H27" s="20">
        <v>312806.40109176951</v>
      </c>
      <c r="I27" s="20">
        <v>7663123.9877000004</v>
      </c>
      <c r="J27" s="20">
        <v>18789.0047614</v>
      </c>
      <c r="K27" s="20">
        <v>25756.505005499999</v>
      </c>
      <c r="L27" s="20">
        <v>23251.82108854</v>
      </c>
      <c r="M27" s="20">
        <v>187.59719447999996</v>
      </c>
      <c r="N27" s="20" t="s">
        <v>21</v>
      </c>
      <c r="O27" s="20">
        <v>1194.0643193499998</v>
      </c>
      <c r="P27" s="21" t="s">
        <v>21</v>
      </c>
      <c r="Q27" s="22">
        <f t="shared" si="0"/>
        <v>2352.9595047380653</v>
      </c>
      <c r="R27" s="24"/>
      <c r="AB27" s="23"/>
      <c r="AC27" s="23"/>
      <c r="AD27" s="23"/>
      <c r="AE27" s="23"/>
      <c r="AF27" s="23"/>
      <c r="AG27" s="23"/>
      <c r="AH27" s="23"/>
      <c r="AI27" s="23"/>
    </row>
    <row r="28" spans="3:36" x14ac:dyDescent="0.25">
      <c r="C28" s="19">
        <v>2017</v>
      </c>
      <c r="D28" s="20">
        <v>2440181.1105834288</v>
      </c>
      <c r="E28" s="20">
        <v>138425832.76156646</v>
      </c>
      <c r="F28" s="20">
        <v>1466521.468671351</v>
      </c>
      <c r="G28" s="20">
        <v>4318324.2784375055</v>
      </c>
      <c r="H28" s="20">
        <v>305279.59941443987</v>
      </c>
      <c r="I28" s="20">
        <v>8668091.618999999</v>
      </c>
      <c r="J28" s="20">
        <v>17790.363566100001</v>
      </c>
      <c r="K28" s="20">
        <v>28141.125214199987</v>
      </c>
      <c r="L28" s="20">
        <v>22403.407244680002</v>
      </c>
      <c r="M28" s="20">
        <v>123.17674860000001</v>
      </c>
      <c r="N28" s="20" t="s">
        <v>21</v>
      </c>
      <c r="O28" s="20">
        <v>1133.2781170000001</v>
      </c>
      <c r="P28" s="21" t="s">
        <v>21</v>
      </c>
      <c r="Q28" s="22">
        <f t="shared" si="0"/>
        <v>2440.1811105834286</v>
      </c>
      <c r="R28" s="24"/>
      <c r="AB28" s="23"/>
      <c r="AC28" s="23"/>
      <c r="AD28" s="23"/>
      <c r="AE28" s="23"/>
      <c r="AF28" s="23"/>
      <c r="AG28" s="23"/>
      <c r="AH28" s="23"/>
      <c r="AI28" s="23"/>
    </row>
    <row r="29" spans="3:36" ht="12" customHeight="1" x14ac:dyDescent="0.25">
      <c r="C29" s="19">
        <v>2018</v>
      </c>
      <c r="D29" s="20">
        <v>2416881.1002070699</v>
      </c>
      <c r="E29" s="20">
        <v>125933914.4370804</v>
      </c>
      <c r="F29" s="20">
        <v>1471845.936649523</v>
      </c>
      <c r="G29" s="20">
        <v>3999990.1319625694</v>
      </c>
      <c r="H29" s="20">
        <v>288796.22529555805</v>
      </c>
      <c r="I29" s="20">
        <v>9096993.8719999995</v>
      </c>
      <c r="J29" s="20">
        <v>18601.344508400005</v>
      </c>
      <c r="K29" s="20">
        <v>27604.218841510006</v>
      </c>
      <c r="L29" s="20">
        <v>20407.598393799999</v>
      </c>
      <c r="M29" s="20">
        <v>145.236144</v>
      </c>
      <c r="N29" s="20" t="s">
        <v>21</v>
      </c>
      <c r="O29" s="20">
        <v>20879.636489500001</v>
      </c>
      <c r="P29" s="21" t="s">
        <v>21</v>
      </c>
      <c r="Q29" s="22">
        <f t="shared" si="0"/>
        <v>2416.8811002070697</v>
      </c>
      <c r="R29" s="24"/>
      <c r="AB29" s="23"/>
      <c r="AC29" s="23"/>
      <c r="AD29" s="23"/>
      <c r="AE29" s="23"/>
      <c r="AF29" s="23"/>
      <c r="AG29" s="23"/>
      <c r="AH29" s="23"/>
      <c r="AI29" s="23"/>
    </row>
    <row r="30" spans="3:36" x14ac:dyDescent="0.25">
      <c r="C30" s="19">
        <v>2019</v>
      </c>
      <c r="D30" s="20">
        <v>2437925.373902773</v>
      </c>
      <c r="E30" s="20">
        <v>113586028.97131993</v>
      </c>
      <c r="F30" s="20">
        <v>1382753.4838439696</v>
      </c>
      <c r="G30" s="20">
        <v>3706760.2491151234</v>
      </c>
      <c r="H30" s="20">
        <v>307020.88310454384</v>
      </c>
      <c r="I30" s="20">
        <v>9666411.8718999997</v>
      </c>
      <c r="J30" s="20">
        <v>19853.168399999995</v>
      </c>
      <c r="K30" s="20">
        <v>30441.359039579998</v>
      </c>
      <c r="L30" s="20">
        <v>24914.734069159997</v>
      </c>
      <c r="M30" s="20">
        <v>72.514848099999995</v>
      </c>
      <c r="N30" s="20" t="s">
        <v>21</v>
      </c>
      <c r="O30" s="20">
        <v>18814.2028421</v>
      </c>
      <c r="P30" s="21" t="s">
        <v>21</v>
      </c>
      <c r="Q30" s="22">
        <f t="shared" si="0"/>
        <v>2437.9253739027731</v>
      </c>
      <c r="R30" s="24"/>
      <c r="AB30" s="23"/>
      <c r="AC30" s="23"/>
      <c r="AD30" s="23"/>
      <c r="AE30" s="23"/>
      <c r="AF30" s="23"/>
      <c r="AG30" s="23"/>
      <c r="AH30" s="23"/>
      <c r="AI30" s="23"/>
    </row>
    <row r="31" spans="3:36" x14ac:dyDescent="0.25">
      <c r="C31" s="19">
        <v>2020</v>
      </c>
      <c r="D31" s="20">
        <v>2150125.9121219628</v>
      </c>
      <c r="E31" s="20">
        <v>85368457.367976174</v>
      </c>
      <c r="F31" s="20">
        <v>1334570.4777680759</v>
      </c>
      <c r="G31" s="20">
        <v>2721461.1368655483</v>
      </c>
      <c r="H31" s="20">
        <v>241547.91303967001</v>
      </c>
      <c r="I31" s="20">
        <v>8893971.5276180003</v>
      </c>
      <c r="J31" s="20">
        <v>20646.581029499997</v>
      </c>
      <c r="K31" s="20">
        <v>32184.625879069805</v>
      </c>
      <c r="L31" s="20">
        <v>19013.894022044497</v>
      </c>
      <c r="M31" s="20">
        <v>73.906293489500015</v>
      </c>
      <c r="N31" s="20">
        <v>235.52044689999997</v>
      </c>
      <c r="O31" s="20">
        <v>10119.873510295998</v>
      </c>
      <c r="P31" s="21" t="s">
        <v>21</v>
      </c>
      <c r="Q31" s="22">
        <f t="shared" si="0"/>
        <v>2150.1259121219628</v>
      </c>
      <c r="R31" s="24"/>
      <c r="AB31" s="23"/>
      <c r="AC31" s="23"/>
      <c r="AD31" s="23"/>
      <c r="AE31" s="23"/>
      <c r="AF31" s="23"/>
      <c r="AG31" s="23"/>
      <c r="AH31" s="23"/>
      <c r="AI31" s="23"/>
    </row>
    <row r="32" spans="3:36" x14ac:dyDescent="0.25">
      <c r="C32" s="19">
        <v>2021</v>
      </c>
      <c r="D32" s="20">
        <v>2326035.3089323733</v>
      </c>
      <c r="E32" s="20">
        <v>97492951.121057257</v>
      </c>
      <c r="F32" s="20">
        <v>1533134.9989912319</v>
      </c>
      <c r="G32" s="20">
        <v>3333632.4494976597</v>
      </c>
      <c r="H32" s="20">
        <v>264426.50705023162</v>
      </c>
      <c r="I32" s="20">
        <v>12149273.526027001</v>
      </c>
      <c r="J32" s="20">
        <v>26995.267701000004</v>
      </c>
      <c r="K32" s="20">
        <v>34148.029036760017</v>
      </c>
      <c r="L32" s="20">
        <v>21876.501141209999</v>
      </c>
      <c r="M32" s="20">
        <v>247.486251065</v>
      </c>
      <c r="N32" s="20">
        <v>278.81457949999998</v>
      </c>
      <c r="O32" s="20">
        <v>11390.682832689996</v>
      </c>
      <c r="P32" s="21" t="s">
        <v>21</v>
      </c>
      <c r="Q32" s="22">
        <f t="shared" si="0"/>
        <v>2326.0353089323735</v>
      </c>
      <c r="R32" s="24"/>
      <c r="AB32" s="23"/>
      <c r="AC32" s="23"/>
      <c r="AD32" s="23"/>
      <c r="AE32" s="23"/>
      <c r="AF32" s="23"/>
      <c r="AG32" s="23"/>
      <c r="AH32" s="23"/>
      <c r="AI32" s="23"/>
    </row>
    <row r="33" spans="3:35" x14ac:dyDescent="0.25">
      <c r="C33" s="19">
        <v>2022</v>
      </c>
      <c r="D33" s="20">
        <v>2445270.8303173976</v>
      </c>
      <c r="E33" s="20">
        <v>96965977.163885579</v>
      </c>
      <c r="F33" s="20">
        <v>1369649.1117797941</v>
      </c>
      <c r="G33" s="20">
        <v>3084038.7076613051</v>
      </c>
      <c r="H33" s="20">
        <v>255442.99715858512</v>
      </c>
      <c r="I33" s="20">
        <v>12936826.381839</v>
      </c>
      <c r="J33" s="20">
        <v>28231.359913</v>
      </c>
      <c r="K33" s="20">
        <v>31587.568951759989</v>
      </c>
      <c r="L33" s="20">
        <v>25378.500620530005</v>
      </c>
      <c r="M33" s="20">
        <v>251.24793746000006</v>
      </c>
      <c r="N33" s="20">
        <v>263.99886950000001</v>
      </c>
      <c r="O33" s="20">
        <v>1169.1241914</v>
      </c>
      <c r="P33" s="21" t="s">
        <v>21</v>
      </c>
      <c r="Q33" s="22">
        <f t="shared" si="0"/>
        <v>2445.2708303173977</v>
      </c>
      <c r="R33" s="24"/>
      <c r="AB33" s="23"/>
      <c r="AC33" s="23"/>
      <c r="AD33" s="23"/>
      <c r="AE33" s="23"/>
      <c r="AF33" s="23"/>
      <c r="AG33" s="23"/>
      <c r="AH33" s="23"/>
      <c r="AI33" s="23"/>
    </row>
    <row r="34" spans="3:35" x14ac:dyDescent="0.25">
      <c r="C34" s="19">
        <v>2023</v>
      </c>
      <c r="D34" s="20">
        <v>2755244.3167853276</v>
      </c>
      <c r="E34" s="20">
        <v>100985631.43873213</v>
      </c>
      <c r="F34" s="20">
        <v>1469127.1631768667</v>
      </c>
      <c r="G34" s="20">
        <v>3041393.6459926581</v>
      </c>
      <c r="H34" s="20">
        <v>273335.49825696991</v>
      </c>
      <c r="I34" s="20">
        <v>12986023.244491</v>
      </c>
      <c r="J34" s="20">
        <v>26230.046980000003</v>
      </c>
      <c r="K34" s="20">
        <v>33475.6190292315</v>
      </c>
      <c r="L34" s="20">
        <v>31161.763995300007</v>
      </c>
      <c r="M34" s="20">
        <v>303.74941249999995</v>
      </c>
      <c r="N34" s="20">
        <v>331.35815600000001</v>
      </c>
      <c r="O34" s="20">
        <v>1326.7171017999999</v>
      </c>
      <c r="P34" s="21">
        <v>22.705695600000002</v>
      </c>
      <c r="Q34" s="22">
        <f t="shared" si="0"/>
        <v>2755.2443167853276</v>
      </c>
      <c r="R34" s="24"/>
      <c r="AB34" s="23"/>
      <c r="AC34" s="23"/>
      <c r="AD34" s="23"/>
      <c r="AE34" s="23"/>
      <c r="AF34" s="23"/>
      <c r="AG34" s="23"/>
      <c r="AH34" s="23"/>
      <c r="AI34" s="23"/>
    </row>
    <row r="35" spans="3:35" x14ac:dyDescent="0.25">
      <c r="C35" s="16">
        <v>2024</v>
      </c>
      <c r="D35" s="204">
        <v>2736237.1072517242</v>
      </c>
      <c r="E35" s="205">
        <v>109601479.84250277</v>
      </c>
      <c r="F35" s="204">
        <v>1270646.954794979</v>
      </c>
      <c r="G35" s="204">
        <v>3512301.3933015401</v>
      </c>
      <c r="H35" s="204">
        <v>291319.62661629292</v>
      </c>
      <c r="I35" s="204">
        <v>13309265.480335999</v>
      </c>
      <c r="J35" s="204">
        <v>32317.234399999998</v>
      </c>
      <c r="K35" s="204">
        <v>41941.797900007798</v>
      </c>
      <c r="L35" s="204">
        <v>32027.784417279996</v>
      </c>
      <c r="M35" s="204">
        <v>265.34277630000003</v>
      </c>
      <c r="N35" s="204">
        <v>317.31784800000003</v>
      </c>
      <c r="O35" s="204">
        <v>24159.249493900003</v>
      </c>
      <c r="P35" s="210">
        <v>40.573911600000002</v>
      </c>
      <c r="Q35" s="22">
        <f t="shared" si="0"/>
        <v>2736.2371072517244</v>
      </c>
      <c r="R35" s="24"/>
      <c r="AB35" s="23"/>
      <c r="AC35" s="23"/>
      <c r="AD35" s="23"/>
      <c r="AE35" s="23"/>
      <c r="AF35" s="23"/>
      <c r="AG35" s="23"/>
      <c r="AH35" s="23"/>
      <c r="AI35" s="23"/>
    </row>
    <row r="36" spans="3:35" ht="38.25" x14ac:dyDescent="0.25">
      <c r="C36" s="25" t="s">
        <v>134</v>
      </c>
      <c r="D36" s="26">
        <f>SUM(D37:D46)</f>
        <v>2296587.2300311225</v>
      </c>
      <c r="E36" s="26">
        <f>SUM(E37:E46)</f>
        <v>90521273.460002884</v>
      </c>
      <c r="F36" s="26">
        <f t="shared" ref="E36:P36" si="1">SUM(F37:F46)</f>
        <v>1251905.1531898042</v>
      </c>
      <c r="G36" s="26">
        <f t="shared" si="1"/>
        <v>3126328.1681678719</v>
      </c>
      <c r="H36" s="26">
        <f t="shared" si="1"/>
        <v>260146.02395615686</v>
      </c>
      <c r="I36" s="26">
        <f t="shared" si="1"/>
        <v>9527222.9557980001</v>
      </c>
      <c r="J36" s="26">
        <f t="shared" si="1"/>
        <v>28516.780784000002</v>
      </c>
      <c r="K36" s="26">
        <f t="shared" si="1"/>
        <v>32021.8785587661</v>
      </c>
      <c r="L36" s="26">
        <f t="shared" si="1"/>
        <v>22746.774827199995</v>
      </c>
      <c r="M36" s="26">
        <f t="shared" si="1"/>
        <v>229.81165080000002</v>
      </c>
      <c r="N36" s="26">
        <f t="shared" si="1"/>
        <v>265.04775899999999</v>
      </c>
      <c r="O36" s="26">
        <f t="shared" si="1"/>
        <v>31457.4638978</v>
      </c>
      <c r="P36" s="296">
        <f>SUM(P37:P46)</f>
        <v>29.763641999999997</v>
      </c>
      <c r="Q36" s="22">
        <f t="shared" si="0"/>
        <v>2296.5872300311225</v>
      </c>
      <c r="R36" s="24"/>
      <c r="AB36" s="23"/>
      <c r="AC36" s="23"/>
      <c r="AD36" s="23"/>
      <c r="AE36" s="23"/>
      <c r="AF36" s="23"/>
      <c r="AG36" s="23"/>
      <c r="AH36" s="23"/>
      <c r="AI36" s="23"/>
    </row>
    <row r="37" spans="3:35" x14ac:dyDescent="0.25">
      <c r="C37" s="27" t="s">
        <v>22</v>
      </c>
      <c r="D37" s="206">
        <v>219671.15839866945</v>
      </c>
      <c r="E37" s="206">
        <v>8493157.6215080488</v>
      </c>
      <c r="F37" s="206">
        <v>91855.694164931963</v>
      </c>
      <c r="G37" s="206">
        <v>273535.95251020364</v>
      </c>
      <c r="H37" s="206">
        <v>21568.800301891904</v>
      </c>
      <c r="I37" s="206">
        <v>1161378.8055939998</v>
      </c>
      <c r="J37" s="206">
        <v>2537.2527399999999</v>
      </c>
      <c r="K37" s="206">
        <v>3231.3934248973001</v>
      </c>
      <c r="L37" s="206">
        <v>2338.8900573999999</v>
      </c>
      <c r="M37" s="207">
        <v>20.011532799999998</v>
      </c>
      <c r="N37" s="207">
        <v>30.094110000000001</v>
      </c>
      <c r="O37" s="206">
        <v>2581.9835498000002</v>
      </c>
      <c r="P37" s="241">
        <v>2.2356600000000002</v>
      </c>
      <c r="Q37" s="28">
        <v>11138766.849174995</v>
      </c>
      <c r="T37" s="29"/>
      <c r="U37" s="29"/>
      <c r="V37" s="29"/>
      <c r="W37" s="29"/>
      <c r="X37" s="29"/>
      <c r="Y37" s="29"/>
      <c r="Z37" s="29"/>
      <c r="AA37" s="29"/>
      <c r="AB37" s="23"/>
      <c r="AC37" s="23"/>
      <c r="AD37" s="23"/>
      <c r="AE37" s="23"/>
      <c r="AF37" s="23"/>
      <c r="AG37" s="23"/>
      <c r="AH37" s="23"/>
      <c r="AI37" s="23"/>
    </row>
    <row r="38" spans="3:35" x14ac:dyDescent="0.25">
      <c r="C38" s="30" t="s">
        <v>23</v>
      </c>
      <c r="D38" s="206">
        <v>217002.48869369697</v>
      </c>
      <c r="E38" s="206">
        <v>8061946.9538022997</v>
      </c>
      <c r="F38" s="206">
        <v>109459.79120289112</v>
      </c>
      <c r="G38" s="206">
        <v>298940.56814474677</v>
      </c>
      <c r="H38" s="206">
        <v>23230.586675680905</v>
      </c>
      <c r="I38" s="206">
        <v>1122169.9234620002</v>
      </c>
      <c r="J38" s="206">
        <v>2597.7712999999999</v>
      </c>
      <c r="K38" s="206">
        <v>3448.2970789000001</v>
      </c>
      <c r="L38" s="206">
        <v>2295.3407548999994</v>
      </c>
      <c r="M38" s="207">
        <v>16.554153000000003</v>
      </c>
      <c r="N38" s="207">
        <v>26.565791999999998</v>
      </c>
      <c r="O38" s="206">
        <v>3577.7138660000001</v>
      </c>
      <c r="P38" s="241">
        <v>2.8617279999999998</v>
      </c>
      <c r="Q38" s="28"/>
      <c r="T38" s="29"/>
      <c r="U38" s="29"/>
      <c r="V38" s="29"/>
      <c r="W38" s="29"/>
      <c r="X38" s="29"/>
      <c r="Y38" s="29"/>
      <c r="Z38" s="29"/>
      <c r="AA38" s="29"/>
      <c r="AB38" s="23"/>
      <c r="AC38" s="23"/>
      <c r="AD38" s="23"/>
      <c r="AE38" s="23"/>
      <c r="AF38" s="23"/>
      <c r="AG38" s="23"/>
      <c r="AH38" s="23"/>
      <c r="AI38" s="23"/>
    </row>
    <row r="39" spans="3:35" x14ac:dyDescent="0.25">
      <c r="C39" s="30" t="s">
        <v>24</v>
      </c>
      <c r="D39" s="206">
        <v>229827.04957684444</v>
      </c>
      <c r="E39" s="206">
        <v>8869739.5269127954</v>
      </c>
      <c r="F39" s="206">
        <v>119229.05424405822</v>
      </c>
      <c r="G39" s="206">
        <v>288382.90878245531</v>
      </c>
      <c r="H39" s="206">
        <v>25091.882432795606</v>
      </c>
      <c r="I39" s="206">
        <v>1218023.8837799998</v>
      </c>
      <c r="J39" s="206">
        <v>2922.6831999999999</v>
      </c>
      <c r="K39" s="206">
        <v>4034.7399693068</v>
      </c>
      <c r="L39" s="206">
        <v>1854.5507202000001</v>
      </c>
      <c r="M39" s="207">
        <v>25.131314000000003</v>
      </c>
      <c r="N39" s="207">
        <v>28.990872000000003</v>
      </c>
      <c r="O39" s="206">
        <v>2962.1689506000002</v>
      </c>
      <c r="P39" s="241">
        <v>2.6791360000000002</v>
      </c>
      <c r="Q39" s="28"/>
      <c r="T39" s="29"/>
      <c r="U39" s="29"/>
      <c r="V39" s="29"/>
      <c r="W39" s="29"/>
      <c r="X39" s="29"/>
      <c r="Y39" s="29"/>
      <c r="Z39" s="29"/>
      <c r="AA39" s="29"/>
      <c r="AB39" s="23"/>
      <c r="AC39" s="23"/>
      <c r="AD39" s="23"/>
      <c r="AE39" s="23"/>
      <c r="AF39" s="23"/>
      <c r="AG39" s="23"/>
      <c r="AH39" s="23"/>
      <c r="AI39" s="23"/>
    </row>
    <row r="40" spans="3:35" x14ac:dyDescent="0.25">
      <c r="C40" s="31" t="s">
        <v>25</v>
      </c>
      <c r="D40" s="206">
        <v>220273.34907759307</v>
      </c>
      <c r="E40" s="206">
        <v>8942116.0312154479</v>
      </c>
      <c r="F40" s="206">
        <v>137649.17032455638</v>
      </c>
      <c r="G40" s="206">
        <v>311942.82481418626</v>
      </c>
      <c r="H40" s="206">
        <v>28510.480416305996</v>
      </c>
      <c r="I40" s="206">
        <v>1091388.6164500001</v>
      </c>
      <c r="J40" s="206">
        <v>2723.0601999999999</v>
      </c>
      <c r="K40" s="206">
        <v>3212.9077212199995</v>
      </c>
      <c r="L40" s="206">
        <v>2378.2725716999998</v>
      </c>
      <c r="M40" s="207">
        <v>22.589572999999998</v>
      </c>
      <c r="N40" s="207">
        <v>27.547941999999999</v>
      </c>
      <c r="O40" s="206">
        <v>1961.2639583999999</v>
      </c>
      <c r="P40" s="241">
        <v>2.5161519999999999</v>
      </c>
      <c r="Q40" s="28"/>
      <c r="T40" s="29"/>
      <c r="U40" s="29"/>
      <c r="V40" s="29"/>
      <c r="W40" s="29"/>
      <c r="X40" s="29"/>
      <c r="Y40" s="29"/>
      <c r="Z40" s="29"/>
      <c r="AA40" s="29"/>
      <c r="AB40" s="23"/>
      <c r="AC40" s="23"/>
      <c r="AD40" s="23"/>
      <c r="AE40" s="23"/>
      <c r="AF40" s="23"/>
      <c r="AG40" s="23"/>
      <c r="AH40" s="23"/>
      <c r="AI40" s="23"/>
    </row>
    <row r="41" spans="3:35" ht="13.5" customHeight="1" x14ac:dyDescent="0.25">
      <c r="C41" s="98" t="s">
        <v>125</v>
      </c>
      <c r="D41" s="206">
        <v>220911.28287911677</v>
      </c>
      <c r="E41" s="206">
        <v>8818003.3277026098</v>
      </c>
      <c r="F41" s="206">
        <v>120959.41946630899</v>
      </c>
      <c r="G41" s="206">
        <v>314185.44019206456</v>
      </c>
      <c r="H41" s="206">
        <v>26061.362419922007</v>
      </c>
      <c r="I41" s="206">
        <v>441193.98143799999</v>
      </c>
      <c r="J41" s="206">
        <v>2871.1295</v>
      </c>
      <c r="K41" s="206">
        <v>2855.7800881120002</v>
      </c>
      <c r="L41" s="206">
        <v>2487.8129531</v>
      </c>
      <c r="M41" s="207">
        <v>22.439415</v>
      </c>
      <c r="N41" s="207">
        <v>27.668381</v>
      </c>
      <c r="O41" s="206">
        <v>3843.0657880000003</v>
      </c>
      <c r="P41" s="241">
        <v>3.6912739999999999</v>
      </c>
      <c r="Q41" s="28"/>
      <c r="T41" s="29"/>
      <c r="U41" s="29"/>
      <c r="V41" s="29"/>
      <c r="W41" s="29"/>
      <c r="X41" s="29"/>
      <c r="Y41" s="29"/>
      <c r="Z41" s="29"/>
      <c r="AA41" s="29"/>
      <c r="AB41" s="23"/>
      <c r="AC41" s="23"/>
      <c r="AD41" s="23"/>
      <c r="AE41" s="23"/>
      <c r="AF41" s="23"/>
      <c r="AG41" s="23"/>
      <c r="AH41" s="23"/>
      <c r="AI41" s="23"/>
    </row>
    <row r="42" spans="3:35" ht="13.5" customHeight="1" x14ac:dyDescent="0.25">
      <c r="C42" s="31" t="s">
        <v>126</v>
      </c>
      <c r="D42" s="206">
        <v>228931.7259096911</v>
      </c>
      <c r="E42" s="206">
        <v>9016247.4928372651</v>
      </c>
      <c r="F42" s="206">
        <v>136087.19853966002</v>
      </c>
      <c r="G42" s="206">
        <v>310452.50278650981</v>
      </c>
      <c r="H42" s="206">
        <v>27426.236327063001</v>
      </c>
      <c r="I42" s="206">
        <v>17858.91534</v>
      </c>
      <c r="J42" s="206">
        <v>2794.1680000000001</v>
      </c>
      <c r="K42" s="206">
        <v>2874.2517345399997</v>
      </c>
      <c r="L42" s="206">
        <v>2331.0077547000001</v>
      </c>
      <c r="M42" s="207">
        <v>20.607745000000001</v>
      </c>
      <c r="N42" s="207">
        <v>25.639190000000003</v>
      </c>
      <c r="O42" s="206">
        <v>2300.5616680000003</v>
      </c>
      <c r="P42" s="241">
        <v>3.5141680000000002</v>
      </c>
      <c r="Q42" s="28"/>
      <c r="T42" s="29"/>
      <c r="U42" s="29"/>
      <c r="V42" s="29"/>
      <c r="W42" s="29"/>
      <c r="X42" s="29"/>
      <c r="Y42" s="29"/>
      <c r="Z42" s="29"/>
      <c r="AA42" s="29"/>
      <c r="AB42" s="23"/>
      <c r="AC42" s="23"/>
      <c r="AD42" s="23"/>
      <c r="AE42" s="23"/>
      <c r="AF42" s="23"/>
      <c r="AG42" s="23"/>
      <c r="AH42" s="23"/>
      <c r="AI42" s="23"/>
    </row>
    <row r="43" spans="3:35" ht="13.5" customHeight="1" x14ac:dyDescent="0.25">
      <c r="C43" s="31" t="s">
        <v>128</v>
      </c>
      <c r="D43" s="206">
        <v>228042.99873290653</v>
      </c>
      <c r="E43" s="206">
        <v>9193521.2398264445</v>
      </c>
      <c r="F43" s="206">
        <v>128389.14793335561</v>
      </c>
      <c r="G43" s="206">
        <v>305306.09163942956</v>
      </c>
      <c r="H43" s="206">
        <v>26466.226680664819</v>
      </c>
      <c r="I43" s="206">
        <v>1040961.796982</v>
      </c>
      <c r="J43" s="206">
        <v>3033.0752000000002</v>
      </c>
      <c r="K43" s="206">
        <v>3136.8209697599991</v>
      </c>
      <c r="L43" s="206">
        <v>2570.4628945999998</v>
      </c>
      <c r="M43" s="207">
        <v>24.526831000000001</v>
      </c>
      <c r="N43" s="207">
        <v>27.761948999999998</v>
      </c>
      <c r="O43" s="206">
        <v>3634.8462650000001</v>
      </c>
      <c r="P43" s="241">
        <v>3.8380540000000001</v>
      </c>
      <c r="Q43" s="28"/>
      <c r="T43" s="29"/>
      <c r="U43" s="29"/>
      <c r="V43" s="29"/>
      <c r="W43" s="29"/>
      <c r="X43" s="29"/>
      <c r="Y43" s="29"/>
      <c r="Z43" s="29"/>
      <c r="AA43" s="29"/>
      <c r="AB43" s="23"/>
      <c r="AC43" s="23"/>
      <c r="AD43" s="23"/>
      <c r="AE43" s="23"/>
      <c r="AF43" s="23"/>
      <c r="AG43" s="23"/>
      <c r="AH43" s="23"/>
      <c r="AI43" s="23"/>
    </row>
    <row r="44" spans="3:35" ht="13.5" customHeight="1" x14ac:dyDescent="0.25">
      <c r="C44" s="31" t="s">
        <v>129</v>
      </c>
      <c r="D44" s="206">
        <v>242739.66001355689</v>
      </c>
      <c r="E44" s="206">
        <v>9766729.3344747387</v>
      </c>
      <c r="F44" s="206">
        <v>146692.12300226261</v>
      </c>
      <c r="G44" s="206">
        <v>348675.45174598723</v>
      </c>
      <c r="H44" s="206">
        <v>27044.400187529594</v>
      </c>
      <c r="I44" s="206">
        <v>1148061.4364120001</v>
      </c>
      <c r="J44" s="206">
        <v>2934.8496</v>
      </c>
      <c r="K44" s="206">
        <v>2874.9100077799999</v>
      </c>
      <c r="L44" s="206">
        <v>2570.0481631999996</v>
      </c>
      <c r="M44" s="207">
        <v>28.906147000000001</v>
      </c>
      <c r="N44" s="207">
        <v>24.351747</v>
      </c>
      <c r="O44" s="206">
        <v>3892.888876</v>
      </c>
      <c r="P44" s="241">
        <v>2.8652799999999998</v>
      </c>
      <c r="Q44" s="28"/>
      <c r="T44" s="29"/>
      <c r="U44" s="29"/>
      <c r="V44" s="29"/>
      <c r="W44" s="29"/>
      <c r="X44" s="29"/>
      <c r="Y44" s="29"/>
      <c r="Z44" s="29"/>
      <c r="AA44" s="29"/>
      <c r="AB44" s="23"/>
      <c r="AC44" s="23"/>
      <c r="AD44" s="23"/>
      <c r="AE44" s="23"/>
      <c r="AF44" s="23"/>
      <c r="AG44" s="23"/>
      <c r="AH44" s="23"/>
      <c r="AI44" s="23"/>
    </row>
    <row r="45" spans="3:35" ht="13.5" customHeight="1" x14ac:dyDescent="0.25">
      <c r="C45" s="30" t="s">
        <v>130</v>
      </c>
      <c r="D45" s="206">
        <v>240995.04587404698</v>
      </c>
      <c r="E45" s="206">
        <v>9314155.6817302406</v>
      </c>
      <c r="F45" s="206">
        <v>127554.50510377903</v>
      </c>
      <c r="G45" s="206">
        <v>326746.13742428838</v>
      </c>
      <c r="H45" s="206">
        <v>27791.042003302999</v>
      </c>
      <c r="I45" s="206">
        <v>1123268.1765320001</v>
      </c>
      <c r="J45" s="206">
        <v>3008.8197999999998</v>
      </c>
      <c r="K45" s="206">
        <v>2971.9247022499994</v>
      </c>
      <c r="L45" s="206">
        <v>1461.4284863999999</v>
      </c>
      <c r="M45" s="207">
        <v>23.366099999999996</v>
      </c>
      <c r="N45" s="207">
        <v>20.976871000000003</v>
      </c>
      <c r="O45" s="206">
        <v>3350.4782869999999</v>
      </c>
      <c r="P45" s="241">
        <v>2.8038280000000002</v>
      </c>
      <c r="Q45" s="28"/>
      <c r="T45" s="29"/>
      <c r="U45" s="29"/>
      <c r="V45" s="29"/>
      <c r="W45" s="29"/>
      <c r="X45" s="29"/>
      <c r="Y45" s="29"/>
      <c r="Z45" s="29"/>
      <c r="AA45" s="29"/>
      <c r="AB45" s="23"/>
      <c r="AC45" s="23"/>
      <c r="AD45" s="23"/>
      <c r="AE45" s="23"/>
      <c r="AF45" s="23"/>
      <c r="AG45" s="23"/>
      <c r="AH45" s="23"/>
      <c r="AI45" s="23"/>
    </row>
    <row r="46" spans="3:35" ht="13.5" customHeight="1" thickBot="1" x14ac:dyDescent="0.3">
      <c r="C46" s="216" t="s">
        <v>135</v>
      </c>
      <c r="D46" s="208">
        <v>248192.47087500003</v>
      </c>
      <c r="E46" s="208">
        <v>10045656.249993</v>
      </c>
      <c r="F46" s="208">
        <v>134029.04920799998</v>
      </c>
      <c r="G46" s="208">
        <v>348160.29012800008</v>
      </c>
      <c r="H46" s="208">
        <v>26955.006511</v>
      </c>
      <c r="I46" s="208">
        <v>1162917.4198079999</v>
      </c>
      <c r="J46" s="208">
        <v>3093.9712440000003</v>
      </c>
      <c r="K46" s="208">
        <v>3380.8528619999997</v>
      </c>
      <c r="L46" s="208">
        <v>2458.9604710000003</v>
      </c>
      <c r="M46" s="209">
        <v>25.678840000000001</v>
      </c>
      <c r="N46" s="209">
        <v>25.450904999999999</v>
      </c>
      <c r="O46" s="208">
        <v>3352.4926889999997</v>
      </c>
      <c r="P46" s="255">
        <v>2.758362</v>
      </c>
      <c r="Q46" s="242"/>
      <c r="T46" s="29"/>
      <c r="U46" s="29"/>
      <c r="V46" s="29"/>
      <c r="W46" s="29"/>
      <c r="X46" s="29"/>
      <c r="Y46" s="29"/>
      <c r="Z46" s="29"/>
      <c r="AA46" s="29"/>
      <c r="AB46" s="23"/>
      <c r="AC46" s="23"/>
      <c r="AD46" s="23"/>
      <c r="AE46" s="23"/>
      <c r="AF46" s="23"/>
      <c r="AG46" s="23"/>
      <c r="AH46" s="23"/>
      <c r="AI46" s="23"/>
    </row>
    <row r="47" spans="3:35" x14ac:dyDescent="0.25">
      <c r="C47" s="211" t="s">
        <v>138</v>
      </c>
      <c r="D47" s="237"/>
      <c r="E47" s="237"/>
      <c r="F47" s="238"/>
      <c r="G47" s="237"/>
      <c r="H47" s="237"/>
      <c r="I47" s="237"/>
      <c r="J47" s="237"/>
      <c r="K47" s="237"/>
      <c r="L47" s="237"/>
      <c r="M47" s="237"/>
      <c r="N47" s="237"/>
      <c r="O47" s="237"/>
      <c r="P47" s="239"/>
      <c r="R47" s="24"/>
      <c r="S47" s="39"/>
    </row>
    <row r="48" spans="3:35" ht="25.5" x14ac:dyDescent="0.25">
      <c r="C48" s="40" t="s">
        <v>136</v>
      </c>
      <c r="D48" s="212">
        <v>236825.78654827803</v>
      </c>
      <c r="E48" s="212">
        <v>9846363.6570759639</v>
      </c>
      <c r="F48" s="212">
        <v>102370.329851018</v>
      </c>
      <c r="G48" s="212">
        <v>308135.40315322991</v>
      </c>
      <c r="H48" s="212">
        <v>25689.33105855999</v>
      </c>
      <c r="I48" s="212">
        <v>1103818.8046959999</v>
      </c>
      <c r="J48" s="212">
        <v>2348.3980999999999</v>
      </c>
      <c r="K48" s="212">
        <v>2906.9960961099996</v>
      </c>
      <c r="L48" s="212">
        <v>2702.0278398999999</v>
      </c>
      <c r="M48" s="212">
        <v>23.355401000000001</v>
      </c>
      <c r="N48" s="212">
        <v>28.189698</v>
      </c>
      <c r="O48" s="212">
        <v>2792.6527448000002</v>
      </c>
      <c r="P48" s="250">
        <v>3.1517331999999998</v>
      </c>
      <c r="R48" s="24"/>
      <c r="S48" s="39"/>
    </row>
    <row r="49" spans="3:35" ht="24" x14ac:dyDescent="0.25">
      <c r="C49" s="41" t="s">
        <v>137</v>
      </c>
      <c r="D49" s="204">
        <v>248192.47087500003</v>
      </c>
      <c r="E49" s="204">
        <v>10045656.249993</v>
      </c>
      <c r="F49" s="204">
        <v>134029.04920799998</v>
      </c>
      <c r="G49" s="204">
        <v>348160.29012800008</v>
      </c>
      <c r="H49" s="204">
        <v>26955.006511</v>
      </c>
      <c r="I49" s="204">
        <v>1162917.4198079999</v>
      </c>
      <c r="J49" s="204">
        <v>3093.9712440000003</v>
      </c>
      <c r="K49" s="204">
        <v>3380.8528619999997</v>
      </c>
      <c r="L49" s="213">
        <v>2458.9604710000003</v>
      </c>
      <c r="M49" s="213">
        <v>25.678840000000001</v>
      </c>
      <c r="N49" s="213">
        <v>25.450904999999999</v>
      </c>
      <c r="O49" s="213">
        <v>3352.4926889999997</v>
      </c>
      <c r="P49" s="251">
        <v>2.758362</v>
      </c>
      <c r="Q49" s="42"/>
      <c r="R49" s="24"/>
      <c r="S49" s="23"/>
      <c r="T49" s="23"/>
      <c r="U49" s="23"/>
      <c r="V49" s="23"/>
      <c r="W49" s="23"/>
      <c r="X49" s="23"/>
      <c r="Y49" s="23"/>
      <c r="Z49" s="23"/>
    </row>
    <row r="50" spans="3:35" x14ac:dyDescent="0.25">
      <c r="C50" s="43" t="s">
        <v>26</v>
      </c>
      <c r="D50" s="44">
        <f t="shared" ref="D50:P50" si="2">+D49/D48-1</f>
        <v>4.7995974139432906E-2</v>
      </c>
      <c r="E50" s="44">
        <f>+E49/E48-1</f>
        <v>2.0240222670814934E-2</v>
      </c>
      <c r="F50" s="45">
        <f>+F49/F48-1</f>
        <v>0.30925678761664321</v>
      </c>
      <c r="G50" s="45">
        <f>+G49/G48-1</f>
        <v>0.12989382773022862</v>
      </c>
      <c r="H50" s="45">
        <f t="shared" si="2"/>
        <v>4.9268525114758432E-2</v>
      </c>
      <c r="I50" s="44">
        <f t="shared" si="2"/>
        <v>5.3540141607096636E-2</v>
      </c>
      <c r="J50" s="44">
        <f t="shared" si="2"/>
        <v>0.31748158201967569</v>
      </c>
      <c r="K50" s="44">
        <f t="shared" si="2"/>
        <v>0.1630056423275188</v>
      </c>
      <c r="L50" s="44">
        <f t="shared" si="2"/>
        <v>-8.9957388784341785E-2</v>
      </c>
      <c r="M50" s="44">
        <f t="shared" si="2"/>
        <v>9.9481871452346216E-2</v>
      </c>
      <c r="N50" s="44">
        <f t="shared" si="2"/>
        <v>-9.7155812027500343E-2</v>
      </c>
      <c r="O50" s="44">
        <f t="shared" si="2"/>
        <v>0.20046887148516324</v>
      </c>
      <c r="P50" s="46">
        <f t="shared" si="2"/>
        <v>-0.12481107220623877</v>
      </c>
      <c r="R50" s="24"/>
      <c r="S50" s="23"/>
      <c r="T50" s="23"/>
      <c r="U50" s="23"/>
      <c r="V50" s="23"/>
      <c r="W50" s="23"/>
      <c r="X50" s="23"/>
      <c r="Y50" s="23"/>
      <c r="Z50" s="23"/>
    </row>
    <row r="51" spans="3:35" x14ac:dyDescent="0.25">
      <c r="C51" s="34"/>
      <c r="D51" s="32"/>
      <c r="E51" s="32"/>
      <c r="F51" s="32"/>
      <c r="G51" s="32"/>
      <c r="H51" s="32"/>
      <c r="I51" s="32"/>
      <c r="J51" s="32"/>
      <c r="K51" s="32"/>
      <c r="L51" s="32"/>
      <c r="M51" s="32"/>
      <c r="N51" s="32"/>
      <c r="O51" s="32"/>
      <c r="P51" s="33"/>
      <c r="Q51" s="28"/>
      <c r="T51" s="29"/>
      <c r="U51" s="29"/>
      <c r="V51" s="29"/>
      <c r="W51" s="29"/>
      <c r="X51" s="29"/>
      <c r="Y51" s="29"/>
      <c r="Z51" s="29"/>
      <c r="AA51" s="29"/>
      <c r="AB51" s="23"/>
      <c r="AC51" s="23"/>
      <c r="AD51" s="23"/>
      <c r="AE51" s="23"/>
      <c r="AF51" s="23"/>
      <c r="AG51" s="23"/>
      <c r="AH51" s="23"/>
      <c r="AI51" s="23"/>
    </row>
    <row r="52" spans="3:35" x14ac:dyDescent="0.25">
      <c r="C52" s="35" t="s">
        <v>147</v>
      </c>
      <c r="D52" s="36"/>
      <c r="E52" s="36"/>
      <c r="F52" s="37"/>
      <c r="G52" s="36"/>
      <c r="H52" s="36"/>
      <c r="I52" s="36"/>
      <c r="J52" s="36"/>
      <c r="K52" s="36"/>
      <c r="L52" s="36"/>
      <c r="M52" s="36"/>
      <c r="N52" s="36"/>
      <c r="O52" s="36"/>
      <c r="P52" s="38"/>
      <c r="R52" s="24"/>
      <c r="S52" s="23"/>
      <c r="T52" s="23"/>
      <c r="U52" s="23"/>
      <c r="V52" s="23"/>
      <c r="W52" s="23"/>
      <c r="X52" s="23"/>
      <c r="Y52" s="23"/>
      <c r="Z52" s="23"/>
    </row>
    <row r="53" spans="3:35" ht="24" x14ac:dyDescent="0.25">
      <c r="C53" s="47" t="s">
        <v>139</v>
      </c>
      <c r="D53" s="212">
        <v>2230452.167182927</v>
      </c>
      <c r="E53" s="212">
        <v>90224858.168784678</v>
      </c>
      <c r="F53" s="212">
        <v>1053841.4162484191</v>
      </c>
      <c r="G53" s="212">
        <v>2874431.2853810317</v>
      </c>
      <c r="H53" s="212">
        <v>242660.28345150995</v>
      </c>
      <c r="I53" s="212">
        <v>11154506.942721998</v>
      </c>
      <c r="J53" s="212">
        <v>26979.908799999997</v>
      </c>
      <c r="K53" s="212">
        <v>34976.416848244997</v>
      </c>
      <c r="L53" s="212">
        <v>26555.519502179995</v>
      </c>
      <c r="M53" s="212">
        <v>221.78655810000001</v>
      </c>
      <c r="N53" s="212">
        <v>260.736673</v>
      </c>
      <c r="O53" s="212">
        <v>16279.624071100001</v>
      </c>
      <c r="P53" s="214">
        <v>35.544125600000008</v>
      </c>
      <c r="R53" s="24"/>
      <c r="S53" s="23"/>
      <c r="T53" s="23"/>
      <c r="U53" s="23"/>
      <c r="V53" s="23"/>
      <c r="W53" s="23"/>
      <c r="X53" s="23"/>
      <c r="Y53" s="23"/>
      <c r="Z53" s="23"/>
    </row>
    <row r="54" spans="3:35" ht="24" x14ac:dyDescent="0.25">
      <c r="C54" s="47" t="s">
        <v>140</v>
      </c>
      <c r="D54" s="212">
        <v>2296587.2300311225</v>
      </c>
      <c r="E54" s="212">
        <v>90521273.460002884</v>
      </c>
      <c r="F54" s="212">
        <v>1251905.1531898042</v>
      </c>
      <c r="G54" s="212">
        <v>3126328.1681678719</v>
      </c>
      <c r="H54" s="212">
        <v>260146.02395615686</v>
      </c>
      <c r="I54" s="212">
        <v>9527222.9557980001</v>
      </c>
      <c r="J54" s="212">
        <v>28516.780784000002</v>
      </c>
      <c r="K54" s="212">
        <v>32021.8785587661</v>
      </c>
      <c r="L54" s="212">
        <v>22746.774827199995</v>
      </c>
      <c r="M54" s="212">
        <v>229.81165080000002</v>
      </c>
      <c r="N54" s="212">
        <v>265.04775899999999</v>
      </c>
      <c r="O54" s="212">
        <v>31457.4638978</v>
      </c>
      <c r="P54" s="214">
        <v>29.763641999999997</v>
      </c>
      <c r="R54" s="24"/>
      <c r="S54" s="23"/>
      <c r="T54" s="23"/>
      <c r="U54" s="23"/>
      <c r="V54" s="23"/>
      <c r="W54" s="23"/>
      <c r="X54" s="23"/>
      <c r="Y54" s="23"/>
      <c r="Z54" s="23"/>
    </row>
    <row r="55" spans="3:35" x14ac:dyDescent="0.25">
      <c r="C55" s="48" t="s">
        <v>26</v>
      </c>
      <c r="D55" s="49">
        <f t="shared" ref="D55:P55" si="3">+D54/D53-1</f>
        <v>2.9650966661044498E-2</v>
      </c>
      <c r="E55" s="50">
        <f t="shared" si="3"/>
        <v>3.2852951751245474E-3</v>
      </c>
      <c r="F55" s="49">
        <f t="shared" si="3"/>
        <v>0.18794453689861057</v>
      </c>
      <c r="G55" s="49">
        <f t="shared" si="3"/>
        <v>8.7633642198355455E-2</v>
      </c>
      <c r="H55" s="49">
        <f t="shared" si="3"/>
        <v>7.2058518418985695E-2</v>
      </c>
      <c r="I55" s="50">
        <f t="shared" si="3"/>
        <v>-0.14588578368188254</v>
      </c>
      <c r="J55" s="50">
        <f t="shared" si="3"/>
        <v>5.6963572241578664E-2</v>
      </c>
      <c r="K55" s="50">
        <f t="shared" si="3"/>
        <v>-8.447229749971219E-2</v>
      </c>
      <c r="L55" s="50">
        <f t="shared" si="3"/>
        <v>-0.14342572641696327</v>
      </c>
      <c r="M55" s="50">
        <f>+M54/M53-1</f>
        <v>3.6183855183782754E-2</v>
      </c>
      <c r="N55" s="49">
        <f>+N54/N53-1</f>
        <v>1.653425254835561E-2</v>
      </c>
      <c r="O55" s="49">
        <f>+O54/O53-1</f>
        <v>0.93232127231021766</v>
      </c>
      <c r="P55" s="51">
        <f t="shared" si="3"/>
        <v>-0.16262838098906585</v>
      </c>
      <c r="R55" s="24"/>
      <c r="S55" s="23"/>
      <c r="T55" s="23"/>
      <c r="U55" s="23"/>
      <c r="V55" s="23"/>
      <c r="W55" s="23"/>
      <c r="X55" s="23"/>
      <c r="Y55" s="23"/>
      <c r="Z55" s="23"/>
    </row>
    <row r="56" spans="3:35" x14ac:dyDescent="0.25">
      <c r="C56" s="34"/>
      <c r="D56" s="32"/>
      <c r="E56" s="32"/>
      <c r="F56" s="32"/>
      <c r="G56" s="32"/>
      <c r="H56" s="32"/>
      <c r="I56" s="32"/>
      <c r="J56" s="32"/>
      <c r="K56" s="32"/>
      <c r="L56" s="32"/>
      <c r="M56" s="32"/>
      <c r="N56" s="32"/>
      <c r="O56" s="32"/>
      <c r="P56" s="33"/>
      <c r="Q56" s="28"/>
      <c r="T56" s="29"/>
      <c r="U56" s="29"/>
      <c r="V56" s="29"/>
      <c r="W56" s="29"/>
      <c r="X56" s="29"/>
      <c r="Y56" s="29"/>
      <c r="Z56" s="29"/>
      <c r="AA56" s="29"/>
      <c r="AB56" s="23"/>
      <c r="AC56" s="23"/>
      <c r="AD56" s="23"/>
      <c r="AE56" s="23"/>
      <c r="AF56" s="23"/>
      <c r="AG56" s="23"/>
      <c r="AH56" s="23"/>
      <c r="AI56" s="23"/>
    </row>
    <row r="57" spans="3:35" x14ac:dyDescent="0.25">
      <c r="C57" s="35" t="s">
        <v>27</v>
      </c>
      <c r="D57" s="36"/>
      <c r="E57" s="36"/>
      <c r="F57" s="37"/>
      <c r="G57" s="36"/>
      <c r="H57" s="36"/>
      <c r="I57" s="36"/>
      <c r="J57" s="36"/>
      <c r="K57" s="36"/>
      <c r="L57" s="36"/>
      <c r="M57" s="36"/>
      <c r="N57" s="36"/>
      <c r="O57" s="36"/>
      <c r="P57" s="38"/>
      <c r="Q57" s="28"/>
      <c r="T57" s="29"/>
      <c r="U57" s="29"/>
      <c r="V57" s="29"/>
      <c r="W57" s="29"/>
      <c r="X57" s="29"/>
      <c r="Y57" s="29"/>
      <c r="Z57" s="29"/>
      <c r="AA57" s="29"/>
      <c r="AB57" s="23"/>
      <c r="AC57" s="23"/>
      <c r="AD57" s="23"/>
      <c r="AE57" s="23"/>
      <c r="AF57" s="23"/>
      <c r="AG57" s="23"/>
      <c r="AH57" s="23"/>
      <c r="AI57" s="23"/>
    </row>
    <row r="58" spans="3:35" ht="24" x14ac:dyDescent="0.25">
      <c r="C58" s="52" t="s">
        <v>141</v>
      </c>
      <c r="D58" s="215">
        <v>240995.04587404698</v>
      </c>
      <c r="E58" s="215">
        <v>9314155.6817302406</v>
      </c>
      <c r="F58" s="215">
        <v>127554.50510377897</v>
      </c>
      <c r="G58" s="215">
        <v>326746.13742428838</v>
      </c>
      <c r="H58" s="215">
        <v>27791.04200330301</v>
      </c>
      <c r="I58" s="215">
        <v>1123268.1765320001</v>
      </c>
      <c r="J58" s="215">
        <v>3008.8197999999998</v>
      </c>
      <c r="K58" s="215">
        <v>2971.9247022499994</v>
      </c>
      <c r="L58" s="215">
        <v>1461.4284863999999</v>
      </c>
      <c r="M58" s="215">
        <v>23.366099999999996</v>
      </c>
      <c r="N58" s="215">
        <v>20.976871000000003</v>
      </c>
      <c r="O58" s="215">
        <v>3350.4782869999999</v>
      </c>
      <c r="P58" s="252">
        <v>2.8038280000000002</v>
      </c>
      <c r="Q58" s="28"/>
      <c r="T58" s="29"/>
      <c r="U58" s="29"/>
      <c r="V58" s="29"/>
      <c r="W58" s="29"/>
      <c r="X58" s="29"/>
      <c r="Y58" s="29"/>
      <c r="Z58" s="29"/>
      <c r="AA58" s="29"/>
      <c r="AB58" s="23"/>
      <c r="AC58" s="23"/>
      <c r="AD58" s="23"/>
      <c r="AE58" s="23"/>
      <c r="AF58" s="23"/>
      <c r="AG58" s="23"/>
      <c r="AH58" s="23"/>
      <c r="AI58" s="23"/>
    </row>
    <row r="59" spans="3:35" ht="24" x14ac:dyDescent="0.25">
      <c r="C59" s="54" t="s">
        <v>137</v>
      </c>
      <c r="D59" s="213">
        <v>248192.47087500003</v>
      </c>
      <c r="E59" s="213">
        <v>10045656.249993</v>
      </c>
      <c r="F59" s="213">
        <v>134029.04920799998</v>
      </c>
      <c r="G59" s="213">
        <v>348160.29012800008</v>
      </c>
      <c r="H59" s="213">
        <v>26955.006511</v>
      </c>
      <c r="I59" s="213">
        <v>1162917.4198079999</v>
      </c>
      <c r="J59" s="213">
        <v>3093.9712440000003</v>
      </c>
      <c r="K59" s="213">
        <v>3380.8528619999997</v>
      </c>
      <c r="L59" s="213">
        <v>2458.9604710000003</v>
      </c>
      <c r="M59" s="213">
        <v>25.678840000000001</v>
      </c>
      <c r="N59" s="213">
        <v>25.450904999999999</v>
      </c>
      <c r="O59" s="213">
        <v>3352.4926889999997</v>
      </c>
      <c r="P59" s="253">
        <v>2.758362</v>
      </c>
      <c r="Q59" s="28"/>
      <c r="T59" s="29"/>
      <c r="U59" s="29"/>
      <c r="V59" s="29"/>
      <c r="W59" s="29"/>
      <c r="X59" s="29"/>
      <c r="Y59" s="29"/>
      <c r="Z59" s="29"/>
      <c r="AA59" s="29"/>
      <c r="AB59" s="23"/>
      <c r="AC59" s="23"/>
      <c r="AD59" s="23"/>
      <c r="AE59" s="23"/>
      <c r="AF59" s="23"/>
      <c r="AG59" s="23"/>
      <c r="AH59" s="23"/>
      <c r="AI59" s="23"/>
    </row>
    <row r="60" spans="3:35" x14ac:dyDescent="0.25">
      <c r="C60" s="55" t="s">
        <v>26</v>
      </c>
      <c r="D60" s="50">
        <f t="shared" ref="D60:M60" si="4">+D59/D58-1</f>
        <v>2.9865447959103175E-2</v>
      </c>
      <c r="E60" s="50">
        <f t="shared" si="4"/>
        <v>7.8536433495265845E-2</v>
      </c>
      <c r="F60" s="50">
        <f t="shared" si="4"/>
        <v>5.0759039039454557E-2</v>
      </c>
      <c r="G60" s="50">
        <f t="shared" si="4"/>
        <v>6.5537584843443408E-2</v>
      </c>
      <c r="H60" s="50">
        <f t="shared" si="4"/>
        <v>-3.0082912767489867E-2</v>
      </c>
      <c r="I60" s="50">
        <f t="shared" si="4"/>
        <v>3.5298109662835531E-2</v>
      </c>
      <c r="J60" s="50">
        <f t="shared" si="4"/>
        <v>2.8300612751883891E-2</v>
      </c>
      <c r="K60" s="50">
        <f t="shared" si="4"/>
        <v>0.13759707957621092</v>
      </c>
      <c r="L60" s="50">
        <f t="shared" si="4"/>
        <v>0.68257324520699902</v>
      </c>
      <c r="M60" s="50">
        <f t="shared" si="4"/>
        <v>9.8978434569740203E-2</v>
      </c>
      <c r="N60" s="50">
        <f>+N59/N58-1</f>
        <v>0.21328414519019523</v>
      </c>
      <c r="O60" s="50">
        <f>+O59/O58-1</f>
        <v>6.012281911558226E-4</v>
      </c>
      <c r="P60" s="51">
        <f>+P59/P58-1</f>
        <v>-1.6215687980860483E-2</v>
      </c>
      <c r="Q60" s="28"/>
      <c r="T60" s="29"/>
      <c r="U60" s="29"/>
      <c r="V60" s="29"/>
      <c r="W60" s="29"/>
      <c r="X60" s="29"/>
      <c r="Y60" s="29"/>
      <c r="Z60" s="29"/>
      <c r="AA60" s="29"/>
      <c r="AB60" s="23"/>
      <c r="AC60" s="23"/>
      <c r="AD60" s="23"/>
      <c r="AE60" s="23"/>
      <c r="AF60" s="23"/>
      <c r="AG60" s="23"/>
      <c r="AH60" s="23"/>
      <c r="AI60" s="23"/>
    </row>
    <row r="61" spans="3:35" x14ac:dyDescent="0.25">
      <c r="C61" s="56"/>
      <c r="D61" s="57"/>
      <c r="E61" s="58"/>
      <c r="F61" s="57"/>
      <c r="G61" s="57"/>
      <c r="H61" s="57"/>
      <c r="I61" s="57"/>
      <c r="J61" s="57"/>
      <c r="K61" s="57"/>
      <c r="L61" s="57"/>
      <c r="M61" s="57"/>
      <c r="N61" s="57"/>
      <c r="O61" s="57"/>
      <c r="P61" s="59"/>
      <c r="R61" s="24"/>
      <c r="S61" s="23"/>
      <c r="T61" s="23"/>
      <c r="U61" s="23"/>
      <c r="V61" s="23"/>
      <c r="W61" s="23"/>
      <c r="X61" s="23"/>
      <c r="Y61" s="23"/>
      <c r="Z61" s="23"/>
    </row>
    <row r="62" spans="3:35" s="61" customFormat="1" ht="77.25" customHeight="1" x14ac:dyDescent="0.25">
      <c r="C62" s="280" t="s">
        <v>132</v>
      </c>
      <c r="D62" s="281"/>
      <c r="E62" s="281"/>
      <c r="F62" s="281"/>
      <c r="G62" s="281"/>
      <c r="H62" s="281"/>
      <c r="I62" s="281"/>
      <c r="J62" s="281"/>
      <c r="K62" s="281"/>
      <c r="L62" s="281"/>
      <c r="M62" s="281"/>
      <c r="N62" s="281"/>
      <c r="O62" s="281"/>
      <c r="P62" s="282"/>
      <c r="Q62" s="60"/>
    </row>
    <row r="63" spans="3:35" s="61" customFormat="1" ht="41.25" customHeight="1" x14ac:dyDescent="0.25">
      <c r="C63" s="283"/>
      <c r="D63" s="284"/>
      <c r="E63" s="284"/>
      <c r="F63" s="284"/>
      <c r="G63" s="284"/>
      <c r="H63" s="284"/>
      <c r="I63" s="284"/>
      <c r="J63" s="284"/>
      <c r="K63" s="284"/>
      <c r="L63" s="284"/>
      <c r="M63" s="284"/>
      <c r="N63" s="284"/>
      <c r="O63" s="284"/>
      <c r="P63" s="285"/>
      <c r="Q63" s="60"/>
    </row>
    <row r="64" spans="3:35" s="61" customFormat="1" ht="15" x14ac:dyDescent="0.25">
      <c r="Q64" s="60"/>
    </row>
    <row r="65" spans="3:36" ht="36.6" customHeight="1" x14ac:dyDescent="0.25">
      <c r="C65" s="286" t="s">
        <v>28</v>
      </c>
      <c r="D65" s="286"/>
      <c r="E65" s="286"/>
      <c r="F65" s="286"/>
      <c r="G65" s="286"/>
      <c r="H65" s="286"/>
      <c r="I65" s="286"/>
      <c r="J65" s="286"/>
      <c r="K65" s="286"/>
      <c r="L65" s="286"/>
      <c r="M65" s="286"/>
      <c r="N65" s="286"/>
      <c r="O65" s="286"/>
      <c r="P65" s="286"/>
    </row>
    <row r="66" spans="3:36" ht="36.75" customHeight="1" x14ac:dyDescent="0.25"/>
    <row r="67" spans="3:36" ht="36.75" customHeight="1" x14ac:dyDescent="0.25"/>
    <row r="68" spans="3:36" ht="36.75" customHeight="1" x14ac:dyDescent="0.25"/>
    <row r="69" spans="3:36" s="8" customFormat="1" ht="36.75" customHeight="1" x14ac:dyDescent="0.25">
      <c r="C69" s="39"/>
      <c r="D69" s="2"/>
      <c r="E69" s="2"/>
      <c r="F69" s="2"/>
      <c r="G69" s="2"/>
      <c r="H69" s="2"/>
      <c r="I69" s="2"/>
      <c r="J69" s="2"/>
      <c r="K69" s="2"/>
      <c r="L69" s="2"/>
      <c r="M69" s="2"/>
      <c r="N69" s="2"/>
      <c r="O69" s="2"/>
      <c r="P69" s="2"/>
      <c r="R69" s="2"/>
      <c r="S69" s="2"/>
      <c r="T69" s="2"/>
      <c r="U69" s="2"/>
      <c r="V69" s="2"/>
      <c r="W69" s="2"/>
      <c r="X69" s="2"/>
      <c r="Y69" s="2"/>
      <c r="Z69" s="2"/>
      <c r="AA69" s="2"/>
      <c r="AB69" s="2"/>
      <c r="AC69" s="2"/>
      <c r="AD69" s="2"/>
      <c r="AE69" s="2"/>
      <c r="AF69" s="2"/>
      <c r="AG69" s="2"/>
      <c r="AH69" s="2"/>
      <c r="AI69" s="2"/>
      <c r="AJ69" s="2"/>
    </row>
    <row r="70" spans="3:36" s="8" customFormat="1" ht="36.75" customHeight="1" x14ac:dyDescent="0.25">
      <c r="C70" s="39"/>
      <c r="D70" s="2"/>
      <c r="E70" s="2"/>
      <c r="F70" s="2"/>
      <c r="G70" s="2"/>
      <c r="H70" s="2"/>
      <c r="I70" s="2"/>
      <c r="J70" s="2"/>
      <c r="K70" s="2"/>
      <c r="L70" s="2"/>
      <c r="M70" s="2"/>
      <c r="N70" s="2"/>
      <c r="O70" s="2"/>
      <c r="P70" s="2"/>
      <c r="R70" s="2"/>
      <c r="S70" s="2"/>
      <c r="T70" s="2"/>
      <c r="U70" s="2"/>
      <c r="V70" s="2"/>
      <c r="W70" s="2"/>
      <c r="X70" s="2"/>
      <c r="Y70" s="2"/>
      <c r="Z70" s="2"/>
      <c r="AA70" s="2"/>
      <c r="AB70" s="2"/>
      <c r="AC70" s="2"/>
      <c r="AD70" s="2"/>
      <c r="AE70" s="2"/>
      <c r="AF70" s="2"/>
      <c r="AG70" s="2"/>
      <c r="AH70" s="2"/>
      <c r="AI70" s="2"/>
      <c r="AJ70" s="2"/>
    </row>
    <row r="71" spans="3:36" ht="36.75" customHeight="1" x14ac:dyDescent="0.25"/>
    <row r="72" spans="3:36" s="8" customFormat="1" ht="36.75" customHeight="1" x14ac:dyDescent="0.25">
      <c r="C72" s="2"/>
      <c r="D72" s="2"/>
      <c r="E72" s="2"/>
      <c r="F72" s="2"/>
      <c r="G72" s="2"/>
      <c r="H72" s="2"/>
      <c r="I72" s="2"/>
      <c r="J72" s="2"/>
      <c r="K72" s="2"/>
      <c r="L72" s="2"/>
      <c r="M72" s="2"/>
      <c r="N72" s="2"/>
      <c r="O72" s="2"/>
      <c r="P72" s="2"/>
      <c r="R72" s="2"/>
      <c r="S72" s="2"/>
      <c r="T72" s="2"/>
      <c r="U72" s="2"/>
      <c r="V72" s="2"/>
      <c r="W72" s="2"/>
      <c r="X72" s="2"/>
      <c r="Y72" s="2"/>
      <c r="Z72" s="2"/>
      <c r="AA72" s="2"/>
      <c r="AB72" s="2"/>
      <c r="AC72" s="2"/>
      <c r="AD72" s="2"/>
      <c r="AE72" s="2"/>
      <c r="AF72" s="2"/>
      <c r="AG72" s="2"/>
      <c r="AH72" s="2"/>
      <c r="AI72" s="2"/>
      <c r="AJ72" s="2"/>
    </row>
    <row r="73" spans="3:36" s="8" customFormat="1" x14ac:dyDescent="0.25">
      <c r="C73" s="39"/>
      <c r="D73" s="2"/>
      <c r="E73" s="2"/>
      <c r="F73" s="2"/>
      <c r="G73" s="2"/>
      <c r="H73" s="2"/>
      <c r="I73" s="2"/>
      <c r="J73" s="2"/>
      <c r="K73" s="62"/>
      <c r="L73" s="62"/>
      <c r="M73" s="62"/>
      <c r="N73" s="62"/>
      <c r="O73" s="62"/>
      <c r="P73" s="62"/>
      <c r="R73" s="2"/>
      <c r="S73" s="2"/>
      <c r="T73" s="2"/>
      <c r="U73" s="2"/>
      <c r="V73" s="2"/>
      <c r="W73" s="2"/>
      <c r="X73" s="2"/>
      <c r="Y73" s="2"/>
      <c r="Z73" s="2"/>
      <c r="AA73" s="2"/>
      <c r="AB73" s="2"/>
      <c r="AC73" s="2"/>
      <c r="AD73" s="2"/>
      <c r="AE73" s="2"/>
      <c r="AF73" s="2"/>
      <c r="AG73" s="2"/>
      <c r="AH73" s="2"/>
      <c r="AI73" s="2"/>
      <c r="AJ73" s="2"/>
    </row>
    <row r="74" spans="3:36" s="8" customFormat="1" ht="67.5" customHeight="1" x14ac:dyDescent="0.25">
      <c r="C74" s="274" t="s">
        <v>133</v>
      </c>
      <c r="D74" s="275"/>
      <c r="E74" s="275"/>
      <c r="F74" s="275"/>
      <c r="G74" s="275"/>
      <c r="H74" s="275"/>
      <c r="I74" s="275"/>
      <c r="J74" s="275"/>
      <c r="K74" s="275"/>
      <c r="L74" s="275"/>
      <c r="M74" s="275"/>
      <c r="N74" s="275"/>
      <c r="O74" s="275"/>
      <c r="P74" s="276"/>
      <c r="R74" s="2"/>
      <c r="S74" s="2"/>
      <c r="T74" s="2"/>
      <c r="U74" s="2"/>
      <c r="V74" s="2"/>
      <c r="W74" s="2"/>
      <c r="X74" s="2"/>
      <c r="Y74" s="2"/>
      <c r="Z74" s="2"/>
      <c r="AA74" s="2"/>
      <c r="AB74" s="2"/>
      <c r="AC74" s="2"/>
      <c r="AD74" s="2"/>
      <c r="AE74" s="2"/>
      <c r="AF74" s="2"/>
      <c r="AG74" s="2"/>
      <c r="AH74" s="2"/>
      <c r="AI74" s="2"/>
      <c r="AJ74" s="2"/>
    </row>
  </sheetData>
  <mergeCells count="7">
    <mergeCell ref="C74:P74"/>
    <mergeCell ref="C3:P3"/>
    <mergeCell ref="C4:P4"/>
    <mergeCell ref="C6:K6"/>
    <mergeCell ref="C62:P62"/>
    <mergeCell ref="C63:P63"/>
    <mergeCell ref="C65:P65"/>
  </mergeCells>
  <conditionalFormatting sqref="F50:H50 M50 O50 D55 F55:H55 N55:O55 D61:P61">
    <cfRule type="cellIs" dxfId="0" priority="1" operator="lessThan">
      <formula>0</formula>
    </cfRule>
  </conditionalFormatting>
  <printOptions horizontalCentered="1" verticalCentered="1"/>
  <pageMargins left="0.25" right="0.25" top="0.75" bottom="0.75" header="0.3" footer="0.3"/>
  <pageSetup paperSize="8" scale="7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02B6B2-9BC8-4C6D-A6E3-63F662DE15D2}">
  <sheetPr>
    <tabColor rgb="FFC00000"/>
  </sheetPr>
  <dimension ref="B1:Q110"/>
  <sheetViews>
    <sheetView showGridLines="0" view="pageBreakPreview" zoomScaleNormal="100" zoomScaleSheetLayoutView="100" workbookViewId="0"/>
  </sheetViews>
  <sheetFormatPr baseColWidth="10" defaultColWidth="11.5703125" defaultRowHeight="15" x14ac:dyDescent="0.25"/>
  <cols>
    <col min="1" max="2" width="3.7109375" style="61" customWidth="1"/>
    <col min="3" max="3" width="50.140625" style="61" customWidth="1"/>
    <col min="4" max="4" width="14.42578125" style="61" customWidth="1"/>
    <col min="5" max="5" width="13.140625" style="61" customWidth="1"/>
    <col min="6" max="6" width="14" style="63" customWidth="1"/>
    <col min="7" max="8" width="12.42578125" style="61" customWidth="1"/>
    <col min="9" max="9" width="12" style="61" customWidth="1"/>
    <col min="10" max="10" width="10.85546875" style="64" customWidth="1"/>
    <col min="11" max="11" width="3.7109375" style="61" customWidth="1"/>
    <col min="12" max="16384" width="11.5703125" style="61"/>
  </cols>
  <sheetData>
    <row r="1" spans="2:17" ht="10.5" customHeight="1" x14ac:dyDescent="0.25"/>
    <row r="2" spans="2:17" ht="10.5" customHeight="1" x14ac:dyDescent="0.25"/>
    <row r="3" spans="2:17" ht="15.75" x14ac:dyDescent="0.25">
      <c r="C3" s="277" t="s">
        <v>0</v>
      </c>
      <c r="D3" s="277"/>
      <c r="E3" s="277"/>
      <c r="F3" s="277"/>
      <c r="G3" s="277"/>
      <c r="H3" s="277"/>
      <c r="I3" s="277"/>
      <c r="J3" s="277"/>
      <c r="K3" s="4"/>
      <c r="L3" s="4"/>
      <c r="M3" s="4"/>
      <c r="N3" s="4"/>
      <c r="O3" s="4"/>
      <c r="P3" s="4"/>
      <c r="Q3" s="4"/>
    </row>
    <row r="4" spans="2:17" x14ac:dyDescent="0.25">
      <c r="B4" s="278" t="s">
        <v>1</v>
      </c>
      <c r="C4" s="287"/>
      <c r="D4" s="287"/>
      <c r="E4" s="287"/>
      <c r="F4" s="287"/>
      <c r="G4" s="287"/>
      <c r="H4" s="287"/>
      <c r="I4" s="287"/>
      <c r="J4" s="287"/>
      <c r="K4" s="287"/>
      <c r="L4" s="4"/>
      <c r="M4" s="4"/>
      <c r="N4" s="4"/>
      <c r="O4" s="4"/>
      <c r="P4" s="4"/>
      <c r="Q4" s="4"/>
    </row>
    <row r="5" spans="2:17" x14ac:dyDescent="0.25">
      <c r="C5" s="4"/>
      <c r="D5" s="4"/>
      <c r="E5" s="4"/>
      <c r="F5" s="3"/>
      <c r="G5" s="4"/>
      <c r="H5" s="4"/>
      <c r="I5" s="4"/>
      <c r="J5" s="3"/>
      <c r="K5" s="4"/>
      <c r="L5" s="4"/>
      <c r="M5" s="4"/>
      <c r="N5" s="4"/>
      <c r="O5" s="4"/>
      <c r="P5" s="4"/>
      <c r="Q5" s="4"/>
    </row>
    <row r="6" spans="2:17" ht="15.75" x14ac:dyDescent="0.25">
      <c r="C6" s="65" t="s">
        <v>29</v>
      </c>
      <c r="D6" s="66"/>
      <c r="E6" s="66"/>
      <c r="F6" s="67"/>
    </row>
    <row r="7" spans="2:17" x14ac:dyDescent="0.25">
      <c r="C7" s="68" t="s">
        <v>30</v>
      </c>
      <c r="D7" s="69"/>
      <c r="E7" s="69"/>
      <c r="F7" s="70"/>
    </row>
    <row r="8" spans="2:17" ht="27" customHeight="1" x14ac:dyDescent="0.25">
      <c r="C8" s="71"/>
      <c r="D8" s="288" t="s">
        <v>142</v>
      </c>
      <c r="E8" s="289"/>
      <c r="F8" s="290"/>
      <c r="G8" s="288" t="s">
        <v>143</v>
      </c>
      <c r="H8" s="289"/>
      <c r="I8" s="289"/>
      <c r="J8" s="290"/>
    </row>
    <row r="9" spans="2:17" ht="25.5" customHeight="1" x14ac:dyDescent="0.25">
      <c r="C9" s="72" t="s">
        <v>31</v>
      </c>
      <c r="D9" s="101">
        <v>2024</v>
      </c>
      <c r="E9" s="100">
        <v>2025</v>
      </c>
      <c r="F9" s="146" t="s">
        <v>26</v>
      </c>
      <c r="G9" s="101">
        <v>2024</v>
      </c>
      <c r="H9" s="100">
        <v>2025</v>
      </c>
      <c r="I9" s="146" t="s">
        <v>26</v>
      </c>
      <c r="J9" s="147" t="s">
        <v>32</v>
      </c>
    </row>
    <row r="10" spans="2:17" s="73" customFormat="1" ht="6.75" customHeight="1" x14ac:dyDescent="0.25">
      <c r="D10" s="148"/>
      <c r="E10" s="148"/>
      <c r="F10" s="148"/>
      <c r="G10" s="148"/>
      <c r="H10" s="148"/>
      <c r="I10" s="148"/>
      <c r="J10" s="148"/>
    </row>
    <row r="11" spans="2:17" x14ac:dyDescent="0.25">
      <c r="C11" s="74" t="s">
        <v>33</v>
      </c>
      <c r="D11" s="111">
        <f>SUM(D12:D22)</f>
        <v>236825.78654827795</v>
      </c>
      <c r="E11" s="102">
        <f>SUM(E12:E22)</f>
        <v>248192.470875</v>
      </c>
      <c r="F11" s="112">
        <f t="shared" ref="F11:F74" si="0">(E11-D11)/D11</f>
        <v>4.7995974139433108E-2</v>
      </c>
      <c r="G11" s="111">
        <f>SUM(G12:G22)</f>
        <v>2230452.1671829275</v>
      </c>
      <c r="H11" s="102">
        <f>SUM(H12:H22)</f>
        <v>2296587.2300311225</v>
      </c>
      <c r="I11" s="112">
        <f t="shared" ref="I11:I74" si="1">(H11-G11)/G11</f>
        <v>2.965096666104429E-2</v>
      </c>
      <c r="J11" s="113">
        <f>SUM(J12:J22)</f>
        <v>0.99999999999999989</v>
      </c>
    </row>
    <row r="12" spans="2:17" x14ac:dyDescent="0.25">
      <c r="B12" s="219"/>
      <c r="C12" s="220" t="s">
        <v>35</v>
      </c>
      <c r="D12" s="217">
        <v>38547.645497999998</v>
      </c>
      <c r="E12" s="217">
        <v>35070.394482999996</v>
      </c>
      <c r="F12" s="114">
        <f t="shared" si="0"/>
        <v>-9.0206573451559191E-2</v>
      </c>
      <c r="G12" s="217">
        <v>253854.464358</v>
      </c>
      <c r="H12" s="217">
        <v>348576.24111800001</v>
      </c>
      <c r="I12" s="115">
        <f t="shared" si="1"/>
        <v>0.3731341774884761</v>
      </c>
      <c r="J12" s="116">
        <f>(H12/$H$11)</f>
        <v>0.15178010073376408</v>
      </c>
    </row>
    <row r="13" spans="2:17" x14ac:dyDescent="0.25">
      <c r="B13" s="219"/>
      <c r="C13" s="221" t="s">
        <v>77</v>
      </c>
      <c r="D13" s="217">
        <v>35966.280950099994</v>
      </c>
      <c r="E13" s="217">
        <v>34603.471251999996</v>
      </c>
      <c r="F13" s="117">
        <f t="shared" si="0"/>
        <v>-3.7891315479372883E-2</v>
      </c>
      <c r="G13" s="217">
        <v>374779.15497579996</v>
      </c>
      <c r="H13" s="217">
        <v>344318.45713150001</v>
      </c>
      <c r="I13" s="115">
        <f t="shared" si="1"/>
        <v>-8.1276392883341778E-2</v>
      </c>
      <c r="J13" s="254">
        <f t="shared" ref="J13:J22" si="2">(H13/$H$11)</f>
        <v>0.14992613937282667</v>
      </c>
    </row>
    <row r="14" spans="2:17" x14ac:dyDescent="0.25">
      <c r="B14" s="219"/>
      <c r="C14" s="221" t="s">
        <v>34</v>
      </c>
      <c r="D14" s="217">
        <v>35240.765530596</v>
      </c>
      <c r="E14" s="217">
        <v>35128.189140000002</v>
      </c>
      <c r="F14" s="117">
        <f t="shared" si="0"/>
        <v>-3.1944933346654686E-3</v>
      </c>
      <c r="G14" s="217">
        <v>351483.33659213601</v>
      </c>
      <c r="H14" s="217">
        <v>343567.61984653107</v>
      </c>
      <c r="I14" s="115">
        <f t="shared" si="1"/>
        <v>-2.2520887682338109E-2</v>
      </c>
      <c r="J14" s="254">
        <f t="shared" si="2"/>
        <v>0.14959920326730858</v>
      </c>
    </row>
    <row r="15" spans="2:17" x14ac:dyDescent="0.25">
      <c r="B15" s="219"/>
      <c r="C15" s="221" t="s">
        <v>36</v>
      </c>
      <c r="D15" s="217">
        <v>28399.1755687</v>
      </c>
      <c r="E15" s="217">
        <v>42384.43907</v>
      </c>
      <c r="F15" s="117">
        <f t="shared" si="0"/>
        <v>0.49245315123562189</v>
      </c>
      <c r="G15" s="217">
        <v>366821.41626000003</v>
      </c>
      <c r="H15" s="217">
        <v>317013.05698400998</v>
      </c>
      <c r="I15" s="115">
        <f t="shared" si="1"/>
        <v>-0.13578367311216719</v>
      </c>
      <c r="J15" s="118">
        <f t="shared" si="2"/>
        <v>0.13803658438861646</v>
      </c>
    </row>
    <row r="16" spans="2:17" x14ac:dyDescent="0.25">
      <c r="B16" s="219"/>
      <c r="C16" s="221" t="s">
        <v>37</v>
      </c>
      <c r="D16" s="217">
        <v>27885.72343392</v>
      </c>
      <c r="E16" s="217">
        <v>25120.857739999999</v>
      </c>
      <c r="F16" s="117">
        <f t="shared" si="0"/>
        <v>-9.914986428348628E-2</v>
      </c>
      <c r="G16" s="217">
        <v>243967.15143340331</v>
      </c>
      <c r="H16" s="217">
        <v>265046.47966003529</v>
      </c>
      <c r="I16" s="115">
        <f t="shared" si="1"/>
        <v>8.6402321389509193E-2</v>
      </c>
      <c r="J16" s="118">
        <f t="shared" si="2"/>
        <v>0.11540884500017161</v>
      </c>
    </row>
    <row r="17" spans="2:10" x14ac:dyDescent="0.25">
      <c r="B17" s="219"/>
      <c r="C17" s="221" t="s">
        <v>38</v>
      </c>
      <c r="D17" s="217">
        <v>16285.165701</v>
      </c>
      <c r="E17" s="217">
        <v>21734.673839999999</v>
      </c>
      <c r="F17" s="117">
        <f t="shared" si="0"/>
        <v>0.33463019284264139</v>
      </c>
      <c r="G17" s="217">
        <v>155435.18121100002</v>
      </c>
      <c r="H17" s="217">
        <v>198435.915851</v>
      </c>
      <c r="I17" s="115">
        <f t="shared" si="1"/>
        <v>0.27664737355455826</v>
      </c>
      <c r="J17" s="118">
        <f t="shared" si="2"/>
        <v>8.6404693562765686E-2</v>
      </c>
    </row>
    <row r="18" spans="2:10" x14ac:dyDescent="0.25">
      <c r="B18" s="219"/>
      <c r="C18" s="221" t="s">
        <v>66</v>
      </c>
      <c r="D18" s="217">
        <v>11316.989839469999</v>
      </c>
      <c r="E18" s="217">
        <v>9257.418235000001</v>
      </c>
      <c r="F18" s="117">
        <f t="shared" si="0"/>
        <v>-0.18198934819989668</v>
      </c>
      <c r="G18" s="217">
        <v>97762.115411600011</v>
      </c>
      <c r="H18" s="217">
        <v>111390.19594721998</v>
      </c>
      <c r="I18" s="115">
        <f t="shared" si="1"/>
        <v>0.13940042600595082</v>
      </c>
      <c r="J18" s="118">
        <f t="shared" si="2"/>
        <v>4.8502488601624101E-2</v>
      </c>
    </row>
    <row r="19" spans="2:10" x14ac:dyDescent="0.25">
      <c r="B19" s="219"/>
      <c r="C19" s="221" t="s">
        <v>39</v>
      </c>
      <c r="D19" s="217">
        <v>12273.392760000001</v>
      </c>
      <c r="E19" s="217">
        <v>15426.829199999998</v>
      </c>
      <c r="F19" s="117">
        <f t="shared" si="0"/>
        <v>0.25693274073957018</v>
      </c>
      <c r="G19" s="217">
        <v>117609.4376933</v>
      </c>
      <c r="H19" s="217">
        <v>105865.51682399999</v>
      </c>
      <c r="I19" s="115">
        <f t="shared" si="1"/>
        <v>-9.9855259064545648E-2</v>
      </c>
      <c r="J19" s="118">
        <f t="shared" si="2"/>
        <v>4.6096884733860227E-2</v>
      </c>
    </row>
    <row r="20" spans="2:10" x14ac:dyDescent="0.25">
      <c r="B20" s="219"/>
      <c r="C20" s="221" t="s">
        <v>40</v>
      </c>
      <c r="D20" s="217">
        <v>9604.1913009</v>
      </c>
      <c r="E20" s="217">
        <v>9190.131797</v>
      </c>
      <c r="F20" s="117">
        <f t="shared" si="0"/>
        <v>-4.3112375725085653E-2</v>
      </c>
      <c r="G20" s="217">
        <v>74617.437034400005</v>
      </c>
      <c r="H20" s="217">
        <v>69307.151375000001</v>
      </c>
      <c r="I20" s="115">
        <f t="shared" si="1"/>
        <v>-7.1166819318008265E-2</v>
      </c>
      <c r="J20" s="118">
        <f t="shared" si="2"/>
        <v>3.0178323065072853E-2</v>
      </c>
    </row>
    <row r="21" spans="2:10" x14ac:dyDescent="0.25">
      <c r="B21" s="219"/>
      <c r="C21" s="221" t="s">
        <v>41</v>
      </c>
      <c r="D21" s="217">
        <v>4825.2712885000001</v>
      </c>
      <c r="E21" s="217">
        <v>4907.6416669999999</v>
      </c>
      <c r="F21" s="117">
        <f t="shared" si="0"/>
        <v>1.7070621230419091E-2</v>
      </c>
      <c r="G21" s="217">
        <v>47253.535660599999</v>
      </c>
      <c r="H21" s="217">
        <v>42864.187599700002</v>
      </c>
      <c r="I21" s="115">
        <f t="shared" si="1"/>
        <v>-9.2889304462350206E-2</v>
      </c>
      <c r="J21" s="118">
        <f t="shared" si="2"/>
        <v>1.8664297632238914E-2</v>
      </c>
    </row>
    <row r="22" spans="2:10" x14ac:dyDescent="0.2">
      <c r="B22" s="219"/>
      <c r="C22" s="222" t="s">
        <v>148</v>
      </c>
      <c r="D22" s="217">
        <v>16481.184677091995</v>
      </c>
      <c r="E22" s="217">
        <v>15368.424451000001</v>
      </c>
      <c r="F22" s="119">
        <f t="shared" si="0"/>
        <v>-6.7517004869114397E-2</v>
      </c>
      <c r="G22" s="217">
        <v>146868.93655268793</v>
      </c>
      <c r="H22" s="217">
        <v>150202.40769412616</v>
      </c>
      <c r="I22" s="115">
        <f t="shared" si="1"/>
        <v>2.2696910726540051E-2</v>
      </c>
      <c r="J22" s="128">
        <f t="shared" si="2"/>
        <v>6.5402439641750812E-2</v>
      </c>
    </row>
    <row r="23" spans="2:10" x14ac:dyDescent="0.25">
      <c r="B23" s="219"/>
      <c r="C23" s="218" t="s">
        <v>42</v>
      </c>
      <c r="D23" s="111">
        <f>SUM(D24:D34)</f>
        <v>9846363.6570759639</v>
      </c>
      <c r="E23" s="102">
        <f>SUM(E24:E34)</f>
        <v>10045656.249992996</v>
      </c>
      <c r="F23" s="112">
        <f t="shared" si="0"/>
        <v>2.0240222670814465E-2</v>
      </c>
      <c r="G23" s="111">
        <f>SUM(G24:G34)</f>
        <v>90224858.168784678</v>
      </c>
      <c r="H23" s="102">
        <f>SUM(H24:H34)</f>
        <v>90521273.460002854</v>
      </c>
      <c r="I23" s="112">
        <f t="shared" si="1"/>
        <v>3.2852951751242325E-3</v>
      </c>
      <c r="J23" s="113">
        <f>SUM(J24:J34)</f>
        <v>1</v>
      </c>
    </row>
    <row r="24" spans="2:10" x14ac:dyDescent="0.25">
      <c r="B24" s="219"/>
      <c r="C24" s="223" t="s">
        <v>43</v>
      </c>
      <c r="D24" s="217">
        <v>1008718.1808</v>
      </c>
      <c r="E24" s="217">
        <v>1604891.0919999999</v>
      </c>
      <c r="F24" s="114">
        <f t="shared" si="0"/>
        <v>0.59102028946001917</v>
      </c>
      <c r="G24" s="217">
        <v>9161216.5535000004</v>
      </c>
      <c r="H24" s="217">
        <v>13686254.1132</v>
      </c>
      <c r="I24" s="114">
        <f t="shared" si="1"/>
        <v>0.49393413344991061</v>
      </c>
      <c r="J24" s="116">
        <f>(H24/$H$23)</f>
        <v>0.15119378672072392</v>
      </c>
    </row>
    <row r="25" spans="2:10" x14ac:dyDescent="0.25">
      <c r="B25" s="219"/>
      <c r="C25" s="224" t="s">
        <v>44</v>
      </c>
      <c r="D25" s="217">
        <v>780159.34670999995</v>
      </c>
      <c r="E25" s="217">
        <v>715104.86086999997</v>
      </c>
      <c r="F25" s="117">
        <f t="shared" si="0"/>
        <v>-8.3386151962852748E-2</v>
      </c>
      <c r="G25" s="217">
        <v>7458425.5227100002</v>
      </c>
      <c r="H25" s="217">
        <v>7173585.4962099986</v>
      </c>
      <c r="I25" s="117">
        <f t="shared" si="1"/>
        <v>-3.8190369486522088E-2</v>
      </c>
      <c r="J25" s="118">
        <f t="shared" ref="J25:J34" si="3">(H25/$H$23)</f>
        <v>7.9247509695935428E-2</v>
      </c>
    </row>
    <row r="26" spans="2:10" x14ac:dyDescent="0.25">
      <c r="B26" s="219"/>
      <c r="C26" s="224" t="s">
        <v>48</v>
      </c>
      <c r="D26" s="217">
        <v>530278</v>
      </c>
      <c r="E26" s="217">
        <v>508698.96</v>
      </c>
      <c r="F26" s="117">
        <f t="shared" si="0"/>
        <v>-4.069382474852809E-2</v>
      </c>
      <c r="G26" s="217">
        <v>6155566.0341130793</v>
      </c>
      <c r="H26" s="217">
        <v>5078086.551</v>
      </c>
      <c r="I26" s="117">
        <f t="shared" si="1"/>
        <v>-0.1750414953136519</v>
      </c>
      <c r="J26" s="118">
        <f t="shared" si="3"/>
        <v>5.6098266815079338E-2</v>
      </c>
    </row>
    <row r="27" spans="2:10" x14ac:dyDescent="0.25">
      <c r="B27" s="219"/>
      <c r="C27" s="224" t="s">
        <v>47</v>
      </c>
      <c r="D27" s="217">
        <v>505860.63299999997</v>
      </c>
      <c r="E27" s="217">
        <v>491985.522</v>
      </c>
      <c r="F27" s="117">
        <f t="shared" si="0"/>
        <v>-2.7428722645827977E-2</v>
      </c>
      <c r="G27" s="217">
        <v>4773623.5980000002</v>
      </c>
      <c r="H27" s="217">
        <v>4589864.5410000002</v>
      </c>
      <c r="I27" s="117">
        <f t="shared" si="1"/>
        <v>-3.849466830124381E-2</v>
      </c>
      <c r="J27" s="118">
        <f t="shared" si="3"/>
        <v>5.0704816288604779E-2</v>
      </c>
    </row>
    <row r="28" spans="2:10" x14ac:dyDescent="0.25">
      <c r="B28" s="219"/>
      <c r="C28" s="224" t="s">
        <v>46</v>
      </c>
      <c r="D28" s="217">
        <v>469170.20274000004</v>
      </c>
      <c r="E28" s="217">
        <v>443547.22008</v>
      </c>
      <c r="F28" s="117">
        <f t="shared" si="0"/>
        <v>-5.4613405775471892E-2</v>
      </c>
      <c r="G28" s="217">
        <v>5177268.4033199996</v>
      </c>
      <c r="H28" s="217">
        <v>4404559.1520699998</v>
      </c>
      <c r="I28" s="117">
        <f t="shared" si="1"/>
        <v>-0.14925037511180386</v>
      </c>
      <c r="J28" s="118">
        <f t="shared" si="3"/>
        <v>4.8657724131733186E-2</v>
      </c>
    </row>
    <row r="29" spans="2:10" x14ac:dyDescent="0.25">
      <c r="B29" s="219"/>
      <c r="C29" s="224" t="s">
        <v>49</v>
      </c>
      <c r="D29" s="217">
        <v>345863.08</v>
      </c>
      <c r="E29" s="217">
        <v>394099.65</v>
      </c>
      <c r="F29" s="117">
        <f t="shared" si="0"/>
        <v>0.13946724235498048</v>
      </c>
      <c r="G29" s="217">
        <v>3769788.9661599998</v>
      </c>
      <c r="H29" s="217">
        <v>3640472.37</v>
      </c>
      <c r="I29" s="117">
        <f t="shared" si="1"/>
        <v>-3.4303404599256598E-2</v>
      </c>
      <c r="J29" s="118">
        <f t="shared" si="3"/>
        <v>4.0216760445913921E-2</v>
      </c>
    </row>
    <row r="30" spans="2:10" x14ac:dyDescent="0.25">
      <c r="B30" s="219"/>
      <c r="C30" s="224" t="s">
        <v>51</v>
      </c>
      <c r="D30" s="217">
        <v>377117.75865600002</v>
      </c>
      <c r="E30" s="217">
        <v>365432.86397100001</v>
      </c>
      <c r="F30" s="117">
        <f t="shared" si="0"/>
        <v>-3.0984737304982649E-2</v>
      </c>
      <c r="G30" s="217">
        <v>3532344.8911159998</v>
      </c>
      <c r="H30" s="217">
        <v>3495924.5644130004</v>
      </c>
      <c r="I30" s="117">
        <f t="shared" si="1"/>
        <v>-1.0310523979297184E-2</v>
      </c>
      <c r="J30" s="118">
        <f t="shared" si="3"/>
        <v>3.8619922486593024E-2</v>
      </c>
    </row>
    <row r="31" spans="2:10" x14ac:dyDescent="0.25">
      <c r="B31" s="219"/>
      <c r="C31" s="224" t="s">
        <v>50</v>
      </c>
      <c r="D31" s="217">
        <v>247640.10020447001</v>
      </c>
      <c r="E31" s="217">
        <v>348967.93509799999</v>
      </c>
      <c r="F31" s="117">
        <f t="shared" si="0"/>
        <v>0.40917377601554111</v>
      </c>
      <c r="G31" s="217">
        <v>2499997.453623164</v>
      </c>
      <c r="H31" s="217">
        <v>2977122.8101427942</v>
      </c>
      <c r="I31" s="117">
        <f t="shared" si="1"/>
        <v>0.19085033699860299</v>
      </c>
      <c r="J31" s="118">
        <f t="shared" si="3"/>
        <v>3.2888653642927888E-2</v>
      </c>
    </row>
    <row r="32" spans="2:10" x14ac:dyDescent="0.25">
      <c r="B32" s="219"/>
      <c r="C32" s="224" t="s">
        <v>52</v>
      </c>
      <c r="D32" s="217">
        <v>311522.3</v>
      </c>
      <c r="E32" s="217">
        <v>162536.48860000001</v>
      </c>
      <c r="F32" s="117">
        <f t="shared" si="0"/>
        <v>-0.47825087128593996</v>
      </c>
      <c r="G32" s="217">
        <v>2193248.9338000002</v>
      </c>
      <c r="H32" s="217">
        <v>2862418.7230000002</v>
      </c>
      <c r="I32" s="117">
        <f t="shared" si="1"/>
        <v>0.30510434948239251</v>
      </c>
      <c r="J32" s="118">
        <f t="shared" si="3"/>
        <v>3.1621503030055911E-2</v>
      </c>
    </row>
    <row r="33" spans="2:10" x14ac:dyDescent="0.25">
      <c r="B33" s="219"/>
      <c r="C33" s="224" t="s">
        <v>53</v>
      </c>
      <c r="D33" s="217">
        <v>299778.71183673001</v>
      </c>
      <c r="E33" s="217">
        <v>339171.35490099998</v>
      </c>
      <c r="F33" s="117">
        <f t="shared" si="0"/>
        <v>0.13140573866273927</v>
      </c>
      <c r="G33" s="217">
        <v>3067357.9742201115</v>
      </c>
      <c r="H33" s="217">
        <v>2807637.0280371751</v>
      </c>
      <c r="I33" s="117">
        <f t="shared" si="1"/>
        <v>-8.467252546516732E-2</v>
      </c>
      <c r="J33" s="118">
        <f t="shared" si="3"/>
        <v>3.1016322691016267E-2</v>
      </c>
    </row>
    <row r="34" spans="2:10" x14ac:dyDescent="0.2">
      <c r="B34" s="219"/>
      <c r="C34" s="225" t="s">
        <v>149</v>
      </c>
      <c r="D34" s="217">
        <v>4970255.343128765</v>
      </c>
      <c r="E34" s="217">
        <v>4671220.3024729965</v>
      </c>
      <c r="F34" s="121">
        <f t="shared" si="0"/>
        <v>-6.0164925141959924E-2</v>
      </c>
      <c r="G34" s="217">
        <v>42436019.838222325</v>
      </c>
      <c r="H34" s="217">
        <v>39805348.110929891</v>
      </c>
      <c r="I34" s="121">
        <f t="shared" si="1"/>
        <v>-6.1991481230362112E-2</v>
      </c>
      <c r="J34" s="128">
        <f t="shared" si="3"/>
        <v>0.43973473405141639</v>
      </c>
    </row>
    <row r="35" spans="2:10" x14ac:dyDescent="0.25">
      <c r="C35" s="77" t="s">
        <v>54</v>
      </c>
      <c r="D35" s="111">
        <f>SUM(D36:D46)</f>
        <v>102370.32985101802</v>
      </c>
      <c r="E35" s="102">
        <f>SUM(E36:E46)</f>
        <v>134029.04920799998</v>
      </c>
      <c r="F35" s="112">
        <f t="shared" si="0"/>
        <v>0.30925678761664299</v>
      </c>
      <c r="G35" s="111">
        <f>SUM(G36:G46)</f>
        <v>1053841.4162484191</v>
      </c>
      <c r="H35" s="102">
        <f>SUM(H36:H46)</f>
        <v>1251905.1531898039</v>
      </c>
      <c r="I35" s="112">
        <f t="shared" si="1"/>
        <v>0.1879445368986104</v>
      </c>
      <c r="J35" s="113">
        <f>SUM(J36:J46)</f>
        <v>1.0000000000000002</v>
      </c>
    </row>
    <row r="36" spans="2:10" x14ac:dyDescent="0.25">
      <c r="B36" s="219"/>
      <c r="C36" s="223" t="s">
        <v>36</v>
      </c>
      <c r="D36" s="217">
        <v>24689.070916000001</v>
      </c>
      <c r="E36" s="217">
        <v>46045.508748</v>
      </c>
      <c r="F36" s="114">
        <f t="shared" si="0"/>
        <v>0.86501585680001203</v>
      </c>
      <c r="G36" s="217">
        <v>253042.15577529999</v>
      </c>
      <c r="H36" s="217">
        <v>449310.45272045006</v>
      </c>
      <c r="I36" s="124">
        <f t="shared" si="1"/>
        <v>0.77563478047284429</v>
      </c>
      <c r="J36" s="125">
        <f>(H36/$H$35)</f>
        <v>0.35890135253108041</v>
      </c>
    </row>
    <row r="37" spans="2:10" x14ac:dyDescent="0.25">
      <c r="B37" s="219"/>
      <c r="C37" s="224" t="s">
        <v>55</v>
      </c>
      <c r="D37" s="217">
        <v>15254.859112144</v>
      </c>
      <c r="E37" s="217">
        <v>14036.721646</v>
      </c>
      <c r="F37" s="117">
        <f t="shared" si="0"/>
        <v>-7.9852423230462516E-2</v>
      </c>
      <c r="G37" s="217">
        <v>132425.12265855199</v>
      </c>
      <c r="H37" s="217">
        <v>137989.460576735</v>
      </c>
      <c r="I37" s="126">
        <f t="shared" si="1"/>
        <v>4.2018748455534584E-2</v>
      </c>
      <c r="J37" s="127">
        <f t="shared" ref="J37:J46" si="4">(H37/$H$35)</f>
        <v>0.11022357422616515</v>
      </c>
    </row>
    <row r="38" spans="2:10" x14ac:dyDescent="0.25">
      <c r="B38" s="219"/>
      <c r="C38" s="224" t="s">
        <v>56</v>
      </c>
      <c r="D38" s="217">
        <v>4635.2816000000003</v>
      </c>
      <c r="E38" s="217">
        <v>8877.8335000000006</v>
      </c>
      <c r="F38" s="117">
        <f t="shared" si="0"/>
        <v>0.91527382068869345</v>
      </c>
      <c r="G38" s="217">
        <v>81695.960300000006</v>
      </c>
      <c r="H38" s="217">
        <v>75702.614600000001</v>
      </c>
      <c r="I38" s="126">
        <f t="shared" si="1"/>
        <v>-7.3361591907256218E-2</v>
      </c>
      <c r="J38" s="127">
        <f t="shared" si="4"/>
        <v>6.046992809887617E-2</v>
      </c>
    </row>
    <row r="39" spans="2:10" x14ac:dyDescent="0.25">
      <c r="B39" s="219"/>
      <c r="C39" s="224" t="s">
        <v>58</v>
      </c>
      <c r="D39" s="217">
        <v>6778.406446</v>
      </c>
      <c r="E39" s="217">
        <v>8549.4318029999995</v>
      </c>
      <c r="F39" s="117">
        <f t="shared" si="0"/>
        <v>0.26127458881505961</v>
      </c>
      <c r="G39" s="217">
        <v>84636.404776999974</v>
      </c>
      <c r="H39" s="217">
        <v>59466.658598000002</v>
      </c>
      <c r="I39" s="126">
        <f t="shared" si="1"/>
        <v>-0.29738675981473017</v>
      </c>
      <c r="J39" s="127">
        <f t="shared" si="4"/>
        <v>4.7500929640301705E-2</v>
      </c>
    </row>
    <row r="40" spans="2:10" x14ac:dyDescent="0.25">
      <c r="B40" s="219"/>
      <c r="C40" s="224" t="s">
        <v>57</v>
      </c>
      <c r="D40" s="217">
        <v>4977.7365200000004</v>
      </c>
      <c r="E40" s="217">
        <v>4641.8594030000004</v>
      </c>
      <c r="F40" s="126">
        <f t="shared" si="0"/>
        <v>-6.7475872949579088E-2</v>
      </c>
      <c r="G40" s="217">
        <v>45279.690023000003</v>
      </c>
      <c r="H40" s="217">
        <v>46984.919913000012</v>
      </c>
      <c r="I40" s="126">
        <f t="shared" si="1"/>
        <v>3.7659928527201292E-2</v>
      </c>
      <c r="J40" s="127">
        <f t="shared" si="4"/>
        <v>3.7530734491574166E-2</v>
      </c>
    </row>
    <row r="41" spans="2:10" x14ac:dyDescent="0.25">
      <c r="B41" s="219"/>
      <c r="C41" s="224" t="s">
        <v>60</v>
      </c>
      <c r="D41" s="217">
        <v>4846.9713431</v>
      </c>
      <c r="E41" s="217">
        <v>4603.7395690000003</v>
      </c>
      <c r="F41" s="126">
        <f t="shared" si="0"/>
        <v>-5.0182218313763502E-2</v>
      </c>
      <c r="G41" s="217">
        <v>44735.203623699992</v>
      </c>
      <c r="H41" s="217">
        <v>42348.610415409996</v>
      </c>
      <c r="I41" s="126">
        <f t="shared" si="1"/>
        <v>-5.3349331510041849E-2</v>
      </c>
      <c r="J41" s="127">
        <f t="shared" si="4"/>
        <v>3.3827331333773525E-2</v>
      </c>
    </row>
    <row r="42" spans="2:10" x14ac:dyDescent="0.25">
      <c r="B42" s="219"/>
      <c r="C42" s="224" t="s">
        <v>59</v>
      </c>
      <c r="D42" s="217">
        <v>4829.9064352240002</v>
      </c>
      <c r="E42" s="217">
        <v>3860.1305950000001</v>
      </c>
      <c r="F42" s="126">
        <f t="shared" si="0"/>
        <v>-0.20078563699526905</v>
      </c>
      <c r="G42" s="217">
        <v>41864.079783431</v>
      </c>
      <c r="H42" s="217">
        <v>41260.736086356999</v>
      </c>
      <c r="I42" s="126">
        <f t="shared" si="1"/>
        <v>-1.4411966062437906E-2</v>
      </c>
      <c r="J42" s="127">
        <f t="shared" si="4"/>
        <v>3.2958356294984732E-2</v>
      </c>
    </row>
    <row r="43" spans="2:10" x14ac:dyDescent="0.25">
      <c r="B43" s="219"/>
      <c r="C43" s="224" t="s">
        <v>38</v>
      </c>
      <c r="D43" s="217">
        <v>3133.5257729999998</v>
      </c>
      <c r="E43" s="217">
        <v>3815.33475</v>
      </c>
      <c r="F43" s="126">
        <f t="shared" si="0"/>
        <v>0.21758524626629908</v>
      </c>
      <c r="G43" s="217">
        <v>46835.090526</v>
      </c>
      <c r="H43" s="217">
        <v>39052.718987</v>
      </c>
      <c r="I43" s="126">
        <f t="shared" si="1"/>
        <v>-0.16616539973761124</v>
      </c>
      <c r="J43" s="256">
        <f t="shared" si="4"/>
        <v>3.1194630749378453E-2</v>
      </c>
    </row>
    <row r="44" spans="2:10" x14ac:dyDescent="0.25">
      <c r="B44" s="219"/>
      <c r="C44" s="224" t="s">
        <v>62</v>
      </c>
      <c r="D44" s="217">
        <v>2885.0617600199998</v>
      </c>
      <c r="E44" s="217">
        <v>3621.0981339999998</v>
      </c>
      <c r="F44" s="126">
        <f t="shared" si="0"/>
        <v>0.25511979818931074</v>
      </c>
      <c r="G44" s="217">
        <v>38962.791488759998</v>
      </c>
      <c r="H44" s="217">
        <v>38265.06394819</v>
      </c>
      <c r="I44" s="126">
        <f t="shared" si="1"/>
        <v>-1.7907534699388238E-2</v>
      </c>
      <c r="J44" s="256">
        <f t="shared" si="4"/>
        <v>3.0565465643057829E-2</v>
      </c>
    </row>
    <row r="45" spans="2:10" x14ac:dyDescent="0.25">
      <c r="B45" s="219"/>
      <c r="C45" s="224" t="s">
        <v>131</v>
      </c>
      <c r="D45" s="217">
        <v>2089.9889966000001</v>
      </c>
      <c r="E45" s="217">
        <v>4695.9185479999996</v>
      </c>
      <c r="F45" s="126">
        <f t="shared" si="0"/>
        <v>1.2468628091532219</v>
      </c>
      <c r="G45" s="217">
        <v>22688.669357800001</v>
      </c>
      <c r="H45" s="217">
        <v>34937.466143200007</v>
      </c>
      <c r="I45" s="126">
        <f t="shared" si="1"/>
        <v>0.5398640436879153</v>
      </c>
      <c r="J45" s="127">
        <f t="shared" si="4"/>
        <v>2.7907438558089442E-2</v>
      </c>
    </row>
    <row r="46" spans="2:10" x14ac:dyDescent="0.2">
      <c r="B46" s="219"/>
      <c r="C46" s="228" t="s">
        <v>150</v>
      </c>
      <c r="D46" s="217">
        <v>28249.520948930007</v>
      </c>
      <c r="E46" s="217">
        <v>31281.472511999997</v>
      </c>
      <c r="F46" s="121">
        <f>(E46-D46)/D46</f>
        <v>0.10732753905990854</v>
      </c>
      <c r="G46" s="227">
        <v>261676.24793487595</v>
      </c>
      <c r="H46" s="227">
        <v>286586.45120146195</v>
      </c>
      <c r="I46" s="119">
        <f t="shared" si="1"/>
        <v>9.5194743363889375E-2</v>
      </c>
      <c r="J46" s="128">
        <f t="shared" si="4"/>
        <v>0.22892025843271849</v>
      </c>
    </row>
    <row r="47" spans="2:10" x14ac:dyDescent="0.25">
      <c r="B47" s="219"/>
      <c r="C47" s="229" t="s">
        <v>63</v>
      </c>
      <c r="D47" s="102">
        <f>SUM(D48:D58)</f>
        <v>308135.40315323009</v>
      </c>
      <c r="E47" s="102">
        <f>SUM(E48:E58)</f>
        <v>348160.29012799996</v>
      </c>
      <c r="F47" s="226">
        <f t="shared" si="0"/>
        <v>0.12989382773022753</v>
      </c>
      <c r="G47" s="111">
        <f>SUM(G48:G58)</f>
        <v>2874431.2853810308</v>
      </c>
      <c r="H47" s="102">
        <f>SUM(H48:H58)</f>
        <v>3126328.1681678724</v>
      </c>
      <c r="I47" s="112">
        <f t="shared" si="1"/>
        <v>8.763364219835594E-2</v>
      </c>
      <c r="J47" s="113">
        <f>SUM(J48:J58)</f>
        <v>0.99999999999999989</v>
      </c>
    </row>
    <row r="48" spans="2:10" x14ac:dyDescent="0.25">
      <c r="B48" s="219"/>
      <c r="C48" s="220" t="s">
        <v>36</v>
      </c>
      <c r="D48" s="217">
        <v>27103.232981964898</v>
      </c>
      <c r="E48" s="217">
        <v>59192.567375999999</v>
      </c>
      <c r="F48" s="114">
        <f t="shared" si="0"/>
        <v>1.1839670350540124</v>
      </c>
      <c r="G48" s="217">
        <v>291394.08579948288</v>
      </c>
      <c r="H48" s="217">
        <v>484815.15472871746</v>
      </c>
      <c r="I48" s="117">
        <f t="shared" si="1"/>
        <v>0.66377829322978599</v>
      </c>
      <c r="J48" s="116">
        <f>(H48/$H$47)</f>
        <v>0.15507494052130635</v>
      </c>
    </row>
    <row r="49" spans="2:10" x14ac:dyDescent="0.25">
      <c r="B49" s="219"/>
      <c r="C49" s="221" t="s">
        <v>64</v>
      </c>
      <c r="D49" s="217">
        <v>37697.947936342796</v>
      </c>
      <c r="E49" s="217">
        <v>36659.451733000002</v>
      </c>
      <c r="F49" s="117">
        <f t="shared" si="0"/>
        <v>-2.7547817857258745E-2</v>
      </c>
      <c r="G49" s="217">
        <v>316286.27604352304</v>
      </c>
      <c r="H49" s="217">
        <v>341311.09087110666</v>
      </c>
      <c r="I49" s="117">
        <f t="shared" si="1"/>
        <v>7.9120773561923499E-2</v>
      </c>
      <c r="J49" s="118">
        <f t="shared" ref="J49:J58" si="5">(H49/$H$47)</f>
        <v>0.10917314898234941</v>
      </c>
    </row>
    <row r="50" spans="2:10" x14ac:dyDescent="0.25">
      <c r="B50" s="219"/>
      <c r="C50" s="221" t="s">
        <v>38</v>
      </c>
      <c r="D50" s="217">
        <v>17434.615570259401</v>
      </c>
      <c r="E50" s="217">
        <v>20127.567190999998</v>
      </c>
      <c r="F50" s="117">
        <f t="shared" si="0"/>
        <v>0.15446005160758075</v>
      </c>
      <c r="G50" s="217">
        <v>206420.54133052903</v>
      </c>
      <c r="H50" s="217">
        <v>188681.30665088032</v>
      </c>
      <c r="I50" s="117">
        <f t="shared" si="1"/>
        <v>-8.59373518028127E-2</v>
      </c>
      <c r="J50" s="118">
        <f t="shared" si="5"/>
        <v>6.0352367538387235E-2</v>
      </c>
    </row>
    <row r="51" spans="2:10" x14ac:dyDescent="0.25">
      <c r="B51" s="219"/>
      <c r="C51" s="221" t="s">
        <v>55</v>
      </c>
      <c r="D51" s="217">
        <v>19068.9606489256</v>
      </c>
      <c r="E51" s="217">
        <v>17819.948673999999</v>
      </c>
      <c r="F51" s="117">
        <f t="shared" si="0"/>
        <v>-6.5499740542805815E-2</v>
      </c>
      <c r="G51" s="217">
        <v>175743.72316551712</v>
      </c>
      <c r="H51" s="217">
        <v>175430.12057345611</v>
      </c>
      <c r="I51" s="117">
        <f t="shared" si="1"/>
        <v>-1.7844312525782664E-3</v>
      </c>
      <c r="J51" s="118">
        <f t="shared" si="5"/>
        <v>5.611378944785049E-2</v>
      </c>
    </row>
    <row r="52" spans="2:10" x14ac:dyDescent="0.25">
      <c r="B52" s="219"/>
      <c r="C52" s="221" t="s">
        <v>34</v>
      </c>
      <c r="D52" s="217">
        <v>15343.203998433401</v>
      </c>
      <c r="E52" s="217">
        <v>15798.731588000001</v>
      </c>
      <c r="F52" s="117">
        <f t="shared" si="0"/>
        <v>2.9689208956167897E-2</v>
      </c>
      <c r="G52" s="217">
        <v>151014.5739514989</v>
      </c>
      <c r="H52" s="217">
        <v>147906.73379211468</v>
      </c>
      <c r="I52" s="117">
        <f t="shared" si="1"/>
        <v>-2.0579736631130406E-2</v>
      </c>
      <c r="J52" s="254">
        <f t="shared" si="5"/>
        <v>4.7310047389808325E-2</v>
      </c>
    </row>
    <row r="53" spans="2:10" x14ac:dyDescent="0.25">
      <c r="B53" s="219"/>
      <c r="C53" s="221" t="s">
        <v>49</v>
      </c>
      <c r="D53" s="217">
        <v>15882.0468933348</v>
      </c>
      <c r="E53" s="217">
        <v>13735.958498</v>
      </c>
      <c r="F53" s="117">
        <f t="shared" si="0"/>
        <v>-0.13512668799860089</v>
      </c>
      <c r="G53" s="217">
        <v>161547.9119342622</v>
      </c>
      <c r="H53" s="217">
        <v>147235.76641654919</v>
      </c>
      <c r="I53" s="117">
        <f t="shared" si="1"/>
        <v>-8.8593813106894098E-2</v>
      </c>
      <c r="J53" s="254">
        <f t="shared" si="5"/>
        <v>4.7095429045388416E-2</v>
      </c>
    </row>
    <row r="54" spans="2:10" x14ac:dyDescent="0.25">
      <c r="B54" s="219"/>
      <c r="C54" s="221" t="s">
        <v>35</v>
      </c>
      <c r="D54" s="217">
        <v>14494.8346068594</v>
      </c>
      <c r="E54" s="217">
        <v>16625.491032999998</v>
      </c>
      <c r="F54" s="117">
        <f t="shared" si="0"/>
        <v>0.14699418682102838</v>
      </c>
      <c r="G54" s="217">
        <v>94401.774836693483</v>
      </c>
      <c r="H54" s="217">
        <v>132465.87432984629</v>
      </c>
      <c r="I54" s="117">
        <f t="shared" si="1"/>
        <v>0.40321381201783818</v>
      </c>
      <c r="J54" s="118">
        <f t="shared" si="5"/>
        <v>4.2371071494863417E-2</v>
      </c>
    </row>
    <row r="55" spans="2:10" x14ac:dyDescent="0.25">
      <c r="B55" s="219"/>
      <c r="C55" s="221" t="s">
        <v>57</v>
      </c>
      <c r="D55" s="217">
        <v>13895.850083011401</v>
      </c>
      <c r="E55" s="217">
        <v>11209.528688</v>
      </c>
      <c r="F55" s="117">
        <f t="shared" si="0"/>
        <v>-0.19331824817940477</v>
      </c>
      <c r="G55" s="217">
        <v>116737.50838461141</v>
      </c>
      <c r="H55" s="217">
        <v>116977.47512167082</v>
      </c>
      <c r="I55" s="117">
        <f t="shared" si="1"/>
        <v>2.0556095498355143E-3</v>
      </c>
      <c r="J55" s="254">
        <f t="shared" si="5"/>
        <v>3.7416889344097023E-2</v>
      </c>
    </row>
    <row r="56" spans="2:10" x14ac:dyDescent="0.25">
      <c r="B56" s="219"/>
      <c r="C56" s="221" t="s">
        <v>65</v>
      </c>
      <c r="D56" s="217">
        <v>11410.935826827401</v>
      </c>
      <c r="E56" s="217">
        <v>12091.205696000001</v>
      </c>
      <c r="F56" s="117">
        <f t="shared" si="0"/>
        <v>5.9615607299558046E-2</v>
      </c>
      <c r="G56" s="217">
        <v>113846.49200346041</v>
      </c>
      <c r="H56" s="217">
        <v>114338.72989495371</v>
      </c>
      <c r="I56" s="117">
        <f t="shared" si="1"/>
        <v>4.3236983663785672E-3</v>
      </c>
      <c r="J56" s="254">
        <f t="shared" si="5"/>
        <v>3.6572849600098073E-2</v>
      </c>
    </row>
    <row r="57" spans="2:10" x14ac:dyDescent="0.25">
      <c r="B57" s="219"/>
      <c r="C57" s="221" t="s">
        <v>56</v>
      </c>
      <c r="D57" s="217">
        <v>9385.4458323060007</v>
      </c>
      <c r="E57" s="217">
        <v>10700.458531</v>
      </c>
      <c r="F57" s="117">
        <f t="shared" si="0"/>
        <v>0.14011190541077378</v>
      </c>
      <c r="G57" s="217">
        <v>114182.02923795159</v>
      </c>
      <c r="H57" s="217">
        <v>99041.071946926895</v>
      </c>
      <c r="I57" s="117">
        <f t="shared" si="1"/>
        <v>-0.1326036802119836</v>
      </c>
      <c r="J57" s="118">
        <f t="shared" si="5"/>
        <v>3.1679678721945596E-2</v>
      </c>
    </row>
    <row r="58" spans="2:10" x14ac:dyDescent="0.2">
      <c r="B58" s="219"/>
      <c r="C58" s="222" t="s">
        <v>151</v>
      </c>
      <c r="D58" s="217">
        <v>126418.32877496505</v>
      </c>
      <c r="E58" s="217">
        <v>134199.38111999998</v>
      </c>
      <c r="F58" s="121">
        <f t="shared" si="0"/>
        <v>6.155003329371516E-2</v>
      </c>
      <c r="G58" s="217">
        <v>1132856.3686935008</v>
      </c>
      <c r="H58" s="217">
        <v>1178124.8438416496</v>
      </c>
      <c r="I58" s="119">
        <f t="shared" si="1"/>
        <v>3.9959589228735153E-2</v>
      </c>
      <c r="J58" s="128">
        <f t="shared" si="5"/>
        <v>0.37683978791390549</v>
      </c>
    </row>
    <row r="59" spans="2:10" x14ac:dyDescent="0.25">
      <c r="C59" s="77" t="s">
        <v>67</v>
      </c>
      <c r="D59" s="111">
        <f>SUM(D60:D70)</f>
        <v>25689.331058560001</v>
      </c>
      <c r="E59" s="102">
        <f>SUM(E60:E70)</f>
        <v>26955.006511</v>
      </c>
      <c r="F59" s="112">
        <f t="shared" si="0"/>
        <v>4.9268525114758092E-2</v>
      </c>
      <c r="G59" s="111">
        <f>SUM(G60:G70)</f>
        <v>242660.28345151001</v>
      </c>
      <c r="H59" s="102">
        <f>SUM(H60:H70)</f>
        <v>260146.02395615686</v>
      </c>
      <c r="I59" s="112">
        <f t="shared" si="1"/>
        <v>7.205851841898539E-2</v>
      </c>
      <c r="J59" s="113">
        <f>SUM(J60:J70)</f>
        <v>0.99999999999999978</v>
      </c>
    </row>
    <row r="60" spans="2:10" x14ac:dyDescent="0.25">
      <c r="B60" s="219"/>
      <c r="C60" s="223" t="s">
        <v>55</v>
      </c>
      <c r="D60" s="217">
        <v>2349.0512182510001</v>
      </c>
      <c r="E60" s="217">
        <v>2152.157408</v>
      </c>
      <c r="F60" s="114">
        <f t="shared" si="0"/>
        <v>-8.3818440705434483E-2</v>
      </c>
      <c r="G60" s="217">
        <v>22085.453210804997</v>
      </c>
      <c r="H60" s="217">
        <v>23403.053287577004</v>
      </c>
      <c r="I60" s="114">
        <f t="shared" si="1"/>
        <v>5.9659182186371874E-2</v>
      </c>
      <c r="J60" s="116">
        <f>(H60/$H$59)</f>
        <v>8.9961218440613902E-2</v>
      </c>
    </row>
    <row r="61" spans="2:10" x14ac:dyDescent="0.25">
      <c r="B61" s="219"/>
      <c r="C61" s="224" t="s">
        <v>57</v>
      </c>
      <c r="D61" s="217">
        <v>2719.0016310000001</v>
      </c>
      <c r="E61" s="217">
        <v>2177.1172470000001</v>
      </c>
      <c r="F61" s="117">
        <f t="shared" si="0"/>
        <v>-0.19929535084563543</v>
      </c>
      <c r="G61" s="217">
        <v>23477.689703999997</v>
      </c>
      <c r="H61" s="217">
        <v>23241.304484</v>
      </c>
      <c r="I61" s="117">
        <f t="shared" si="1"/>
        <v>-1.0068504311125746E-2</v>
      </c>
      <c r="J61" s="118">
        <f t="shared" ref="J61:J70" si="6">(H61/$H$59)</f>
        <v>8.9339456857956523E-2</v>
      </c>
    </row>
    <row r="62" spans="2:10" x14ac:dyDescent="0.25">
      <c r="B62" s="219"/>
      <c r="C62" s="224" t="s">
        <v>59</v>
      </c>
      <c r="D62" s="217">
        <v>2251.3388566849999</v>
      </c>
      <c r="E62" s="217">
        <v>2125.4532949999998</v>
      </c>
      <c r="F62" s="117">
        <f t="shared" si="0"/>
        <v>-5.5915865935153443E-2</v>
      </c>
      <c r="G62" s="217">
        <v>17206.529933450001</v>
      </c>
      <c r="H62" s="217">
        <v>21070.565140309001</v>
      </c>
      <c r="I62" s="117">
        <f t="shared" si="1"/>
        <v>0.22456795308548538</v>
      </c>
      <c r="J62" s="118">
        <f t="shared" si="6"/>
        <v>8.0995145802651519E-2</v>
      </c>
    </row>
    <row r="63" spans="2:10" x14ac:dyDescent="0.25">
      <c r="B63" s="219"/>
      <c r="C63" s="224" t="s">
        <v>64</v>
      </c>
      <c r="D63" s="217">
        <v>1668.0928864</v>
      </c>
      <c r="E63" s="217">
        <v>2746.9846900000002</v>
      </c>
      <c r="F63" s="117">
        <f t="shared" si="0"/>
        <v>0.64678161054233263</v>
      </c>
      <c r="G63" s="217">
        <v>18355.699153379999</v>
      </c>
      <c r="H63" s="217">
        <v>18829.4884862</v>
      </c>
      <c r="I63" s="117">
        <f t="shared" si="1"/>
        <v>2.5811565599382667E-2</v>
      </c>
      <c r="J63" s="254">
        <f t="shared" si="6"/>
        <v>7.2380458481938539E-2</v>
      </c>
    </row>
    <row r="64" spans="2:10" x14ac:dyDescent="0.25">
      <c r="B64" s="219"/>
      <c r="C64" s="224" t="s">
        <v>68</v>
      </c>
      <c r="D64" s="217">
        <v>1874.6821852999999</v>
      </c>
      <c r="E64" s="217">
        <v>2063.7684799999997</v>
      </c>
      <c r="F64" s="117">
        <f t="shared" si="0"/>
        <v>0.10086312025722957</v>
      </c>
      <c r="G64" s="217">
        <v>16822.0557568</v>
      </c>
      <c r="H64" s="217">
        <v>18728.272615000002</v>
      </c>
      <c r="I64" s="117">
        <f t="shared" si="1"/>
        <v>0.11331652241310929</v>
      </c>
      <c r="J64" s="254">
        <f t="shared" si="6"/>
        <v>7.1991385185100232E-2</v>
      </c>
    </row>
    <row r="65" spans="2:10" x14ac:dyDescent="0.25">
      <c r="B65" s="219"/>
      <c r="C65" s="224" t="s">
        <v>70</v>
      </c>
      <c r="D65" s="217">
        <v>1460.6659220000001</v>
      </c>
      <c r="E65" s="217">
        <v>1270.771146</v>
      </c>
      <c r="F65" s="117">
        <f t="shared" si="0"/>
        <v>-0.13000561808136718</v>
      </c>
      <c r="G65" s="217">
        <v>15281.778208999998</v>
      </c>
      <c r="H65" s="217">
        <v>13301.285925</v>
      </c>
      <c r="I65" s="117">
        <f t="shared" si="1"/>
        <v>-0.12959828737951543</v>
      </c>
      <c r="J65" s="254">
        <f t="shared" si="6"/>
        <v>5.1130075804048047E-2</v>
      </c>
    </row>
    <row r="66" spans="2:10" x14ac:dyDescent="0.25">
      <c r="B66" s="219"/>
      <c r="C66" s="224" t="s">
        <v>69</v>
      </c>
      <c r="D66" s="217">
        <v>1176.7170836</v>
      </c>
      <c r="E66" s="217">
        <v>1312.9557359999999</v>
      </c>
      <c r="F66" s="117">
        <f t="shared" si="0"/>
        <v>0.11577859648573888</v>
      </c>
      <c r="G66" s="217">
        <v>11180.1279634</v>
      </c>
      <c r="H66" s="217">
        <v>13213.841747799999</v>
      </c>
      <c r="I66" s="117">
        <f t="shared" si="1"/>
        <v>0.18190433875691742</v>
      </c>
      <c r="J66" s="254">
        <f t="shared" si="6"/>
        <v>5.0793940829274277E-2</v>
      </c>
    </row>
    <row r="67" spans="2:10" x14ac:dyDescent="0.25">
      <c r="B67" s="219"/>
      <c r="C67" s="224" t="s">
        <v>65</v>
      </c>
      <c r="D67" s="217">
        <v>1124.3415502140001</v>
      </c>
      <c r="E67" s="217">
        <v>1082.8937960000001</v>
      </c>
      <c r="F67" s="117">
        <f t="shared" si="0"/>
        <v>-3.6864024287024823E-2</v>
      </c>
      <c r="G67" s="217">
        <v>8740.1349885750005</v>
      </c>
      <c r="H67" s="217">
        <v>12917.942179939</v>
      </c>
      <c r="I67" s="117">
        <f t="shared" si="1"/>
        <v>0.47800259341819995</v>
      </c>
      <c r="J67" s="118">
        <f t="shared" si="6"/>
        <v>4.9656504387382436E-2</v>
      </c>
    </row>
    <row r="68" spans="2:10" x14ac:dyDescent="0.25">
      <c r="B68" s="219"/>
      <c r="C68" s="224" t="s">
        <v>86</v>
      </c>
      <c r="D68" s="217">
        <v>1205.61988</v>
      </c>
      <c r="E68" s="217">
        <v>1455.9305179999999</v>
      </c>
      <c r="F68" s="117">
        <f t="shared" si="0"/>
        <v>0.20761986605595781</v>
      </c>
      <c r="G68" s="217">
        <v>10589.604342000001</v>
      </c>
      <c r="H68" s="217">
        <v>11117.701325999999</v>
      </c>
      <c r="I68" s="117">
        <f t="shared" si="1"/>
        <v>4.9869378207595919E-2</v>
      </c>
      <c r="J68" s="118">
        <f t="shared" si="6"/>
        <v>4.2736387652319824E-2</v>
      </c>
    </row>
    <row r="69" spans="2:10" x14ac:dyDescent="0.25">
      <c r="B69" s="219"/>
      <c r="C69" s="224" t="s">
        <v>61</v>
      </c>
      <c r="D69" s="217">
        <v>1810.4669512999999</v>
      </c>
      <c r="E69" s="217">
        <v>1095.1928250000001</v>
      </c>
      <c r="F69" s="117">
        <f t="shared" si="0"/>
        <v>-0.39507715166322122</v>
      </c>
      <c r="G69" s="217">
        <v>13123.646656699999</v>
      </c>
      <c r="H69" s="217">
        <v>10736.681498100001</v>
      </c>
      <c r="I69" s="117">
        <f t="shared" si="1"/>
        <v>-0.18188276635605577</v>
      </c>
      <c r="J69" s="118">
        <f t="shared" si="6"/>
        <v>4.1271749361464327E-2</v>
      </c>
    </row>
    <row r="70" spans="2:10" x14ac:dyDescent="0.2">
      <c r="B70" s="219"/>
      <c r="C70" s="225" t="s">
        <v>152</v>
      </c>
      <c r="D70" s="217">
        <v>8049.3528938099998</v>
      </c>
      <c r="E70" s="217">
        <v>9471.781369999997</v>
      </c>
      <c r="F70" s="126">
        <f t="shared" si="0"/>
        <v>0.17671339484741103</v>
      </c>
      <c r="G70" s="217">
        <v>85797.563533400011</v>
      </c>
      <c r="H70" s="217">
        <v>93585.887266231803</v>
      </c>
      <c r="I70" s="119">
        <f t="shared" si="1"/>
        <v>9.077558163758212E-2</v>
      </c>
      <c r="J70" s="128">
        <f t="shared" si="6"/>
        <v>0.35974367719725014</v>
      </c>
    </row>
    <row r="71" spans="2:10" x14ac:dyDescent="0.25">
      <c r="C71" s="77" t="s">
        <v>72</v>
      </c>
      <c r="D71" s="111">
        <f>SUM(D72:D73)</f>
        <v>1103818.8046959999</v>
      </c>
      <c r="E71" s="102">
        <f>SUM(E72:E73)</f>
        <v>1162917.4198079999</v>
      </c>
      <c r="F71" s="112">
        <f t="shared" si="0"/>
        <v>5.3540141607096574E-2</v>
      </c>
      <c r="G71" s="102">
        <f>SUM(G72:G73)</f>
        <v>11154506.942721998</v>
      </c>
      <c r="H71" s="102">
        <f>SUM(H72:H73)</f>
        <v>9527222.9557980001</v>
      </c>
      <c r="I71" s="112">
        <f t="shared" si="1"/>
        <v>-0.14588578368188251</v>
      </c>
      <c r="J71" s="113">
        <f>SUM(J72:J73)</f>
        <v>0.99999999999999989</v>
      </c>
    </row>
    <row r="72" spans="2:10" x14ac:dyDescent="0.25">
      <c r="B72" s="219"/>
      <c r="C72" s="223" t="s">
        <v>73</v>
      </c>
      <c r="D72" s="217">
        <v>1080698.0418</v>
      </c>
      <c r="E72" s="217">
        <v>1137405.7046999999</v>
      </c>
      <c r="F72" s="114">
        <f t="shared" si="0"/>
        <v>5.2473180024966232E-2</v>
      </c>
      <c r="G72" s="217">
        <v>10977681.051299999</v>
      </c>
      <c r="H72" s="217">
        <v>9326652.3832799997</v>
      </c>
      <c r="I72" s="114">
        <f t="shared" si="1"/>
        <v>-0.15039867348163488</v>
      </c>
      <c r="J72" s="116">
        <f>(H72/$H$71)</f>
        <v>0.97894763527120576</v>
      </c>
    </row>
    <row r="73" spans="2:10" x14ac:dyDescent="0.25">
      <c r="B73" s="219"/>
      <c r="C73" s="230" t="s">
        <v>58</v>
      </c>
      <c r="D73" s="217">
        <v>23120.762896</v>
      </c>
      <c r="E73" s="217">
        <v>25511.715108</v>
      </c>
      <c r="F73" s="119">
        <f t="shared" si="0"/>
        <v>0.10341147576984348</v>
      </c>
      <c r="G73" s="217">
        <v>176825.89142200002</v>
      </c>
      <c r="H73" s="217">
        <v>200570.572518</v>
      </c>
      <c r="I73" s="119">
        <f t="shared" si="1"/>
        <v>0.13428282987887011</v>
      </c>
      <c r="J73" s="120">
        <f>(H73/$H$71)</f>
        <v>2.1052364728794175E-2</v>
      </c>
    </row>
    <row r="74" spans="2:10" x14ac:dyDescent="0.25">
      <c r="B74" s="219"/>
      <c r="C74" s="229" t="s">
        <v>74</v>
      </c>
      <c r="D74" s="102">
        <f>SUM(D75:D76)</f>
        <v>2348.3980999999999</v>
      </c>
      <c r="E74" s="102">
        <f>SUM(E75:E76)</f>
        <v>3093.9712440000003</v>
      </c>
      <c r="F74" s="112">
        <f t="shared" si="0"/>
        <v>0.31748158201967563</v>
      </c>
      <c r="G74" s="111">
        <f>SUM(G75:G76)</f>
        <v>26979.908799999997</v>
      </c>
      <c r="H74" s="102">
        <f>SUM(H75:H76)</f>
        <v>28516.888640000001</v>
      </c>
      <c r="I74" s="112">
        <f t="shared" si="1"/>
        <v>5.6967569882964308E-2</v>
      </c>
      <c r="J74" s="113">
        <f>SUM(J75:J76)</f>
        <v>1</v>
      </c>
    </row>
    <row r="75" spans="2:10" x14ac:dyDescent="0.25">
      <c r="C75" s="220" t="s">
        <v>75</v>
      </c>
      <c r="D75" s="243">
        <v>2348.3980999999999</v>
      </c>
      <c r="E75" s="243">
        <v>3076.0791000000004</v>
      </c>
      <c r="F75" s="138">
        <f t="shared" ref="F75:F89" si="7">(E75-D75)/D75</f>
        <v>0.30986271024491141</v>
      </c>
      <c r="G75" s="244">
        <v>26979.908799999997</v>
      </c>
      <c r="H75" s="243">
        <v>28498.888640000001</v>
      </c>
      <c r="I75" s="114">
        <f t="shared" ref="I75:I90" si="8">(H75-G75)/G75</f>
        <v>5.6300406767868828E-2</v>
      </c>
      <c r="J75" s="116">
        <f>(H75/$H$74)</f>
        <v>0.99936879509447074</v>
      </c>
    </row>
    <row r="76" spans="2:10" x14ac:dyDescent="0.25">
      <c r="C76" s="273" t="s">
        <v>64</v>
      </c>
      <c r="D76" s="217">
        <v>0</v>
      </c>
      <c r="E76" s="217">
        <v>17.892143999999998</v>
      </c>
      <c r="F76" s="115" t="s">
        <v>80</v>
      </c>
      <c r="G76" s="245">
        <v>0</v>
      </c>
      <c r="H76" s="217">
        <v>18</v>
      </c>
      <c r="I76" s="119" t="s">
        <v>80</v>
      </c>
      <c r="J76" s="120">
        <f>(H76/$H$74)</f>
        <v>6.3120490552927299E-4</v>
      </c>
    </row>
    <row r="77" spans="2:10" x14ac:dyDescent="0.25">
      <c r="C77" s="77" t="s">
        <v>76</v>
      </c>
      <c r="D77" s="111">
        <f>SUM(D78:D82)</f>
        <v>2906.9960961100001</v>
      </c>
      <c r="E77" s="102">
        <f>SUM(E78:E82)</f>
        <v>3380.8528620000002</v>
      </c>
      <c r="F77" s="112">
        <f t="shared" si="7"/>
        <v>0.1630056423275188</v>
      </c>
      <c r="G77" s="111">
        <f>SUM(G78:G82)</f>
        <v>34976.416848245004</v>
      </c>
      <c r="H77" s="102">
        <f>SUM(H78:H82)</f>
        <v>32021.878558766104</v>
      </c>
      <c r="I77" s="112">
        <f t="shared" si="8"/>
        <v>-8.4472297499712259E-2</v>
      </c>
      <c r="J77" s="113">
        <f>SUM(J78:J82)</f>
        <v>0.99999999999999989</v>
      </c>
    </row>
    <row r="78" spans="2:10" x14ac:dyDescent="0.25">
      <c r="B78" s="219"/>
      <c r="C78" s="220" t="s">
        <v>34</v>
      </c>
      <c r="D78" s="104">
        <v>1082.548695</v>
      </c>
      <c r="E78" s="104">
        <v>1447.2253839999998</v>
      </c>
      <c r="F78" s="114">
        <f t="shared" si="7"/>
        <v>0.33686862372505094</v>
      </c>
      <c r="G78" s="103">
        <v>11292.353353400002</v>
      </c>
      <c r="H78" s="104">
        <v>12320.4907984</v>
      </c>
      <c r="I78" s="114">
        <f t="shared" si="8"/>
        <v>9.1047225748602509E-2</v>
      </c>
      <c r="J78" s="116">
        <f>(H78/$H$77)</f>
        <v>0.38475228040696013</v>
      </c>
    </row>
    <row r="79" spans="2:10" x14ac:dyDescent="0.25">
      <c r="B79" s="219"/>
      <c r="C79" s="221" t="s">
        <v>77</v>
      </c>
      <c r="D79" s="106">
        <v>488.75684919999998</v>
      </c>
      <c r="E79" s="106">
        <v>1010.273555</v>
      </c>
      <c r="F79" s="117">
        <f t="shared" si="7"/>
        <v>1.0670269002953545</v>
      </c>
      <c r="G79" s="105">
        <v>7300.0647852000002</v>
      </c>
      <c r="H79" s="106">
        <v>8349.2208272000007</v>
      </c>
      <c r="I79" s="117">
        <f t="shared" si="8"/>
        <v>0.14371873029497459</v>
      </c>
      <c r="J79" s="118">
        <f t="shared" ref="J79:J82" si="9">(H79/$H$77)</f>
        <v>0.26073488511542592</v>
      </c>
    </row>
    <row r="80" spans="2:10" x14ac:dyDescent="0.25">
      <c r="B80" s="219"/>
      <c r="C80" s="221" t="s">
        <v>37</v>
      </c>
      <c r="D80" s="106">
        <v>375.53322663</v>
      </c>
      <c r="E80" s="106">
        <v>413.73719999999997</v>
      </c>
      <c r="F80" s="117">
        <f t="shared" si="7"/>
        <v>0.10173260489581401</v>
      </c>
      <c r="G80" s="133">
        <v>4678.4036403849996</v>
      </c>
      <c r="H80" s="134">
        <v>3970.4590223661003</v>
      </c>
      <c r="I80" s="117">
        <f t="shared" si="8"/>
        <v>-0.15132183377846389</v>
      </c>
      <c r="J80" s="118">
        <f t="shared" si="9"/>
        <v>0.1239920704551911</v>
      </c>
    </row>
    <row r="81" spans="2:10" x14ac:dyDescent="0.25">
      <c r="B81" s="219"/>
      <c r="C81" s="221" t="s">
        <v>36</v>
      </c>
      <c r="D81" s="108">
        <v>552.16077600000006</v>
      </c>
      <c r="E81" s="106">
        <v>35.609338999999999</v>
      </c>
      <c r="F81" s="117">
        <f t="shared" si="7"/>
        <v>-0.93550911157079375</v>
      </c>
      <c r="G81" s="133">
        <v>6939.2305620999996</v>
      </c>
      <c r="H81" s="134">
        <v>2545.0467824999996</v>
      </c>
      <c r="I81" s="117">
        <f t="shared" si="8"/>
        <v>-0.63323789867996561</v>
      </c>
      <c r="J81" s="118">
        <f t="shared" si="9"/>
        <v>7.9478372195727537E-2</v>
      </c>
    </row>
    <row r="82" spans="2:10" x14ac:dyDescent="0.25">
      <c r="B82" s="219"/>
      <c r="C82" s="221" t="s">
        <v>124</v>
      </c>
      <c r="D82" s="153">
        <v>407.99654928000001</v>
      </c>
      <c r="E82" s="108">
        <v>474.007384</v>
      </c>
      <c r="F82" s="117">
        <f t="shared" si="7"/>
        <v>0.16179262995358829</v>
      </c>
      <c r="G82" s="105">
        <v>4766.3645071600004</v>
      </c>
      <c r="H82" s="106">
        <v>4836.6611283000002</v>
      </c>
      <c r="I82" s="117">
        <f t="shared" si="8"/>
        <v>1.4748477804079133E-2</v>
      </c>
      <c r="J82" s="118">
        <f t="shared" si="9"/>
        <v>0.15104239182669521</v>
      </c>
    </row>
    <row r="83" spans="2:10" x14ac:dyDescent="0.25">
      <c r="B83" s="219"/>
      <c r="C83" s="77" t="s">
        <v>78</v>
      </c>
      <c r="D83" s="231">
        <f>SUM(D84:D91)</f>
        <v>2702.0278398999999</v>
      </c>
      <c r="E83" s="102">
        <f>SUM(E84:E91)</f>
        <v>2458.9604709999999</v>
      </c>
      <c r="F83" s="112">
        <f t="shared" si="7"/>
        <v>-8.9957388784341979E-2</v>
      </c>
      <c r="G83" s="111">
        <f>SUM(G84:G91)</f>
        <v>26555.519502179995</v>
      </c>
      <c r="H83" s="102">
        <f>SUM(H84:H91)</f>
        <v>22746.774827200003</v>
      </c>
      <c r="I83" s="112">
        <f t="shared" si="8"/>
        <v>-0.14342572641696297</v>
      </c>
      <c r="J83" s="113">
        <f>SUM(J84:J91)</f>
        <v>0.99999999999999989</v>
      </c>
    </row>
    <row r="84" spans="2:10" x14ac:dyDescent="0.25">
      <c r="C84" s="221" t="s">
        <v>41</v>
      </c>
      <c r="D84" s="136">
        <v>1666.1440029</v>
      </c>
      <c r="E84" s="137">
        <v>1679.796812</v>
      </c>
      <c r="F84" s="138">
        <f t="shared" si="7"/>
        <v>8.194255164161484E-3</v>
      </c>
      <c r="G84" s="103">
        <v>15007.771028700001</v>
      </c>
      <c r="H84" s="106">
        <v>14897.452213500001</v>
      </c>
      <c r="I84" s="115">
        <f t="shared" si="8"/>
        <v>-7.3507794721170035E-3</v>
      </c>
      <c r="J84" s="116">
        <f>(H84/$H$83)</f>
        <v>0.65492591044977566</v>
      </c>
    </row>
    <row r="85" spans="2:10" x14ac:dyDescent="0.25">
      <c r="C85" s="221" t="s">
        <v>38</v>
      </c>
      <c r="D85" s="139">
        <v>880.94535900000005</v>
      </c>
      <c r="E85" s="137">
        <v>669.48513000000003</v>
      </c>
      <c r="F85" s="115">
        <f t="shared" si="7"/>
        <v>-0.24003784893087793</v>
      </c>
      <c r="G85" s="105">
        <v>10236.795375999998</v>
      </c>
      <c r="H85" s="106">
        <v>6246.2745540000005</v>
      </c>
      <c r="I85" s="115">
        <f t="shared" si="8"/>
        <v>-0.38982129420655504</v>
      </c>
      <c r="J85" s="118">
        <f t="shared" ref="J85:J90" si="10">(H85/$H$83)</f>
        <v>0.27460044781956816</v>
      </c>
    </row>
    <row r="86" spans="2:10" x14ac:dyDescent="0.25">
      <c r="C86" s="221" t="s">
        <v>71</v>
      </c>
      <c r="D86" s="139">
        <v>115.09294800000001</v>
      </c>
      <c r="E86" s="137">
        <v>42.356340000000003</v>
      </c>
      <c r="F86" s="115">
        <f t="shared" si="7"/>
        <v>-0.63198144859405292</v>
      </c>
      <c r="G86" s="105">
        <v>924.67304699999988</v>
      </c>
      <c r="H86" s="106">
        <v>984.34199200000012</v>
      </c>
      <c r="I86" s="115">
        <f t="shared" si="8"/>
        <v>6.4529776436751965E-2</v>
      </c>
      <c r="J86" s="118">
        <f t="shared" si="10"/>
        <v>4.3273914630875474E-2</v>
      </c>
    </row>
    <row r="87" spans="2:10" x14ac:dyDescent="0.25">
      <c r="C87" s="221" t="s">
        <v>64</v>
      </c>
      <c r="D87" s="139">
        <v>39.31353</v>
      </c>
      <c r="E87" s="137">
        <v>63.819226999999998</v>
      </c>
      <c r="F87" s="115">
        <f t="shared" si="7"/>
        <v>0.6233400307731205</v>
      </c>
      <c r="G87" s="105">
        <v>356.82041899999996</v>
      </c>
      <c r="H87" s="106">
        <v>587.38132670000005</v>
      </c>
      <c r="I87" s="115">
        <f t="shared" si="8"/>
        <v>0.64615390662382499</v>
      </c>
      <c r="J87" s="118">
        <f t="shared" si="10"/>
        <v>2.5822620180757438E-2</v>
      </c>
    </row>
    <row r="88" spans="2:10" x14ac:dyDescent="0.25">
      <c r="C88" s="221" t="s">
        <v>79</v>
      </c>
      <c r="D88" s="149">
        <v>0</v>
      </c>
      <c r="E88" s="137">
        <v>3.1278619999999999</v>
      </c>
      <c r="F88" s="115" t="s">
        <v>80</v>
      </c>
      <c r="G88" s="105">
        <v>4.0247039999999998</v>
      </c>
      <c r="H88" s="106">
        <v>22.359625999999999</v>
      </c>
      <c r="I88" s="115">
        <f t="shared" si="8"/>
        <v>4.5555951443882581</v>
      </c>
      <c r="J88" s="118">
        <f t="shared" si="10"/>
        <v>9.829800562874936E-4</v>
      </c>
    </row>
    <row r="89" spans="2:10" x14ac:dyDescent="0.25">
      <c r="C89" s="221" t="s">
        <v>81</v>
      </c>
      <c r="D89" s="200">
        <v>0.53200000000000003</v>
      </c>
      <c r="E89" s="140">
        <v>0.37509999999999999</v>
      </c>
      <c r="F89" s="115">
        <f t="shared" si="7"/>
        <v>-0.29492481203007526</v>
      </c>
      <c r="G89" s="105">
        <v>7.4330600000000002</v>
      </c>
      <c r="H89" s="106">
        <v>6.2871300000000003</v>
      </c>
      <c r="I89" s="115">
        <f t="shared" si="8"/>
        <v>-0.15416665545549207</v>
      </c>
      <c r="J89" s="254">
        <f t="shared" si="10"/>
        <v>2.7639654622518237E-4</v>
      </c>
    </row>
    <row r="90" spans="2:10" x14ac:dyDescent="0.25">
      <c r="C90" s="221" t="s">
        <v>82</v>
      </c>
      <c r="D90" s="149">
        <v>0</v>
      </c>
      <c r="E90" s="150">
        <v>0</v>
      </c>
      <c r="F90" s="115" t="s">
        <v>45</v>
      </c>
      <c r="G90" s="105">
        <v>16.869692800000003</v>
      </c>
      <c r="H90" s="106">
        <v>2.6779850000000001</v>
      </c>
      <c r="I90" s="115">
        <f t="shared" si="8"/>
        <v>-0.84125466706779628</v>
      </c>
      <c r="J90" s="254">
        <f t="shared" si="10"/>
        <v>1.1773031651052944E-4</v>
      </c>
    </row>
    <row r="91" spans="2:10" x14ac:dyDescent="0.25">
      <c r="C91" s="221" t="s">
        <v>83</v>
      </c>
      <c r="D91" s="145">
        <v>0</v>
      </c>
      <c r="E91" s="150">
        <v>0</v>
      </c>
      <c r="F91" s="141" t="s">
        <v>45</v>
      </c>
      <c r="G91" s="129">
        <v>1.1321746800000001</v>
      </c>
      <c r="H91" s="106">
        <v>0</v>
      </c>
      <c r="I91" s="115" t="s">
        <v>45</v>
      </c>
      <c r="J91" s="128" t="s">
        <v>45</v>
      </c>
    </row>
    <row r="92" spans="2:10" x14ac:dyDescent="0.25">
      <c r="C92" s="77" t="s">
        <v>84</v>
      </c>
      <c r="D92" s="142">
        <f>SUM(D93:D98)</f>
        <v>23.355401000000001</v>
      </c>
      <c r="E92" s="102">
        <f>SUM(E93:E98)</f>
        <v>25.678840000000005</v>
      </c>
      <c r="F92" s="112">
        <f t="shared" ref="F92:F97" si="11">(E92-D92)/D92</f>
        <v>9.9481871452346465E-2</v>
      </c>
      <c r="G92" s="111">
        <f>SUM(G93:G98)</f>
        <v>221.78655809999995</v>
      </c>
      <c r="H92" s="102">
        <f>SUM(H93:H98)</f>
        <v>229.8116508</v>
      </c>
      <c r="I92" s="112">
        <f t="shared" ref="I92:I97" si="12">(H92-G92)/G92</f>
        <v>3.6183855183782872E-2</v>
      </c>
      <c r="J92" s="113">
        <f>SUM(J93:J98)</f>
        <v>1</v>
      </c>
    </row>
    <row r="93" spans="2:10" x14ac:dyDescent="0.25">
      <c r="B93" s="219"/>
      <c r="C93" s="220" t="s">
        <v>57</v>
      </c>
      <c r="D93" s="137">
        <v>14.300735</v>
      </c>
      <c r="E93" s="143">
        <v>19.135415000000002</v>
      </c>
      <c r="F93" s="144">
        <f t="shared" si="11"/>
        <v>0.33807213405464842</v>
      </c>
      <c r="G93" s="136">
        <v>137.60555799999997</v>
      </c>
      <c r="H93" s="137">
        <v>167.92429000000001</v>
      </c>
      <c r="I93" s="144">
        <f t="shared" si="12"/>
        <v>0.22033072239712909</v>
      </c>
      <c r="J93" s="116">
        <f>(H93/$H$92)</f>
        <v>0.73070398918173562</v>
      </c>
    </row>
    <row r="94" spans="2:10" x14ac:dyDescent="0.25">
      <c r="B94" s="219"/>
      <c r="C94" s="221" t="s">
        <v>85</v>
      </c>
      <c r="D94" s="137">
        <v>7.15909</v>
      </c>
      <c r="E94" s="137">
        <v>4.3416509999999997</v>
      </c>
      <c r="F94" s="144">
        <f t="shared" si="11"/>
        <v>-0.39354708489486795</v>
      </c>
      <c r="G94" s="139">
        <v>59.107914000000001</v>
      </c>
      <c r="H94" s="137">
        <v>42.667993800000005</v>
      </c>
      <c r="I94" s="144">
        <f t="shared" si="12"/>
        <v>-0.27813399403673755</v>
      </c>
      <c r="J94" s="118">
        <f t="shared" ref="J94:J97" si="13">(H94/$H$92)</f>
        <v>0.18566505941482062</v>
      </c>
    </row>
    <row r="95" spans="2:10" x14ac:dyDescent="0.25">
      <c r="B95" s="219"/>
      <c r="C95" s="221" t="s">
        <v>86</v>
      </c>
      <c r="D95" s="137">
        <v>1.767576</v>
      </c>
      <c r="E95" s="137">
        <v>1.829744</v>
      </c>
      <c r="F95" s="144">
        <f t="shared" si="11"/>
        <v>3.5171330681113569E-2</v>
      </c>
      <c r="G95" s="139">
        <v>22.173531000000004</v>
      </c>
      <c r="H95" s="137">
        <v>15.196519</v>
      </c>
      <c r="I95" s="144">
        <f t="shared" si="12"/>
        <v>-0.31465498210456433</v>
      </c>
      <c r="J95" s="118">
        <f t="shared" si="13"/>
        <v>6.6125972930872842E-2</v>
      </c>
    </row>
    <row r="96" spans="2:10" x14ac:dyDescent="0.25">
      <c r="B96" s="219"/>
      <c r="C96" s="221" t="s">
        <v>71</v>
      </c>
      <c r="D96" s="150">
        <v>0</v>
      </c>
      <c r="E96" s="140">
        <v>0.30692999999999998</v>
      </c>
      <c r="F96" s="144" t="s">
        <v>80</v>
      </c>
      <c r="G96" s="200">
        <v>0.93070399999999998</v>
      </c>
      <c r="H96" s="137">
        <v>3.1939080000000004</v>
      </c>
      <c r="I96" s="144">
        <f t="shared" si="12"/>
        <v>2.4317119084048211</v>
      </c>
      <c r="J96" s="118">
        <f t="shared" si="13"/>
        <v>1.3897937675838672E-2</v>
      </c>
    </row>
    <row r="97" spans="2:10" x14ac:dyDescent="0.25">
      <c r="B97" s="219"/>
      <c r="C97" s="221" t="s">
        <v>81</v>
      </c>
      <c r="D97" s="140">
        <v>0.128</v>
      </c>
      <c r="E97" s="140">
        <v>6.5100000000000005E-2</v>
      </c>
      <c r="F97" s="144">
        <f t="shared" si="11"/>
        <v>-0.49140624999999999</v>
      </c>
      <c r="G97" s="200">
        <v>1.3544999999999998</v>
      </c>
      <c r="H97" s="140">
        <v>0.82894000000000012</v>
      </c>
      <c r="I97" s="144">
        <f t="shared" si="12"/>
        <v>-0.38801033591731249</v>
      </c>
      <c r="J97" s="118">
        <f t="shared" si="13"/>
        <v>3.6070407967323131E-3</v>
      </c>
    </row>
    <row r="98" spans="2:10" x14ac:dyDescent="0.25">
      <c r="B98" s="219"/>
      <c r="C98" s="221" t="s">
        <v>83</v>
      </c>
      <c r="D98" s="232">
        <v>0</v>
      </c>
      <c r="E98" s="150">
        <v>0</v>
      </c>
      <c r="F98" s="144" t="s">
        <v>45</v>
      </c>
      <c r="G98" s="201">
        <v>0.61435109999999993</v>
      </c>
      <c r="H98" s="150">
        <v>0</v>
      </c>
      <c r="I98" s="144" t="s">
        <v>45</v>
      </c>
      <c r="J98" s="128" t="s">
        <v>45</v>
      </c>
    </row>
    <row r="99" spans="2:10" x14ac:dyDescent="0.25">
      <c r="B99" s="219"/>
      <c r="C99" s="77" t="s">
        <v>87</v>
      </c>
      <c r="D99" s="102">
        <f>SUM(D100:D102)</f>
        <v>28.189698</v>
      </c>
      <c r="E99" s="102">
        <f>SUM(E100:E102)</f>
        <v>25.450904999999999</v>
      </c>
      <c r="F99" s="112">
        <f t="shared" ref="F99:F102" si="14">(E99-D99)/D99</f>
        <v>-9.7155812027500302E-2</v>
      </c>
      <c r="G99" s="111">
        <f>SUM(G100:G102)</f>
        <v>260.736673</v>
      </c>
      <c r="H99" s="102">
        <f>SUM(H100:H102)</f>
        <v>265.04775899999999</v>
      </c>
      <c r="I99" s="112">
        <f t="shared" ref="I99:I108" si="15">(H99-G99)/G99</f>
        <v>1.6534252548355517E-2</v>
      </c>
      <c r="J99" s="113">
        <f>SUM(J100:J102)</f>
        <v>1</v>
      </c>
    </row>
    <row r="100" spans="2:10" x14ac:dyDescent="0.25">
      <c r="B100" s="219"/>
      <c r="C100" s="221" t="s">
        <v>70</v>
      </c>
      <c r="D100" s="143">
        <v>16.364039999999999</v>
      </c>
      <c r="E100" s="143">
        <v>14.914242</v>
      </c>
      <c r="F100" s="114">
        <f t="shared" si="14"/>
        <v>-8.8596581284328291E-2</v>
      </c>
      <c r="G100" s="103">
        <v>154.19739699999997</v>
      </c>
      <c r="H100" s="104">
        <v>152.205906</v>
      </c>
      <c r="I100" s="114">
        <f t="shared" si="15"/>
        <v>-1.2915205047203024E-2</v>
      </c>
      <c r="J100" s="116">
        <f>(H100/$H$99)</f>
        <v>0.57425841506549014</v>
      </c>
    </row>
    <row r="101" spans="2:10" x14ac:dyDescent="0.25">
      <c r="B101" s="219"/>
      <c r="C101" s="221" t="s">
        <v>71</v>
      </c>
      <c r="D101" s="137">
        <v>7.5278400000000003</v>
      </c>
      <c r="E101" s="137">
        <v>6.3991199999999999</v>
      </c>
      <c r="F101" s="117">
        <f t="shared" si="14"/>
        <v>-0.14993942485493852</v>
      </c>
      <c r="G101" s="105">
        <v>66.343050000000005</v>
      </c>
      <c r="H101" s="106">
        <v>68.196389999999994</v>
      </c>
      <c r="I101" s="117">
        <f t="shared" si="15"/>
        <v>2.7935706905244613E-2</v>
      </c>
      <c r="J101" s="118">
        <f t="shared" ref="J101:J102" si="16">(H101/$H$99)</f>
        <v>0.25729849690975881</v>
      </c>
    </row>
    <row r="102" spans="2:10" x14ac:dyDescent="0.25">
      <c r="B102" s="219"/>
      <c r="C102" s="221" t="s">
        <v>85</v>
      </c>
      <c r="D102" s="202">
        <v>4.2978180000000004</v>
      </c>
      <c r="E102" s="202">
        <v>4.137543</v>
      </c>
      <c r="F102" s="119">
        <f t="shared" si="14"/>
        <v>-3.7292179426862741E-2</v>
      </c>
      <c r="G102" s="129">
        <v>40.196225999999996</v>
      </c>
      <c r="H102" s="130">
        <v>44.645462999999999</v>
      </c>
      <c r="I102" s="119">
        <f t="shared" si="15"/>
        <v>0.11068792876226749</v>
      </c>
      <c r="J102" s="120">
        <f t="shared" si="16"/>
        <v>0.16844308802475105</v>
      </c>
    </row>
    <row r="103" spans="2:10" x14ac:dyDescent="0.25">
      <c r="B103" s="219"/>
      <c r="C103" s="77" t="s">
        <v>88</v>
      </c>
      <c r="D103" s="102">
        <f>SUM(D104:D107)</f>
        <v>2792.6527448000002</v>
      </c>
      <c r="E103" s="102">
        <f>SUM(E104:E107)</f>
        <v>3352.4926889999997</v>
      </c>
      <c r="F103" s="112">
        <f t="shared" ref="F103:F108" si="17">(E103-D103)/D103</f>
        <v>0.20046887148516321</v>
      </c>
      <c r="G103" s="111">
        <f>SUM(G104:G107)</f>
        <v>16279.624071099999</v>
      </c>
      <c r="H103" s="102">
        <f>SUM(H104:H107)</f>
        <v>31457.4638978</v>
      </c>
      <c r="I103" s="112">
        <f t="shared" si="15"/>
        <v>0.932321272310218</v>
      </c>
      <c r="J103" s="113">
        <f>SUM(J104:J107)</f>
        <v>1</v>
      </c>
    </row>
    <row r="104" spans="2:10" x14ac:dyDescent="0.25">
      <c r="C104" s="221" t="s">
        <v>64</v>
      </c>
      <c r="D104" s="122">
        <v>2686.9299983999999</v>
      </c>
      <c r="E104" s="123">
        <v>3266.6233709999997</v>
      </c>
      <c r="F104" s="114">
        <f t="shared" si="17"/>
        <v>0.21574561784087889</v>
      </c>
      <c r="G104" s="103">
        <v>15321.4118227</v>
      </c>
      <c r="H104" s="104">
        <v>30589.2711518</v>
      </c>
      <c r="I104" s="114">
        <f t="shared" si="15"/>
        <v>0.99650472853156669</v>
      </c>
      <c r="J104" s="116">
        <f>(H104/$H$103)</f>
        <v>0.97240105722379233</v>
      </c>
    </row>
    <row r="105" spans="2:10" x14ac:dyDescent="0.25">
      <c r="C105" s="221" t="s">
        <v>70</v>
      </c>
      <c r="D105" s="107">
        <v>91.891440000000003</v>
      </c>
      <c r="E105" s="108">
        <v>75.332655000000003</v>
      </c>
      <c r="F105" s="117">
        <f t="shared" si="17"/>
        <v>-0.18019942880424988</v>
      </c>
      <c r="G105" s="105">
        <v>821.83966700000008</v>
      </c>
      <c r="H105" s="106">
        <v>754.80210499999998</v>
      </c>
      <c r="I105" s="117">
        <f t="shared" si="15"/>
        <v>-8.1570122119695748E-2</v>
      </c>
      <c r="J105" s="118">
        <f t="shared" ref="J105:J107" si="18">(H105/$H$103)</f>
        <v>2.3994372446940568E-2</v>
      </c>
    </row>
    <row r="106" spans="2:10" x14ac:dyDescent="0.25">
      <c r="C106" s="221" t="s">
        <v>71</v>
      </c>
      <c r="D106" s="107">
        <v>7.5278400000000003</v>
      </c>
      <c r="E106" s="108">
        <v>6.3991199999999999</v>
      </c>
      <c r="F106" s="117">
        <f t="shared" si="17"/>
        <v>-0.14993942485493852</v>
      </c>
      <c r="G106" s="233">
        <v>70.23843500000001</v>
      </c>
      <c r="H106" s="234">
        <v>69.617126999999996</v>
      </c>
      <c r="I106" s="117">
        <f t="shared" si="15"/>
        <v>-8.8456982277582523E-3</v>
      </c>
      <c r="J106" s="118">
        <f t="shared" si="18"/>
        <v>2.2130559293074073E-3</v>
      </c>
    </row>
    <row r="107" spans="2:10" x14ac:dyDescent="0.25">
      <c r="C107" s="221" t="s">
        <v>85</v>
      </c>
      <c r="D107" s="109">
        <v>6.3034663999999996</v>
      </c>
      <c r="E107" s="110">
        <v>4.137543</v>
      </c>
      <c r="F107" s="119">
        <f t="shared" si="17"/>
        <v>-0.34360830415467902</v>
      </c>
      <c r="G107" s="129">
        <v>66.134146400000006</v>
      </c>
      <c r="H107" s="130">
        <v>43.773513999999999</v>
      </c>
      <c r="I107" s="119">
        <f t="shared" si="15"/>
        <v>-0.3381102443623587</v>
      </c>
      <c r="J107" s="120">
        <f t="shared" si="18"/>
        <v>1.3915143999596652E-3</v>
      </c>
    </row>
    <row r="108" spans="2:10" x14ac:dyDescent="0.25">
      <c r="C108" s="80" t="s">
        <v>89</v>
      </c>
      <c r="D108" s="257">
        <f>SUM(D109:D109)</f>
        <v>3.1517331999999998</v>
      </c>
      <c r="E108" s="258">
        <f>SUM(E109:E109)</f>
        <v>2.758362</v>
      </c>
      <c r="F108" s="112">
        <f t="shared" si="17"/>
        <v>-0.12481107220623873</v>
      </c>
      <c r="G108" s="111">
        <f>SUM(G109:G109)</f>
        <v>35.544125600000008</v>
      </c>
      <c r="H108" s="102">
        <f>SUM(H109:H109)</f>
        <v>29.763641999999997</v>
      </c>
      <c r="I108" s="112">
        <f t="shared" si="15"/>
        <v>-0.16262838098906587</v>
      </c>
      <c r="J108" s="113">
        <f>SUM(J109:J109)</f>
        <v>1</v>
      </c>
    </row>
    <row r="109" spans="2:10" x14ac:dyDescent="0.25">
      <c r="C109" s="221" t="s">
        <v>85</v>
      </c>
      <c r="D109" s="259">
        <v>3.1517331999999998</v>
      </c>
      <c r="E109" s="260">
        <v>2.758362</v>
      </c>
      <c r="F109" s="114">
        <f>(E109-D109)/D109</f>
        <v>-0.12481107220623873</v>
      </c>
      <c r="G109" s="103">
        <v>35.544125600000008</v>
      </c>
      <c r="H109" s="104">
        <v>29.763641999999997</v>
      </c>
      <c r="I109" s="114">
        <f>(H109-G109)/G109</f>
        <v>-0.16262838098906587</v>
      </c>
      <c r="J109" s="116">
        <f>H109/H108</f>
        <v>1</v>
      </c>
    </row>
    <row r="110" spans="2:10" ht="98.25" customHeight="1" x14ac:dyDescent="0.25">
      <c r="C110" s="291" t="s">
        <v>144</v>
      </c>
      <c r="D110" s="292"/>
      <c r="E110" s="292"/>
      <c r="F110" s="292"/>
      <c r="G110" s="292"/>
      <c r="H110" s="292"/>
      <c r="I110" s="292"/>
      <c r="J110" s="293"/>
    </row>
  </sheetData>
  <mergeCells count="5">
    <mergeCell ref="C3:J3"/>
    <mergeCell ref="B4:K4"/>
    <mergeCell ref="D8:F8"/>
    <mergeCell ref="G8:J8"/>
    <mergeCell ref="C110:J110"/>
  </mergeCells>
  <printOptions horizontalCentered="1" verticalCentered="1"/>
  <pageMargins left="0" right="0" top="0" bottom="0" header="0.31496062992125984" footer="0.31496062992125984"/>
  <pageSetup paperSize="9" scale="47" orientation="portrait" r:id="rId1"/>
  <ignoredErrors>
    <ignoredError sqref="F11 I11:I68 F77:F80 F82:F87 I77:I108 F97:F108 F89:F93 I70:I75 F23:F75" formula="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1D3CBB-DC25-4836-85C0-23E6B5DB39FA}">
  <sheetPr>
    <tabColor rgb="FFC00000"/>
  </sheetPr>
  <dimension ref="C1:S126"/>
  <sheetViews>
    <sheetView showGridLines="0" view="pageBreakPreview" topLeftCell="A25" zoomScaleNormal="100" zoomScaleSheetLayoutView="100" zoomScalePageLayoutView="70" workbookViewId="0"/>
  </sheetViews>
  <sheetFormatPr baseColWidth="10" defaultColWidth="11.42578125" defaultRowHeight="15" x14ac:dyDescent="0.25"/>
  <cols>
    <col min="1" max="2" width="3.28515625" style="61" customWidth="1"/>
    <col min="3" max="3" width="48.85546875" style="61" customWidth="1"/>
    <col min="4" max="4" width="14.7109375" style="61" customWidth="1"/>
    <col min="5" max="5" width="13" style="61" customWidth="1"/>
    <col min="6" max="6" width="11.140625" style="97" customWidth="1"/>
    <col min="7" max="7" width="12.42578125" style="64" customWidth="1"/>
    <col min="8" max="8" width="11.7109375" style="61" customWidth="1"/>
    <col min="9" max="9" width="9.7109375" style="64" customWidth="1"/>
    <col min="10" max="10" width="9.85546875" style="64" customWidth="1"/>
    <col min="11" max="11" width="3.28515625" style="61" customWidth="1"/>
    <col min="12" max="12" width="15.42578125" style="61" customWidth="1"/>
    <col min="13" max="16384" width="11.42578125" style="61"/>
  </cols>
  <sheetData>
    <row r="1" spans="3:19" ht="10.5" customHeight="1" x14ac:dyDescent="0.25">
      <c r="F1" s="64"/>
      <c r="H1" s="63"/>
    </row>
    <row r="2" spans="3:19" ht="10.5" customHeight="1" x14ac:dyDescent="0.25">
      <c r="F2" s="64"/>
      <c r="H2" s="63"/>
    </row>
    <row r="3" spans="3:19" ht="15.75" x14ac:dyDescent="0.25">
      <c r="C3" s="277" t="s">
        <v>0</v>
      </c>
      <c r="D3" s="277"/>
      <c r="E3" s="277"/>
      <c r="F3" s="277"/>
      <c r="G3" s="277"/>
      <c r="H3" s="277"/>
      <c r="I3" s="277"/>
      <c r="J3" s="277"/>
      <c r="K3" s="1"/>
      <c r="L3" s="1"/>
      <c r="M3" s="4"/>
      <c r="N3" s="4"/>
      <c r="O3" s="4"/>
      <c r="P3" s="4"/>
      <c r="Q3" s="4"/>
      <c r="R3" s="4"/>
      <c r="S3" s="4"/>
    </row>
    <row r="4" spans="3:19" ht="15.75" x14ac:dyDescent="0.25">
      <c r="C4" s="278" t="s">
        <v>1</v>
      </c>
      <c r="D4" s="278"/>
      <c r="E4" s="278"/>
      <c r="F4" s="278"/>
      <c r="G4" s="278"/>
      <c r="H4" s="278"/>
      <c r="I4" s="278"/>
      <c r="J4" s="278"/>
      <c r="K4" s="81"/>
      <c r="L4" s="1"/>
      <c r="M4" s="4"/>
      <c r="N4" s="4"/>
      <c r="O4" s="4"/>
      <c r="P4" s="4"/>
      <c r="Q4" s="4"/>
      <c r="R4" s="4"/>
      <c r="S4" s="4"/>
    </row>
    <row r="5" spans="3:19" ht="9" customHeight="1" x14ac:dyDescent="0.25">
      <c r="E5" s="4"/>
      <c r="F5" s="3"/>
      <c r="G5" s="3"/>
      <c r="H5" s="4"/>
      <c r="I5" s="3"/>
      <c r="J5" s="3"/>
      <c r="K5" s="4"/>
      <c r="L5" s="4"/>
      <c r="M5" s="4"/>
      <c r="N5" s="4"/>
      <c r="O5" s="4"/>
      <c r="P5" s="4"/>
      <c r="Q5" s="4"/>
      <c r="R5" s="4"/>
      <c r="S5" s="4"/>
    </row>
    <row r="6" spans="3:19" ht="15.75" customHeight="1" x14ac:dyDescent="0.25">
      <c r="C6" s="82" t="s">
        <v>90</v>
      </c>
      <c r="D6" s="53"/>
      <c r="E6" s="53"/>
      <c r="F6" s="83"/>
    </row>
    <row r="7" spans="3:19" x14ac:dyDescent="0.25">
      <c r="C7" s="84" t="s">
        <v>91</v>
      </c>
      <c r="D7" s="85"/>
      <c r="E7" s="85"/>
      <c r="F7" s="83"/>
    </row>
    <row r="8" spans="3:19" ht="26.25" customHeight="1" x14ac:dyDescent="0.25">
      <c r="C8" s="86"/>
      <c r="D8" s="294" t="s">
        <v>145</v>
      </c>
      <c r="E8" s="295"/>
      <c r="F8" s="295"/>
      <c r="G8" s="288" t="s">
        <v>146</v>
      </c>
      <c r="H8" s="289"/>
      <c r="I8" s="289"/>
      <c r="J8" s="290"/>
    </row>
    <row r="9" spans="3:19" ht="24" x14ac:dyDescent="0.25">
      <c r="C9" s="87" t="s">
        <v>92</v>
      </c>
      <c r="D9" s="101">
        <v>2024</v>
      </c>
      <c r="E9" s="100">
        <v>2025</v>
      </c>
      <c r="F9" s="112" t="s">
        <v>26</v>
      </c>
      <c r="G9" s="100">
        <v>2024</v>
      </c>
      <c r="H9" s="100">
        <v>2025</v>
      </c>
      <c r="I9" s="175" t="s">
        <v>26</v>
      </c>
      <c r="J9" s="147" t="s">
        <v>32</v>
      </c>
    </row>
    <row r="10" spans="3:19" s="73" customFormat="1" ht="4.5" customHeight="1" x14ac:dyDescent="0.25">
      <c r="D10" s="99"/>
      <c r="E10" s="99"/>
      <c r="F10" s="148"/>
      <c r="G10" s="148"/>
      <c r="H10" s="99"/>
      <c r="I10" s="148"/>
      <c r="J10" s="148"/>
    </row>
    <row r="11" spans="3:19" x14ac:dyDescent="0.25">
      <c r="C11" s="88" t="s">
        <v>93</v>
      </c>
      <c r="D11" s="151">
        <f>+SUM(D12:D26)</f>
        <v>236825.786548278</v>
      </c>
      <c r="E11" s="151">
        <f>+SUM(E12:E26)</f>
        <v>248192.470875</v>
      </c>
      <c r="F11" s="176">
        <f>(E11-D11)/D11</f>
        <v>4.7995974139432851E-2</v>
      </c>
      <c r="G11" s="155">
        <f>+SUM(G12:G26)</f>
        <v>2230452.1671829266</v>
      </c>
      <c r="H11" s="151">
        <f>+SUM(H12:H26)</f>
        <v>2296587.2300311229</v>
      </c>
      <c r="I11" s="179">
        <f>(H11-G11)/G11</f>
        <v>2.9650966661044928E-2</v>
      </c>
      <c r="J11" s="179">
        <f>SUM(J12:J26)</f>
        <v>0.99999999999999978</v>
      </c>
    </row>
    <row r="12" spans="3:19" x14ac:dyDescent="0.25">
      <c r="C12" s="89" t="s">
        <v>94</v>
      </c>
      <c r="D12" s="152">
        <v>42713.635332767997</v>
      </c>
      <c r="E12" s="152">
        <v>39680.341981999998</v>
      </c>
      <c r="F12" s="177">
        <f t="shared" ref="F12:F78" si="0">+E12/D12-1</f>
        <v>-7.1014637998770169E-2</v>
      </c>
      <c r="G12" s="161">
        <v>385566.96522496419</v>
      </c>
      <c r="H12" s="152">
        <v>402878.12380210229</v>
      </c>
      <c r="I12" s="181">
        <f t="shared" ref="I12:I79" si="1">+H12/G12-1</f>
        <v>4.4897929901846378E-2</v>
      </c>
      <c r="J12" s="181">
        <f t="shared" ref="J12:J26" si="2">(H12/$H$11)</f>
        <v>0.17542469910739797</v>
      </c>
    </row>
    <row r="13" spans="3:19" x14ac:dyDescent="0.25">
      <c r="C13" s="89" t="s">
        <v>95</v>
      </c>
      <c r="D13" s="152">
        <v>38576.025497999995</v>
      </c>
      <c r="E13" s="152">
        <v>35070.394482999996</v>
      </c>
      <c r="F13" s="177">
        <f t="shared" si="0"/>
        <v>-9.087589946718988E-2</v>
      </c>
      <c r="G13" s="161">
        <v>254606.68435799997</v>
      </c>
      <c r="H13" s="152">
        <v>348751.59111799998</v>
      </c>
      <c r="I13" s="181">
        <f t="shared" si="1"/>
        <v>0.36976604521358047</v>
      </c>
      <c r="J13" s="181">
        <f t="shared" si="2"/>
        <v>0.15185645315691917</v>
      </c>
    </row>
    <row r="14" spans="3:19" x14ac:dyDescent="0.25">
      <c r="C14" s="89" t="s">
        <v>96</v>
      </c>
      <c r="D14" s="152">
        <v>36464.189487750002</v>
      </c>
      <c r="E14" s="152">
        <v>34973.137964000001</v>
      </c>
      <c r="F14" s="177">
        <f t="shared" si="0"/>
        <v>-4.0890845092029671E-2</v>
      </c>
      <c r="G14" s="161">
        <v>378927.6583908</v>
      </c>
      <c r="H14" s="152">
        <v>347281.14960064006</v>
      </c>
      <c r="I14" s="181">
        <f t="shared" si="1"/>
        <v>-8.3515964299238132E-2</v>
      </c>
      <c r="J14" s="181">
        <f t="shared" si="2"/>
        <v>0.15121618071347273</v>
      </c>
    </row>
    <row r="15" spans="3:19" x14ac:dyDescent="0.25">
      <c r="C15" s="90" t="s">
        <v>97</v>
      </c>
      <c r="D15" s="153">
        <v>29148.203628000003</v>
      </c>
      <c r="E15" s="153">
        <v>43377.951567000004</v>
      </c>
      <c r="F15" s="177">
        <f t="shared" si="0"/>
        <v>0.48818610301359322</v>
      </c>
      <c r="G15" s="161">
        <v>374493.92186176998</v>
      </c>
      <c r="H15" s="152">
        <v>325258.35161861003</v>
      </c>
      <c r="I15" s="181">
        <f t="shared" si="1"/>
        <v>-0.13147228130803512</v>
      </c>
      <c r="J15" s="181">
        <f t="shared" si="2"/>
        <v>0.14162682234116672</v>
      </c>
    </row>
    <row r="16" spans="3:19" x14ac:dyDescent="0.25">
      <c r="C16" s="91" t="s">
        <v>98</v>
      </c>
      <c r="D16" s="153">
        <v>20412.853631748003</v>
      </c>
      <c r="E16" s="153">
        <v>20568.704898</v>
      </c>
      <c r="F16" s="177">
        <f t="shared" si="0"/>
        <v>7.6349573197156406E-3</v>
      </c>
      <c r="G16" s="161">
        <v>209883.52280057501</v>
      </c>
      <c r="H16" s="152">
        <v>205735.97570446401</v>
      </c>
      <c r="I16" s="181">
        <f t="shared" si="1"/>
        <v>-1.9761184874202198E-2</v>
      </c>
      <c r="J16" s="181">
        <f t="shared" si="2"/>
        <v>8.9583349160082162E-2</v>
      </c>
    </row>
    <row r="17" spans="3:10" x14ac:dyDescent="0.25">
      <c r="C17" s="91" t="s">
        <v>99</v>
      </c>
      <c r="D17" s="153">
        <v>16811.672814059999</v>
      </c>
      <c r="E17" s="153">
        <v>22258.614850999998</v>
      </c>
      <c r="F17" s="177">
        <f t="shared" si="0"/>
        <v>0.32399762338847049</v>
      </c>
      <c r="G17" s="161">
        <v>159126.86292367501</v>
      </c>
      <c r="H17" s="152">
        <v>203143.194393299</v>
      </c>
      <c r="I17" s="181">
        <f t="shared" si="1"/>
        <v>0.27661157054755958</v>
      </c>
      <c r="J17" s="181">
        <f t="shared" si="2"/>
        <v>8.8454377755355737E-2</v>
      </c>
    </row>
    <row r="18" spans="3:10" x14ac:dyDescent="0.25">
      <c r="C18" s="91" t="s">
        <v>101</v>
      </c>
      <c r="D18" s="153">
        <v>21877.584060900001</v>
      </c>
      <c r="E18" s="153">
        <v>24616.960996999998</v>
      </c>
      <c r="F18" s="177">
        <f t="shared" si="0"/>
        <v>0.12521386860973638</v>
      </c>
      <c r="G18" s="161">
        <v>192226.87472769999</v>
      </c>
      <c r="H18" s="152">
        <v>175172.66819900001</v>
      </c>
      <c r="I18" s="181">
        <f t="shared" si="1"/>
        <v>-8.8719158301138745E-2</v>
      </c>
      <c r="J18" s="181">
        <f t="shared" si="2"/>
        <v>7.627520779893307E-2</v>
      </c>
    </row>
    <row r="19" spans="3:10" x14ac:dyDescent="0.25">
      <c r="C19" s="91" t="s">
        <v>100</v>
      </c>
      <c r="D19" s="153">
        <v>16786.485371469997</v>
      </c>
      <c r="E19" s="153">
        <v>14500.995885</v>
      </c>
      <c r="F19" s="177">
        <f t="shared" si="0"/>
        <v>-0.1361505661187643</v>
      </c>
      <c r="G19" s="161">
        <v>145740.27966781997</v>
      </c>
      <c r="H19" s="152">
        <v>160607.40033832012</v>
      </c>
      <c r="I19" s="181">
        <f t="shared" si="1"/>
        <v>0.10201106176265196</v>
      </c>
      <c r="J19" s="181">
        <f t="shared" si="2"/>
        <v>6.993307209852577E-2</v>
      </c>
    </row>
    <row r="20" spans="3:10" x14ac:dyDescent="0.25">
      <c r="C20" s="91" t="s">
        <v>102</v>
      </c>
      <c r="D20" s="153">
        <v>5697.746649617</v>
      </c>
      <c r="E20" s="153">
        <v>5683.5981050000009</v>
      </c>
      <c r="F20" s="177">
        <f t="shared" si="0"/>
        <v>-2.4831824731887941E-3</v>
      </c>
      <c r="G20" s="161">
        <v>56077.787920964001</v>
      </c>
      <c r="H20" s="152">
        <v>49943.204226958012</v>
      </c>
      <c r="I20" s="181">
        <f t="shared" si="1"/>
        <v>-0.10939418121577948</v>
      </c>
      <c r="J20" s="181">
        <f t="shared" si="2"/>
        <v>2.1746704664155601E-2</v>
      </c>
    </row>
    <row r="21" spans="3:10" x14ac:dyDescent="0.25">
      <c r="C21" s="91" t="s">
        <v>103</v>
      </c>
      <c r="D21" s="153">
        <v>4374.2887022499999</v>
      </c>
      <c r="E21" s="153">
        <v>4096.0841370000007</v>
      </c>
      <c r="F21" s="177">
        <f t="shared" si="0"/>
        <v>-6.359995514399841E-2</v>
      </c>
      <c r="G21" s="161">
        <v>38626.765652440001</v>
      </c>
      <c r="H21" s="152">
        <v>39875.524041564</v>
      </c>
      <c r="I21" s="181">
        <f t="shared" si="1"/>
        <v>3.232883644362583E-2</v>
      </c>
      <c r="J21" s="181">
        <f t="shared" si="2"/>
        <v>1.7362947733983357E-2</v>
      </c>
    </row>
    <row r="22" spans="3:10" x14ac:dyDescent="0.25">
      <c r="C22" s="91" t="s">
        <v>104</v>
      </c>
      <c r="D22" s="153">
        <v>2197.393</v>
      </c>
      <c r="E22" s="153">
        <v>1521.3953879999999</v>
      </c>
      <c r="F22" s="177">
        <f t="shared" si="0"/>
        <v>-0.30763619070416626</v>
      </c>
      <c r="G22" s="161">
        <v>18514.413027999999</v>
      </c>
      <c r="H22" s="152">
        <v>19967.476550000003</v>
      </c>
      <c r="I22" s="181">
        <f t="shared" si="1"/>
        <v>7.8482829555680977E-2</v>
      </c>
      <c r="J22" s="181">
        <f t="shared" si="2"/>
        <v>8.6944124259235762E-3</v>
      </c>
    </row>
    <row r="23" spans="3:10" x14ac:dyDescent="0.25">
      <c r="C23" s="91" t="s">
        <v>105</v>
      </c>
      <c r="D23" s="153">
        <v>1562.8293996349998</v>
      </c>
      <c r="E23" s="153">
        <v>1588.0360820000001</v>
      </c>
      <c r="F23" s="177">
        <f t="shared" si="0"/>
        <v>1.6128876492141231E-2</v>
      </c>
      <c r="G23" s="161">
        <v>13762.415175358998</v>
      </c>
      <c r="H23" s="152">
        <v>15164.357629845001</v>
      </c>
      <c r="I23" s="181">
        <f t="shared" si="1"/>
        <v>0.10186747286886977</v>
      </c>
      <c r="J23" s="181">
        <f t="shared" si="2"/>
        <v>6.6029965818626872E-3</v>
      </c>
    </row>
    <row r="24" spans="3:10" x14ac:dyDescent="0.25">
      <c r="C24" s="91" t="s">
        <v>106</v>
      </c>
      <c r="D24" s="153">
        <v>179.53999099999999</v>
      </c>
      <c r="E24" s="153">
        <v>168.680555</v>
      </c>
      <c r="F24" s="177">
        <f t="shared" si="0"/>
        <v>-6.0484775227598098E-2</v>
      </c>
      <c r="G24" s="161">
        <v>1783.4982503000001</v>
      </c>
      <c r="H24" s="152">
        <v>1602.8404868799998</v>
      </c>
      <c r="I24" s="181">
        <f t="shared" si="1"/>
        <v>-0.10129405139007674</v>
      </c>
      <c r="J24" s="181">
        <f t="shared" si="2"/>
        <v>6.979227550865893E-4</v>
      </c>
    </row>
    <row r="25" spans="3:10" x14ac:dyDescent="0.25">
      <c r="C25" s="91" t="s">
        <v>107</v>
      </c>
      <c r="D25" s="153">
        <v>0</v>
      </c>
      <c r="E25" s="153">
        <v>46.343691</v>
      </c>
      <c r="F25" s="177" t="s">
        <v>80</v>
      </c>
      <c r="G25" s="161">
        <v>786.26901799999996</v>
      </c>
      <c r="H25" s="152">
        <v>795.88156879999997</v>
      </c>
      <c r="I25" s="181">
        <f t="shared" si="1"/>
        <v>1.2225524063571802E-2</v>
      </c>
      <c r="J25" s="187">
        <f t="shared" si="2"/>
        <v>3.4654967962580472E-4</v>
      </c>
    </row>
    <row r="26" spans="3:10" x14ac:dyDescent="0.25">
      <c r="C26" s="76" t="s">
        <v>108</v>
      </c>
      <c r="D26" s="154">
        <v>23.33898108</v>
      </c>
      <c r="E26" s="154">
        <v>41.230290000000004</v>
      </c>
      <c r="F26" s="178">
        <f t="shared" si="0"/>
        <v>0.76658483327413562</v>
      </c>
      <c r="G26" s="168">
        <v>328.24818255999998</v>
      </c>
      <c r="H26" s="169">
        <v>409.49075264000004</v>
      </c>
      <c r="I26" s="182">
        <f t="shared" si="1"/>
        <v>0.24750348789867216</v>
      </c>
      <c r="J26" s="266">
        <f t="shared" si="2"/>
        <v>1.7830402750887485E-4</v>
      </c>
    </row>
    <row r="27" spans="3:10" x14ac:dyDescent="0.25">
      <c r="C27" s="88" t="s">
        <v>109</v>
      </c>
      <c r="D27" s="155">
        <f>+SUM(D28:D44)</f>
        <v>9846363.6570759639</v>
      </c>
      <c r="E27" s="151">
        <f>+SUM(E28:E44)</f>
        <v>10045656.249993</v>
      </c>
      <c r="F27" s="179">
        <f>+E27/D27-1</f>
        <v>2.0240222670814934E-2</v>
      </c>
      <c r="G27" s="155">
        <f>+SUM(G28:G44)</f>
        <v>90224858.168784693</v>
      </c>
      <c r="H27" s="151">
        <f>+SUM(H28:H44)</f>
        <v>90521273.460002899</v>
      </c>
      <c r="I27" s="179">
        <f>+H27/G27-1</f>
        <v>3.2852951751245474E-3</v>
      </c>
      <c r="J27" s="188">
        <f>SUM(J28:J44)</f>
        <v>0.99999999999999989</v>
      </c>
    </row>
    <row r="28" spans="3:10" x14ac:dyDescent="0.25">
      <c r="C28" s="92" t="s">
        <v>110</v>
      </c>
      <c r="D28" s="152">
        <v>2971402.0893149995</v>
      </c>
      <c r="E28" s="156">
        <v>2595032.4859879999</v>
      </c>
      <c r="F28" s="177">
        <f t="shared" si="0"/>
        <v>-0.12666397613450031</v>
      </c>
      <c r="G28" s="159">
        <v>29567492.206946336</v>
      </c>
      <c r="H28" s="160">
        <v>25286041.813120786</v>
      </c>
      <c r="I28" s="180">
        <f t="shared" si="1"/>
        <v>-0.14480262187469861</v>
      </c>
      <c r="J28" s="189">
        <f t="shared" ref="J28:J44" si="3">(H28/$H$27)</f>
        <v>0.27933811408755205</v>
      </c>
    </row>
    <row r="29" spans="3:10" x14ac:dyDescent="0.25">
      <c r="C29" s="89" t="s">
        <v>104</v>
      </c>
      <c r="D29" s="152">
        <v>1835416.6254660001</v>
      </c>
      <c r="E29" s="156">
        <v>2416927.2299909997</v>
      </c>
      <c r="F29" s="177">
        <f t="shared" si="0"/>
        <v>0.31682757824935681</v>
      </c>
      <c r="G29" s="161">
        <v>16485304.878696</v>
      </c>
      <c r="H29" s="152">
        <v>22010889.826262999</v>
      </c>
      <c r="I29" s="181">
        <f t="shared" si="1"/>
        <v>0.3351824542054862</v>
      </c>
      <c r="J29" s="190">
        <f t="shared" si="3"/>
        <v>0.24315709429329424</v>
      </c>
    </row>
    <row r="30" spans="3:10" x14ac:dyDescent="0.25">
      <c r="C30" s="89" t="s">
        <v>96</v>
      </c>
      <c r="D30" s="152">
        <v>2031803.7274051066</v>
      </c>
      <c r="E30" s="156">
        <v>2163059.5806599995</v>
      </c>
      <c r="F30" s="177">
        <f t="shared" si="0"/>
        <v>6.460065580375951E-2</v>
      </c>
      <c r="G30" s="161">
        <v>19361877.12501692</v>
      </c>
      <c r="H30" s="153">
        <v>19442741.84274362</v>
      </c>
      <c r="I30" s="181">
        <f t="shared" si="1"/>
        <v>4.1764916286044507E-3</v>
      </c>
      <c r="J30" s="190">
        <f t="shared" si="3"/>
        <v>0.21478643748128948</v>
      </c>
    </row>
    <row r="31" spans="3:10" x14ac:dyDescent="0.25">
      <c r="C31" s="89" t="s">
        <v>108</v>
      </c>
      <c r="D31" s="153">
        <v>741806.66858181998</v>
      </c>
      <c r="E31" s="157">
        <v>747312.90464099997</v>
      </c>
      <c r="F31" s="177">
        <f t="shared" si="0"/>
        <v>7.4227373416670961E-3</v>
      </c>
      <c r="G31" s="161">
        <v>7153463.4960368956</v>
      </c>
      <c r="H31" s="152">
        <v>7083594.47886129</v>
      </c>
      <c r="I31" s="181">
        <f t="shared" si="1"/>
        <v>-9.7671592529008366E-3</v>
      </c>
      <c r="J31" s="190">
        <f t="shared" si="3"/>
        <v>7.8253367502515284E-2</v>
      </c>
    </row>
    <row r="32" spans="3:10" x14ac:dyDescent="0.25">
      <c r="C32" s="89" t="s">
        <v>103</v>
      </c>
      <c r="D32" s="153">
        <v>371506.51485826995</v>
      </c>
      <c r="E32" s="157">
        <v>451654.25386800006</v>
      </c>
      <c r="F32" s="177">
        <f t="shared" si="0"/>
        <v>0.21573710232324328</v>
      </c>
      <c r="G32" s="161">
        <v>3687114.1902946527</v>
      </c>
      <c r="H32" s="153">
        <v>3979923.1467996943</v>
      </c>
      <c r="I32" s="181">
        <f t="shared" si="1"/>
        <v>7.9414127524388478E-2</v>
      </c>
      <c r="J32" s="190">
        <f t="shared" si="3"/>
        <v>4.3966716272040025E-2</v>
      </c>
    </row>
    <row r="33" spans="3:10" x14ac:dyDescent="0.25">
      <c r="C33" s="89" t="s">
        <v>101</v>
      </c>
      <c r="D33" s="153">
        <v>684185.26684299996</v>
      </c>
      <c r="E33" s="157">
        <v>668200.88477999996</v>
      </c>
      <c r="F33" s="177">
        <f t="shared" si="0"/>
        <v>-2.3362651664155076E-2</v>
      </c>
      <c r="G33" s="161">
        <v>4219484.283427</v>
      </c>
      <c r="H33" s="152">
        <v>2903082.5104959998</v>
      </c>
      <c r="I33" s="181">
        <f t="shared" si="1"/>
        <v>-0.31198167465665705</v>
      </c>
      <c r="J33" s="190">
        <f t="shared" si="3"/>
        <v>3.2070721052976967E-2</v>
      </c>
    </row>
    <row r="34" spans="3:10" x14ac:dyDescent="0.25">
      <c r="C34" s="89" t="s">
        <v>107</v>
      </c>
      <c r="D34" s="153">
        <v>343461.46481698682</v>
      </c>
      <c r="E34" s="157">
        <v>184686.50857199996</v>
      </c>
      <c r="F34" s="177">
        <f t="shared" si="0"/>
        <v>-0.46227880711331026</v>
      </c>
      <c r="G34" s="161">
        <v>2990382.0310700359</v>
      </c>
      <c r="H34" s="152">
        <v>2281388.2461233549</v>
      </c>
      <c r="I34" s="181">
        <f t="shared" si="1"/>
        <v>-0.2370913741389038</v>
      </c>
      <c r="J34" s="191">
        <f t="shared" si="3"/>
        <v>2.5202785587538086E-2</v>
      </c>
    </row>
    <row r="35" spans="3:10" x14ac:dyDescent="0.25">
      <c r="C35" s="89" t="s">
        <v>95</v>
      </c>
      <c r="D35" s="153">
        <v>246932.775999</v>
      </c>
      <c r="E35" s="157">
        <v>261082.269872</v>
      </c>
      <c r="F35" s="177">
        <f t="shared" si="0"/>
        <v>5.7300995446053271E-2</v>
      </c>
      <c r="G35" s="161">
        <v>1485091.7807525201</v>
      </c>
      <c r="H35" s="152">
        <v>2223737.0567275803</v>
      </c>
      <c r="I35" s="181">
        <f t="shared" si="1"/>
        <v>0.49737348596783471</v>
      </c>
      <c r="J35" s="191">
        <f t="shared" si="3"/>
        <v>2.4565905579202279E-2</v>
      </c>
    </row>
    <row r="36" spans="3:10" x14ac:dyDescent="0.25">
      <c r="C36" s="89" t="s">
        <v>98</v>
      </c>
      <c r="D36" s="153">
        <v>155171.07726938798</v>
      </c>
      <c r="E36" s="157">
        <v>142326.24565</v>
      </c>
      <c r="F36" s="177">
        <f t="shared" si="0"/>
        <v>-8.2778516753405307E-2</v>
      </c>
      <c r="G36" s="161">
        <v>1574779.1387954075</v>
      </c>
      <c r="H36" s="152">
        <v>1397674.1635711486</v>
      </c>
      <c r="I36" s="181">
        <f t="shared" si="1"/>
        <v>-0.11246337398127548</v>
      </c>
      <c r="J36" s="235">
        <f t="shared" si="3"/>
        <v>1.5440283926062035E-2</v>
      </c>
    </row>
    <row r="37" spans="3:10" x14ac:dyDescent="0.25">
      <c r="C37" s="89" t="s">
        <v>102</v>
      </c>
      <c r="D37" s="153">
        <v>137488.85000839998</v>
      </c>
      <c r="E37" s="157">
        <v>180797.95956100003</v>
      </c>
      <c r="F37" s="177">
        <f t="shared" si="0"/>
        <v>0.31500088588968511</v>
      </c>
      <c r="G37" s="161">
        <v>1254296.8011742998</v>
      </c>
      <c r="H37" s="152">
        <v>1394445.1852531091</v>
      </c>
      <c r="I37" s="181">
        <f t="shared" si="1"/>
        <v>0.11173462608498985</v>
      </c>
      <c r="J37" s="235">
        <f t="shared" si="3"/>
        <v>1.5404612992649169E-2</v>
      </c>
    </row>
    <row r="38" spans="3:10" x14ac:dyDescent="0.25">
      <c r="C38" s="89" t="s">
        <v>111</v>
      </c>
      <c r="D38" s="153">
        <v>112065.46721387592</v>
      </c>
      <c r="E38" s="157">
        <v>117670.64660500005</v>
      </c>
      <c r="F38" s="177">
        <f t="shared" si="0"/>
        <v>5.0017008187068779E-2</v>
      </c>
      <c r="G38" s="161">
        <v>1020251.1649688687</v>
      </c>
      <c r="H38" s="152">
        <v>1076426.0382869684</v>
      </c>
      <c r="I38" s="181">
        <f t="shared" si="1"/>
        <v>5.5059847267916462E-2</v>
      </c>
      <c r="J38" s="190">
        <f t="shared" si="3"/>
        <v>1.1891415102137185E-2</v>
      </c>
    </row>
    <row r="39" spans="3:10" x14ac:dyDescent="0.25">
      <c r="C39" s="89" t="s">
        <v>105</v>
      </c>
      <c r="D39" s="153">
        <v>45355.283463</v>
      </c>
      <c r="E39" s="157">
        <v>24665.909910000002</v>
      </c>
      <c r="F39" s="177">
        <f t="shared" si="0"/>
        <v>-0.45616236904081986</v>
      </c>
      <c r="G39" s="161">
        <v>564588.74092209002</v>
      </c>
      <c r="H39" s="152">
        <v>497625.64429985301</v>
      </c>
      <c r="I39" s="181">
        <f t="shared" si="1"/>
        <v>-0.11860508679799819</v>
      </c>
      <c r="J39" s="191">
        <f t="shared" si="3"/>
        <v>5.4973336684191743E-3</v>
      </c>
    </row>
    <row r="40" spans="3:10" x14ac:dyDescent="0.25">
      <c r="C40" s="89" t="s">
        <v>100</v>
      </c>
      <c r="D40" s="153">
        <v>40346.453799999996</v>
      </c>
      <c r="E40" s="157">
        <v>47400.380620000004</v>
      </c>
      <c r="F40" s="177">
        <f t="shared" si="0"/>
        <v>0.17483387399960315</v>
      </c>
      <c r="G40" s="161">
        <v>412505.63234000001</v>
      </c>
      <c r="H40" s="152">
        <v>421774.98990000004</v>
      </c>
      <c r="I40" s="181">
        <f t="shared" si="1"/>
        <v>2.2470863021719856E-2</v>
      </c>
      <c r="J40" s="191">
        <f t="shared" si="3"/>
        <v>4.6594018596784609E-3</v>
      </c>
    </row>
    <row r="41" spans="3:10" x14ac:dyDescent="0.25">
      <c r="C41" s="89" t="s">
        <v>112</v>
      </c>
      <c r="D41" s="153">
        <v>115412.26771611601</v>
      </c>
      <c r="E41" s="157">
        <v>31343.736574999999</v>
      </c>
      <c r="F41" s="177">
        <f t="shared" si="0"/>
        <v>-0.72841936827636555</v>
      </c>
      <c r="G41" s="161">
        <v>296224.40908366453</v>
      </c>
      <c r="H41" s="152">
        <v>379339.3860564885</v>
      </c>
      <c r="I41" s="181">
        <f t="shared" si="1"/>
        <v>0.28058112169058047</v>
      </c>
      <c r="J41" s="190">
        <f t="shared" si="3"/>
        <v>4.1906103566262884E-3</v>
      </c>
    </row>
    <row r="42" spans="3:10" x14ac:dyDescent="0.25">
      <c r="C42" s="89" t="s">
        <v>94</v>
      </c>
      <c r="D42" s="153">
        <v>12559.65546</v>
      </c>
      <c r="E42" s="157">
        <v>12469.881820000001</v>
      </c>
      <c r="F42" s="177">
        <f t="shared" si="0"/>
        <v>-7.1477788770488715E-3</v>
      </c>
      <c r="G42" s="161">
        <v>121168.68673</v>
      </c>
      <c r="H42" s="152">
        <v>119136.59860000001</v>
      </c>
      <c r="I42" s="181">
        <f t="shared" si="1"/>
        <v>-1.677073660563877E-2</v>
      </c>
      <c r="J42" s="190">
        <f t="shared" si="3"/>
        <v>1.3161171296672144E-3</v>
      </c>
    </row>
    <row r="43" spans="3:10" x14ac:dyDescent="0.25">
      <c r="C43" s="89" t="s">
        <v>99</v>
      </c>
      <c r="D43" s="153">
        <v>0</v>
      </c>
      <c r="E43" s="157">
        <v>0</v>
      </c>
      <c r="F43" s="177" t="s">
        <v>45</v>
      </c>
      <c r="G43" s="161">
        <v>0</v>
      </c>
      <c r="H43" s="152">
        <v>11986.73641</v>
      </c>
      <c r="I43" s="181" t="s">
        <v>80</v>
      </c>
      <c r="J43" s="261">
        <f>(H43/$H$27)</f>
        <v>1.324189988919718E-4</v>
      </c>
    </row>
    <row r="44" spans="3:10" x14ac:dyDescent="0.25">
      <c r="C44" s="93" t="s">
        <v>97</v>
      </c>
      <c r="D44" s="158">
        <v>1449.4688599999999</v>
      </c>
      <c r="E44" s="157">
        <v>1025.3708799999999</v>
      </c>
      <c r="F44" s="177">
        <f t="shared" si="0"/>
        <v>-0.2925885417089954</v>
      </c>
      <c r="G44" s="170">
        <v>30833.602529999996</v>
      </c>
      <c r="H44" s="169">
        <v>11465.796490000001</v>
      </c>
      <c r="I44" s="181">
        <f t="shared" si="1"/>
        <v>-0.62813957665685716</v>
      </c>
      <c r="J44" s="267">
        <f t="shared" si="3"/>
        <v>1.2666410946003977E-4</v>
      </c>
    </row>
    <row r="45" spans="3:10" x14ac:dyDescent="0.25">
      <c r="C45" s="88" t="s">
        <v>113</v>
      </c>
      <c r="D45" s="155">
        <f>+SUM(D46:D57)</f>
        <v>102370.32985101797</v>
      </c>
      <c r="E45" s="151">
        <f>+SUM(E46:E57)</f>
        <v>134029.04920799995</v>
      </c>
      <c r="F45" s="179">
        <f t="shared" si="0"/>
        <v>0.30925678761664321</v>
      </c>
      <c r="G45" s="155">
        <f>+SUM(G46:G57)</f>
        <v>1053841.4162484191</v>
      </c>
      <c r="H45" s="151">
        <f>+SUM(H46:H57)</f>
        <v>1251905.1531898042</v>
      </c>
      <c r="I45" s="179">
        <f t="shared" si="1"/>
        <v>0.18794453689861057</v>
      </c>
      <c r="J45" s="188">
        <f>SUM(J46:J57)</f>
        <v>0.99999999999999967</v>
      </c>
    </row>
    <row r="46" spans="3:10" x14ac:dyDescent="0.25">
      <c r="C46" s="92" t="s">
        <v>97</v>
      </c>
      <c r="D46" s="159">
        <v>29912.623243200003</v>
      </c>
      <c r="E46" s="160">
        <v>51147.02586899999</v>
      </c>
      <c r="F46" s="180">
        <f t="shared" si="0"/>
        <v>0.70988099081638301</v>
      </c>
      <c r="G46" s="152">
        <v>305098.69570178998</v>
      </c>
      <c r="H46" s="156">
        <v>501768.04569126002</v>
      </c>
      <c r="I46" s="177">
        <f t="shared" si="1"/>
        <v>0.64460895034995125</v>
      </c>
      <c r="J46" s="189">
        <f t="shared" ref="J46:J57" si="4">(H46/$H$45)</f>
        <v>0.40080356280407914</v>
      </c>
    </row>
    <row r="47" spans="3:10" x14ac:dyDescent="0.25">
      <c r="C47" s="91" t="s">
        <v>99</v>
      </c>
      <c r="D47" s="161">
        <v>18871.163922934</v>
      </c>
      <c r="E47" s="152">
        <v>19933.246888000001</v>
      </c>
      <c r="F47" s="181">
        <f t="shared" si="0"/>
        <v>5.6280734426521484E-2</v>
      </c>
      <c r="G47" s="152">
        <v>184451.44518477301</v>
      </c>
      <c r="H47" s="156">
        <v>193481.25992276298</v>
      </c>
      <c r="I47" s="177">
        <f t="shared" si="1"/>
        <v>4.8954968766682372E-2</v>
      </c>
      <c r="J47" s="190">
        <f t="shared" si="4"/>
        <v>0.15454945562751338</v>
      </c>
    </row>
    <row r="48" spans="3:10" x14ac:dyDescent="0.25">
      <c r="C48" s="89" t="s">
        <v>103</v>
      </c>
      <c r="D48" s="161">
        <v>14827.195406749999</v>
      </c>
      <c r="E48" s="152">
        <v>19591.831488</v>
      </c>
      <c r="F48" s="181">
        <f t="shared" si="0"/>
        <v>0.32134439120434921</v>
      </c>
      <c r="G48" s="152">
        <v>133871.78635146</v>
      </c>
      <c r="H48" s="156">
        <v>159111.06052614999</v>
      </c>
      <c r="I48" s="177">
        <f t="shared" si="1"/>
        <v>0.18853318434422106</v>
      </c>
      <c r="J48" s="190">
        <f t="shared" si="4"/>
        <v>0.12709513985204182</v>
      </c>
    </row>
    <row r="49" spans="3:10" x14ac:dyDescent="0.25">
      <c r="C49" s="91" t="s">
        <v>102</v>
      </c>
      <c r="D49" s="135">
        <v>15070.964991213999</v>
      </c>
      <c r="E49" s="153">
        <v>13568.773689000001</v>
      </c>
      <c r="F49" s="181">
        <f t="shared" si="0"/>
        <v>-9.9674526686893583E-2</v>
      </c>
      <c r="G49" s="152">
        <v>136298.835333336</v>
      </c>
      <c r="H49" s="156">
        <v>140554.37334126901</v>
      </c>
      <c r="I49" s="177">
        <f t="shared" si="1"/>
        <v>3.1222115710127341E-2</v>
      </c>
      <c r="J49" s="190">
        <f t="shared" si="4"/>
        <v>0.11227238180395863</v>
      </c>
    </row>
    <row r="50" spans="3:10" x14ac:dyDescent="0.25">
      <c r="C50" s="91" t="s">
        <v>100</v>
      </c>
      <c r="D50" s="135">
        <v>11413.688045999999</v>
      </c>
      <c r="E50" s="153">
        <v>17427.265303</v>
      </c>
      <c r="F50" s="181">
        <f t="shared" si="0"/>
        <v>0.52687415608029498</v>
      </c>
      <c r="G50" s="152">
        <v>166332.36507699999</v>
      </c>
      <c r="H50" s="156">
        <v>135169.27319800001</v>
      </c>
      <c r="I50" s="177">
        <f t="shared" si="1"/>
        <v>-0.18735434841303256</v>
      </c>
      <c r="J50" s="190">
        <f t="shared" si="4"/>
        <v>0.10797085773917786</v>
      </c>
    </row>
    <row r="51" spans="3:10" x14ac:dyDescent="0.25">
      <c r="C51" s="91" t="s">
        <v>106</v>
      </c>
      <c r="D51" s="135">
        <v>4846.9713431</v>
      </c>
      <c r="E51" s="153">
        <v>4603.7395690000003</v>
      </c>
      <c r="F51" s="181">
        <f t="shared" si="0"/>
        <v>-5.018221831376346E-2</v>
      </c>
      <c r="G51" s="152">
        <v>44735.203623699992</v>
      </c>
      <c r="H51" s="156">
        <v>42348.610415409996</v>
      </c>
      <c r="I51" s="177">
        <f t="shared" si="1"/>
        <v>-5.3349331510041842E-2</v>
      </c>
      <c r="J51" s="190">
        <f t="shared" si="4"/>
        <v>3.3827331333773518E-2</v>
      </c>
    </row>
    <row r="52" spans="3:10" x14ac:dyDescent="0.25">
      <c r="C52" s="91" t="s">
        <v>108</v>
      </c>
      <c r="D52" s="135">
        <v>2968.7049600199998</v>
      </c>
      <c r="E52" s="153">
        <v>3793.9135339999998</v>
      </c>
      <c r="F52" s="181">
        <f t="shared" si="0"/>
        <v>0.27796921051206125</v>
      </c>
      <c r="G52" s="152">
        <v>40421.619558760001</v>
      </c>
      <c r="H52" s="156">
        <v>39761.344908189996</v>
      </c>
      <c r="I52" s="177">
        <f t="shared" si="1"/>
        <v>-1.633469063777071E-2</v>
      </c>
      <c r="J52" s="190">
        <f t="shared" si="4"/>
        <v>3.1760668775010374E-2</v>
      </c>
    </row>
    <row r="53" spans="3:10" x14ac:dyDescent="0.25">
      <c r="C53" s="91" t="s">
        <v>96</v>
      </c>
      <c r="D53" s="135">
        <v>2515.3361777999999</v>
      </c>
      <c r="E53" s="153">
        <v>2493.1783690000002</v>
      </c>
      <c r="F53" s="181">
        <f t="shared" si="0"/>
        <v>-8.8090844458730277E-3</v>
      </c>
      <c r="G53" s="152">
        <v>25428.822955199998</v>
      </c>
      <c r="H53" s="156">
        <v>23405.979937100001</v>
      </c>
      <c r="I53" s="177">
        <f t="shared" si="1"/>
        <v>-7.9549219468938892E-2</v>
      </c>
      <c r="J53" s="190">
        <f t="shared" si="4"/>
        <v>1.8696288514718946E-2</v>
      </c>
    </row>
    <row r="54" spans="3:10" x14ac:dyDescent="0.25">
      <c r="C54" s="91" t="s">
        <v>105</v>
      </c>
      <c r="D54" s="135">
        <v>1250.8802613999999</v>
      </c>
      <c r="E54" s="153">
        <v>1201.3745609999999</v>
      </c>
      <c r="F54" s="181">
        <f t="shared" si="0"/>
        <v>-3.9576690053924612E-2</v>
      </c>
      <c r="G54" s="152">
        <v>13888.3150191</v>
      </c>
      <c r="H54" s="156">
        <v>11732.749135926999</v>
      </c>
      <c r="I54" s="177">
        <f t="shared" si="1"/>
        <v>-0.15520715653472328</v>
      </c>
      <c r="J54" s="190">
        <f t="shared" si="4"/>
        <v>9.3719153611856489E-3</v>
      </c>
    </row>
    <row r="55" spans="3:10" x14ac:dyDescent="0.25">
      <c r="C55" s="91" t="s">
        <v>107</v>
      </c>
      <c r="D55" s="162">
        <v>692.32949860000008</v>
      </c>
      <c r="E55" s="158">
        <v>268.30623800000001</v>
      </c>
      <c r="F55" s="181">
        <f t="shared" si="0"/>
        <v>-0.61245875187673249</v>
      </c>
      <c r="G55" s="152">
        <v>3309.4232933000003</v>
      </c>
      <c r="H55" s="156">
        <v>4453.6595784000001</v>
      </c>
      <c r="I55" s="177">
        <f t="shared" si="1"/>
        <v>0.34575096132807515</v>
      </c>
      <c r="J55" s="190">
        <f t="shared" si="4"/>
        <v>3.557505588224678E-3</v>
      </c>
    </row>
    <row r="56" spans="3:10" x14ac:dyDescent="0.25">
      <c r="C56" s="91" t="s">
        <v>95</v>
      </c>
      <c r="D56" s="162">
        <v>0</v>
      </c>
      <c r="E56" s="158">
        <v>0</v>
      </c>
      <c r="F56" s="181" t="s">
        <v>45</v>
      </c>
      <c r="G56" s="171">
        <v>0</v>
      </c>
      <c r="H56" s="156">
        <v>108.22087533489999</v>
      </c>
      <c r="I56" s="177" t="s">
        <v>80</v>
      </c>
      <c r="J56" s="191">
        <f t="shared" si="4"/>
        <v>8.64449475738298E-5</v>
      </c>
    </row>
    <row r="57" spans="3:10" x14ac:dyDescent="0.25">
      <c r="C57" s="76" t="s">
        <v>101</v>
      </c>
      <c r="D57" s="199">
        <v>0.47199999999999998</v>
      </c>
      <c r="E57" s="203">
        <v>0.39369999999999999</v>
      </c>
      <c r="F57" s="182">
        <f t="shared" si="0"/>
        <v>-0.1658898305084745</v>
      </c>
      <c r="G57" s="152">
        <v>4.9041499999999996</v>
      </c>
      <c r="H57" s="156">
        <v>10.575660000000001</v>
      </c>
      <c r="I57" s="177">
        <f t="shared" si="1"/>
        <v>1.156471559801393</v>
      </c>
      <c r="J57" s="268">
        <f t="shared" si="4"/>
        <v>8.4476527419458597E-6</v>
      </c>
    </row>
    <row r="58" spans="3:10" x14ac:dyDescent="0.25">
      <c r="C58" s="88" t="s">
        <v>114</v>
      </c>
      <c r="D58" s="155">
        <f>+SUM(D59:D76)</f>
        <v>308135.40315323026</v>
      </c>
      <c r="E58" s="151">
        <f>+SUM(E59:E76)</f>
        <v>348160.29012799996</v>
      </c>
      <c r="F58" s="179">
        <f t="shared" si="0"/>
        <v>0.12989382773022684</v>
      </c>
      <c r="G58" s="155">
        <f>+SUM(G59:G76)</f>
        <v>2874431.2853810312</v>
      </c>
      <c r="H58" s="151">
        <f>+SUM(H59:H76)</f>
        <v>3126328.168167871</v>
      </c>
      <c r="I58" s="179">
        <f t="shared" si="1"/>
        <v>8.7633642198355233E-2</v>
      </c>
      <c r="J58" s="188">
        <f>SUM(J59:J76)</f>
        <v>1.0000000000000002</v>
      </c>
    </row>
    <row r="59" spans="3:10" x14ac:dyDescent="0.25">
      <c r="C59" s="92" t="s">
        <v>97</v>
      </c>
      <c r="D59" s="159">
        <v>42290.876445722904</v>
      </c>
      <c r="E59" s="160">
        <v>72908.901941999982</v>
      </c>
      <c r="F59" s="180">
        <f t="shared" si="0"/>
        <v>0.72398654436904297</v>
      </c>
      <c r="G59" s="159">
        <v>428834.96768169577</v>
      </c>
      <c r="H59" s="160">
        <v>618993.14794005186</v>
      </c>
      <c r="I59" s="180">
        <f t="shared" si="1"/>
        <v>0.44342974474857111</v>
      </c>
      <c r="J59" s="189">
        <f t="shared" ref="J59:J75" si="5">(H59/$H$58)</f>
        <v>0.19799365730143481</v>
      </c>
    </row>
    <row r="60" spans="3:10" x14ac:dyDescent="0.25">
      <c r="C60" s="89" t="s">
        <v>103</v>
      </c>
      <c r="D60" s="161">
        <v>67634.886945835096</v>
      </c>
      <c r="E60" s="152">
        <v>66367.052987999996</v>
      </c>
      <c r="F60" s="181">
        <f t="shared" si="0"/>
        <v>-1.8745266164936991E-2</v>
      </c>
      <c r="G60" s="161">
        <v>568780.02957520226</v>
      </c>
      <c r="H60" s="152">
        <v>608374.23005581414</v>
      </c>
      <c r="I60" s="181">
        <f t="shared" si="1"/>
        <v>6.9612501181138819E-2</v>
      </c>
      <c r="J60" s="190">
        <f t="shared" si="5"/>
        <v>0.19459704718469817</v>
      </c>
    </row>
    <row r="61" spans="3:10" ht="15" customHeight="1" x14ac:dyDescent="0.25">
      <c r="C61" s="89" t="s">
        <v>102</v>
      </c>
      <c r="D61" s="161">
        <v>52297.914910997402</v>
      </c>
      <c r="E61" s="152">
        <v>43709.794311000012</v>
      </c>
      <c r="F61" s="181">
        <f t="shared" si="0"/>
        <v>-0.1642153537978136</v>
      </c>
      <c r="G61" s="161">
        <v>462346.65199766489</v>
      </c>
      <c r="H61" s="152">
        <v>438890.56639785063</v>
      </c>
      <c r="I61" s="181">
        <f t="shared" si="1"/>
        <v>-5.073268184914359E-2</v>
      </c>
      <c r="J61" s="190">
        <f t="shared" si="5"/>
        <v>0.14038531554896064</v>
      </c>
    </row>
    <row r="62" spans="3:10" x14ac:dyDescent="0.25">
      <c r="C62" s="89" t="s">
        <v>99</v>
      </c>
      <c r="D62" s="161">
        <v>38758.704523265798</v>
      </c>
      <c r="E62" s="152">
        <v>43951.073361999988</v>
      </c>
      <c r="F62" s="181">
        <f t="shared" si="0"/>
        <v>0.13396652191038405</v>
      </c>
      <c r="G62" s="161">
        <v>402923.86871374748</v>
      </c>
      <c r="H62" s="152">
        <v>419015.59808904555</v>
      </c>
      <c r="I62" s="181">
        <f t="shared" si="1"/>
        <v>3.9937394194758502E-2</v>
      </c>
      <c r="J62" s="190">
        <f t="shared" si="5"/>
        <v>0.13402802762532834</v>
      </c>
    </row>
    <row r="63" spans="3:10" x14ac:dyDescent="0.25">
      <c r="C63" s="91" t="s">
        <v>100</v>
      </c>
      <c r="D63" s="135">
        <v>15774.177036096502</v>
      </c>
      <c r="E63" s="153">
        <v>16541.590826</v>
      </c>
      <c r="F63" s="181">
        <f t="shared" si="0"/>
        <v>4.8650004887570431E-2</v>
      </c>
      <c r="G63" s="161">
        <v>176827.72331332718</v>
      </c>
      <c r="H63" s="152">
        <v>190736.42564499142</v>
      </c>
      <c r="I63" s="181">
        <f t="shared" si="1"/>
        <v>7.8656796971925846E-2</v>
      </c>
      <c r="J63" s="190">
        <f t="shared" si="5"/>
        <v>6.1009726229978321E-2</v>
      </c>
    </row>
    <row r="64" spans="3:10" x14ac:dyDescent="0.25">
      <c r="C64" s="91" t="s">
        <v>108</v>
      </c>
      <c r="D64" s="135">
        <v>17912.270308581305</v>
      </c>
      <c r="E64" s="153">
        <v>15792.781746000001</v>
      </c>
      <c r="F64" s="181">
        <f t="shared" si="0"/>
        <v>-0.11832607068049394</v>
      </c>
      <c r="G64" s="161">
        <v>184015.89868917415</v>
      </c>
      <c r="H64" s="152">
        <v>168195.17394242648</v>
      </c>
      <c r="I64" s="181">
        <f t="shared" si="1"/>
        <v>-8.5974770981451232E-2</v>
      </c>
      <c r="J64" s="190">
        <f t="shared" si="5"/>
        <v>5.3799590092614709E-2</v>
      </c>
    </row>
    <row r="65" spans="3:10" ht="15" customHeight="1" x14ac:dyDescent="0.25">
      <c r="C65" s="91" t="s">
        <v>95</v>
      </c>
      <c r="D65" s="135">
        <v>14497.334603241499</v>
      </c>
      <c r="E65" s="153">
        <v>16659.490983</v>
      </c>
      <c r="F65" s="181">
        <f t="shared" si="0"/>
        <v>0.14914164837411281</v>
      </c>
      <c r="G65" s="161">
        <v>94414.632364160585</v>
      </c>
      <c r="H65" s="152">
        <v>132959.8105886775</v>
      </c>
      <c r="I65" s="181">
        <f t="shared" si="1"/>
        <v>0.40825428494861682</v>
      </c>
      <c r="J65" s="190">
        <f t="shared" si="5"/>
        <v>4.2529063948714071E-2</v>
      </c>
    </row>
    <row r="66" spans="3:10" x14ac:dyDescent="0.25">
      <c r="C66" s="91" t="s">
        <v>105</v>
      </c>
      <c r="D66" s="135">
        <v>10689.192734588099</v>
      </c>
      <c r="E66" s="153">
        <v>12343.428253</v>
      </c>
      <c r="F66" s="181">
        <f t="shared" si="0"/>
        <v>0.15475775949470205</v>
      </c>
      <c r="G66" s="161">
        <v>118269.816481446</v>
      </c>
      <c r="H66" s="152">
        <v>116267.8192422287</v>
      </c>
      <c r="I66" s="181">
        <f t="shared" si="1"/>
        <v>-1.6927372501092663E-2</v>
      </c>
      <c r="J66" s="190">
        <f t="shared" si="5"/>
        <v>3.7189895938008768E-2</v>
      </c>
    </row>
    <row r="67" spans="3:10" x14ac:dyDescent="0.25">
      <c r="C67" s="91" t="s">
        <v>96</v>
      </c>
      <c r="D67" s="135">
        <v>7359.6898198969002</v>
      </c>
      <c r="E67" s="153">
        <v>16042.457731000002</v>
      </c>
      <c r="F67" s="181">
        <f t="shared" si="0"/>
        <v>1.1797736213867687</v>
      </c>
      <c r="G67" s="161">
        <v>87372.897508436115</v>
      </c>
      <c r="H67" s="152">
        <v>90825.521923251697</v>
      </c>
      <c r="I67" s="181">
        <f t="shared" si="1"/>
        <v>3.9515965628611704E-2</v>
      </c>
      <c r="J67" s="190">
        <f t="shared" si="5"/>
        <v>2.905181959080079E-2</v>
      </c>
    </row>
    <row r="68" spans="3:10" x14ac:dyDescent="0.25">
      <c r="C68" s="91" t="s">
        <v>101</v>
      </c>
      <c r="D68" s="135">
        <v>11933.151371911401</v>
      </c>
      <c r="E68" s="153">
        <v>11927.224265999999</v>
      </c>
      <c r="F68" s="187">
        <f t="shared" si="0"/>
        <v>-4.9669242655825396E-4</v>
      </c>
      <c r="G68" s="161">
        <v>92118.218575170598</v>
      </c>
      <c r="H68" s="152">
        <v>80697.621658168093</v>
      </c>
      <c r="I68" s="181">
        <f t="shared" si="1"/>
        <v>-0.12397761369737126</v>
      </c>
      <c r="J68" s="191">
        <f t="shared" si="5"/>
        <v>2.5812268359997375E-2</v>
      </c>
    </row>
    <row r="69" spans="3:10" x14ac:dyDescent="0.25">
      <c r="C69" s="91" t="s">
        <v>98</v>
      </c>
      <c r="D69" s="135">
        <v>8496.2876490762992</v>
      </c>
      <c r="E69" s="153">
        <v>8465.2037789999995</v>
      </c>
      <c r="F69" s="181">
        <f t="shared" si="0"/>
        <v>-3.658523741210562E-3</v>
      </c>
      <c r="G69" s="161">
        <v>83904.449479779505</v>
      </c>
      <c r="H69" s="152">
        <v>79156.572303819208</v>
      </c>
      <c r="I69" s="181">
        <f t="shared" si="1"/>
        <v>-5.6586715071701987E-2</v>
      </c>
      <c r="J69" s="191">
        <f t="shared" si="5"/>
        <v>2.5319342067089363E-2</v>
      </c>
    </row>
    <row r="70" spans="3:10" x14ac:dyDescent="0.25">
      <c r="C70" s="91" t="s">
        <v>94</v>
      </c>
      <c r="D70" s="135">
        <v>7049.4379195109004</v>
      </c>
      <c r="E70" s="153">
        <v>7580.8351160000002</v>
      </c>
      <c r="F70" s="181">
        <f t="shared" si="0"/>
        <v>7.5381498859411034E-2</v>
      </c>
      <c r="G70" s="161">
        <v>69336.95025956571</v>
      </c>
      <c r="H70" s="152">
        <v>70659.289901774406</v>
      </c>
      <c r="I70" s="181">
        <f t="shared" si="1"/>
        <v>1.9071211486205497E-2</v>
      </c>
      <c r="J70" s="190">
        <f t="shared" si="5"/>
        <v>2.2601366875436825E-2</v>
      </c>
    </row>
    <row r="71" spans="3:10" x14ac:dyDescent="0.25">
      <c r="C71" s="91" t="s">
        <v>106</v>
      </c>
      <c r="D71" s="135">
        <v>4022.8332872535998</v>
      </c>
      <c r="E71" s="153">
        <v>3964.8111250000002</v>
      </c>
      <c r="F71" s="181">
        <f t="shared" si="0"/>
        <v>-1.4423208249132125E-2</v>
      </c>
      <c r="G71" s="161">
        <v>44060.691193841194</v>
      </c>
      <c r="H71" s="152">
        <v>41896.764185348897</v>
      </c>
      <c r="I71" s="181">
        <f t="shared" si="1"/>
        <v>-4.9112416302601547E-2</v>
      </c>
      <c r="J71" s="190">
        <f t="shared" si="5"/>
        <v>1.3401268814943938E-2</v>
      </c>
    </row>
    <row r="72" spans="3:10" x14ac:dyDescent="0.25">
      <c r="C72" s="91" t="s">
        <v>107</v>
      </c>
      <c r="D72" s="135">
        <v>5971.2516428537001</v>
      </c>
      <c r="E72" s="153">
        <v>7020.1055560000004</v>
      </c>
      <c r="F72" s="181">
        <f t="shared" si="0"/>
        <v>0.17565059653808968</v>
      </c>
      <c r="G72" s="161">
        <v>24499.608104254599</v>
      </c>
      <c r="H72" s="152">
        <v>28569.592769993898</v>
      </c>
      <c r="I72" s="181">
        <f t="shared" si="1"/>
        <v>0.16612448037617811</v>
      </c>
      <c r="J72" s="190">
        <f t="shared" si="5"/>
        <v>9.1383857462208132E-3</v>
      </c>
    </row>
    <row r="73" spans="3:10" x14ac:dyDescent="0.25">
      <c r="C73" s="91" t="s">
        <v>104</v>
      </c>
      <c r="D73" s="135">
        <v>1857.7331031899998</v>
      </c>
      <c r="E73" s="158">
        <v>2847.0158799999999</v>
      </c>
      <c r="F73" s="181">
        <f t="shared" si="0"/>
        <v>0.53252147744541811</v>
      </c>
      <c r="G73" s="161">
        <v>18499.1508579535</v>
      </c>
      <c r="H73" s="152">
        <v>23504.0255424803</v>
      </c>
      <c r="I73" s="181">
        <f t="shared" si="1"/>
        <v>0.27054618468474256</v>
      </c>
      <c r="J73" s="190">
        <f t="shared" si="5"/>
        <v>7.5180928802667619E-3</v>
      </c>
    </row>
    <row r="74" spans="3:10" x14ac:dyDescent="0.25">
      <c r="C74" s="91" t="s">
        <v>110</v>
      </c>
      <c r="D74" s="135">
        <v>1586.7126954040998</v>
      </c>
      <c r="E74" s="153">
        <v>2038.522264</v>
      </c>
      <c r="F74" s="181">
        <f t="shared" si="0"/>
        <v>0.28474566939847579</v>
      </c>
      <c r="G74" s="161">
        <v>18124.809503818102</v>
      </c>
      <c r="H74" s="152">
        <v>17490.322302503602</v>
      </c>
      <c r="I74" s="181">
        <f t="shared" si="1"/>
        <v>-3.5006558340976768E-2</v>
      </c>
      <c r="J74" s="190">
        <f t="shared" si="5"/>
        <v>5.5945253862308046E-3</v>
      </c>
    </row>
    <row r="75" spans="3:10" x14ac:dyDescent="0.25">
      <c r="C75" s="91" t="s">
        <v>112</v>
      </c>
      <c r="D75" s="162">
        <v>2.9481558046999998</v>
      </c>
      <c r="E75" s="158">
        <v>0</v>
      </c>
      <c r="F75" s="181" t="s">
        <v>45</v>
      </c>
      <c r="G75" s="161">
        <v>9.716045620700001</v>
      </c>
      <c r="H75" s="152">
        <v>95.685679444299993</v>
      </c>
      <c r="I75" s="181">
        <f t="shared" si="1"/>
        <v>8.8482122439238022</v>
      </c>
      <c r="J75" s="235">
        <f t="shared" si="5"/>
        <v>3.0606409275445604E-5</v>
      </c>
    </row>
    <row r="76" spans="3:10" ht="15" customHeight="1" x14ac:dyDescent="0.25">
      <c r="C76" s="76" t="s">
        <v>111</v>
      </c>
      <c r="D76" s="163">
        <v>0</v>
      </c>
      <c r="E76" s="164">
        <v>0</v>
      </c>
      <c r="F76" s="182" t="s">
        <v>45</v>
      </c>
      <c r="G76" s="168">
        <v>91.205036172700005</v>
      </c>
      <c r="H76" s="172">
        <v>0</v>
      </c>
      <c r="I76" s="182" t="s">
        <v>45</v>
      </c>
      <c r="J76" s="269" t="s">
        <v>45</v>
      </c>
    </row>
    <row r="77" spans="3:10" x14ac:dyDescent="0.25">
      <c r="C77" s="88" t="s">
        <v>115</v>
      </c>
      <c r="D77" s="155">
        <f>+SUM(D78:D89)</f>
        <v>25689.331058560001</v>
      </c>
      <c r="E77" s="151">
        <f>+SUM(E78:E89)</f>
        <v>26955.006510999996</v>
      </c>
      <c r="F77" s="179">
        <f t="shared" si="0"/>
        <v>4.9268525114757988E-2</v>
      </c>
      <c r="G77" s="155">
        <f>+SUM(G78:G89)</f>
        <v>242660.28345150992</v>
      </c>
      <c r="H77" s="151">
        <f>+SUM(H78:H89)</f>
        <v>260146.02395615677</v>
      </c>
      <c r="I77" s="179">
        <f t="shared" si="1"/>
        <v>7.2058518418985473E-2</v>
      </c>
      <c r="J77" s="188">
        <f>SUM(J78:J89)</f>
        <v>1.0000000000000002</v>
      </c>
    </row>
    <row r="78" spans="3:10" x14ac:dyDescent="0.25">
      <c r="C78" s="92" t="s">
        <v>102</v>
      </c>
      <c r="D78" s="152">
        <v>8383.7380905230002</v>
      </c>
      <c r="E78" s="156">
        <v>7854.9147840000005</v>
      </c>
      <c r="F78" s="177">
        <f t="shared" si="0"/>
        <v>-6.3077269448670314E-2</v>
      </c>
      <c r="G78" s="159">
        <v>69681.933459466993</v>
      </c>
      <c r="H78" s="160">
        <v>78912.056966416014</v>
      </c>
      <c r="I78" s="180">
        <f t="shared" si="1"/>
        <v>0.13246078357337843</v>
      </c>
      <c r="J78" s="189">
        <f t="shared" ref="J78:J89" si="6">(H78/$H$77)</f>
        <v>0.30333754776015837</v>
      </c>
    </row>
    <row r="79" spans="3:10" x14ac:dyDescent="0.25">
      <c r="C79" s="89" t="s">
        <v>103</v>
      </c>
      <c r="D79" s="152">
        <v>4742.1592678300003</v>
      </c>
      <c r="E79" s="156">
        <v>6311.8962000000001</v>
      </c>
      <c r="F79" s="177">
        <f t="shared" ref="F79:F93" si="7">+E79/D79-1</f>
        <v>0.33101733693737945</v>
      </c>
      <c r="G79" s="161">
        <v>42112.51138063</v>
      </c>
      <c r="H79" s="152">
        <v>50293.37195506</v>
      </c>
      <c r="I79" s="181">
        <f t="shared" si="1"/>
        <v>0.19426199735484917</v>
      </c>
      <c r="J79" s="190">
        <f t="shared" si="6"/>
        <v>0.19332746735939388</v>
      </c>
    </row>
    <row r="80" spans="3:10" x14ac:dyDescent="0.25">
      <c r="C80" s="89" t="s">
        <v>99</v>
      </c>
      <c r="D80" s="152">
        <v>2661.717059827</v>
      </c>
      <c r="E80" s="156">
        <v>2935.8638940000001</v>
      </c>
      <c r="F80" s="177">
        <f t="shared" si="7"/>
        <v>0.10299623438969818</v>
      </c>
      <c r="G80" s="161">
        <v>26060.933537563</v>
      </c>
      <c r="H80" s="152">
        <v>30480.558484309004</v>
      </c>
      <c r="I80" s="181">
        <f t="shared" ref="I80:I95" si="8">+H80/G80-1</f>
        <v>0.16958812854404326</v>
      </c>
      <c r="J80" s="190">
        <f t="shared" si="6"/>
        <v>0.1171671126115154</v>
      </c>
    </row>
    <row r="81" spans="3:10" x14ac:dyDescent="0.25">
      <c r="C81" s="89" t="s">
        <v>97</v>
      </c>
      <c r="D81" s="152">
        <v>2054.8325682000004</v>
      </c>
      <c r="E81" s="156">
        <v>1887.1753260000003</v>
      </c>
      <c r="F81" s="177">
        <f t="shared" si="7"/>
        <v>-8.1591680409691558E-2</v>
      </c>
      <c r="G81" s="161">
        <v>18961.239470459997</v>
      </c>
      <c r="H81" s="152">
        <v>27698.773173099999</v>
      </c>
      <c r="I81" s="181">
        <f t="shared" si="8"/>
        <v>0.46081026065054109</v>
      </c>
      <c r="J81" s="190">
        <f t="shared" si="6"/>
        <v>0.10647394394837324</v>
      </c>
    </row>
    <row r="82" spans="3:10" x14ac:dyDescent="0.25">
      <c r="C82" s="91" t="s">
        <v>100</v>
      </c>
      <c r="D82" s="153">
        <v>1942.0441860000001</v>
      </c>
      <c r="E82" s="157">
        <v>2700.4845560000003</v>
      </c>
      <c r="F82" s="177">
        <f t="shared" si="7"/>
        <v>0.39053713374161103</v>
      </c>
      <c r="G82" s="161">
        <v>27934.300272</v>
      </c>
      <c r="H82" s="152">
        <v>20714.485137999996</v>
      </c>
      <c r="I82" s="181">
        <f t="shared" si="8"/>
        <v>-0.25845698885240376</v>
      </c>
      <c r="J82" s="190">
        <f t="shared" si="6"/>
        <v>7.9626376075196417E-2</v>
      </c>
    </row>
    <row r="83" spans="3:10" x14ac:dyDescent="0.25">
      <c r="C83" s="91" t="s">
        <v>105</v>
      </c>
      <c r="D83" s="153">
        <v>1921.5913072999999</v>
      </c>
      <c r="E83" s="157">
        <v>2160.0830569999998</v>
      </c>
      <c r="F83" s="177">
        <f t="shared" si="7"/>
        <v>0.1241115885537083</v>
      </c>
      <c r="G83" s="161">
        <v>19850.875744280002</v>
      </c>
      <c r="H83" s="152">
        <v>19394.286151824901</v>
      </c>
      <c r="I83" s="181">
        <f t="shared" si="8"/>
        <v>-2.3000979822598855E-2</v>
      </c>
      <c r="J83" s="190">
        <f t="shared" si="6"/>
        <v>7.4551537851270333E-2</v>
      </c>
    </row>
    <row r="84" spans="3:10" x14ac:dyDescent="0.25">
      <c r="C84" s="91" t="s">
        <v>96</v>
      </c>
      <c r="D84" s="153">
        <v>1798.381891</v>
      </c>
      <c r="E84" s="157">
        <v>1640.825938</v>
      </c>
      <c r="F84" s="177">
        <f t="shared" si="7"/>
        <v>-8.760984181863074E-2</v>
      </c>
      <c r="G84" s="161">
        <v>19165.1181124</v>
      </c>
      <c r="H84" s="152">
        <v>15751.116994799999</v>
      </c>
      <c r="I84" s="181">
        <f t="shared" si="8"/>
        <v>-0.17813618979948331</v>
      </c>
      <c r="J84" s="190">
        <f t="shared" si="6"/>
        <v>6.0547214042581655E-2</v>
      </c>
    </row>
    <row r="85" spans="3:10" x14ac:dyDescent="0.25">
      <c r="C85" s="91" t="s">
        <v>106</v>
      </c>
      <c r="D85" s="153">
        <v>787.39756220000004</v>
      </c>
      <c r="E85" s="157">
        <v>582.48976599999992</v>
      </c>
      <c r="F85" s="177">
        <f t="shared" si="7"/>
        <v>-0.260234227329184</v>
      </c>
      <c r="G85" s="161">
        <v>9938.3963741000007</v>
      </c>
      <c r="H85" s="152">
        <v>6679.5776561199991</v>
      </c>
      <c r="I85" s="181">
        <f t="shared" si="8"/>
        <v>-0.32790186618765371</v>
      </c>
      <c r="J85" s="190">
        <f t="shared" si="6"/>
        <v>2.5676262717917724E-2</v>
      </c>
    </row>
    <row r="86" spans="3:10" x14ac:dyDescent="0.25">
      <c r="C86" s="91" t="s">
        <v>108</v>
      </c>
      <c r="D86" s="153">
        <v>531.73807998000007</v>
      </c>
      <c r="E86" s="157">
        <v>454.24500699999999</v>
      </c>
      <c r="F86" s="177">
        <f t="shared" si="7"/>
        <v>-0.14573542106090043</v>
      </c>
      <c r="G86" s="161">
        <v>4298.2368143100002</v>
      </c>
      <c r="H86" s="152">
        <v>5508.616129940001</v>
      </c>
      <c r="I86" s="181">
        <f t="shared" si="8"/>
        <v>0.28159902953702276</v>
      </c>
      <c r="J86" s="190">
        <f t="shared" si="6"/>
        <v>2.1175092535215472E-2</v>
      </c>
    </row>
    <row r="87" spans="3:10" x14ac:dyDescent="0.25">
      <c r="C87" s="91" t="s">
        <v>107</v>
      </c>
      <c r="D87" s="158">
        <v>856.37904570000001</v>
      </c>
      <c r="E87" s="165">
        <v>419.23623500000002</v>
      </c>
      <c r="F87" s="177">
        <f t="shared" si="7"/>
        <v>-0.51045481892037836</v>
      </c>
      <c r="G87" s="161">
        <v>4549.8403663000008</v>
      </c>
      <c r="H87" s="152">
        <v>4578.9567702000004</v>
      </c>
      <c r="I87" s="181">
        <f t="shared" si="8"/>
        <v>6.3994341682096501E-3</v>
      </c>
      <c r="J87" s="190">
        <f t="shared" si="6"/>
        <v>1.7601486659552815E-2</v>
      </c>
    </row>
    <row r="88" spans="3:10" x14ac:dyDescent="0.25">
      <c r="C88" s="91" t="s">
        <v>101</v>
      </c>
      <c r="D88" s="153">
        <v>9.3520000000000003</v>
      </c>
      <c r="E88" s="157">
        <v>7.7917480000000001</v>
      </c>
      <c r="F88" s="177">
        <f t="shared" si="7"/>
        <v>-0.16683618477331053</v>
      </c>
      <c r="G88" s="161">
        <v>106.89792000000001</v>
      </c>
      <c r="H88" s="152">
        <v>80.066869999999994</v>
      </c>
      <c r="I88" s="181">
        <f t="shared" si="8"/>
        <v>-0.25099693240055576</v>
      </c>
      <c r="J88" s="191">
        <f t="shared" si="6"/>
        <v>3.0777664321901733E-4</v>
      </c>
    </row>
    <row r="89" spans="3:10" x14ac:dyDescent="0.25">
      <c r="C89" s="76" t="s">
        <v>95</v>
      </c>
      <c r="D89" s="158">
        <v>0</v>
      </c>
      <c r="E89" s="165">
        <v>0</v>
      </c>
      <c r="F89" s="177" t="s">
        <v>45</v>
      </c>
      <c r="G89" s="170">
        <v>0</v>
      </c>
      <c r="H89" s="169">
        <v>54.157666386899997</v>
      </c>
      <c r="I89" s="182" t="s">
        <v>80</v>
      </c>
      <c r="J89" s="270">
        <f t="shared" si="6"/>
        <v>2.0818179560579161E-4</v>
      </c>
    </row>
    <row r="90" spans="3:10" x14ac:dyDescent="0.25">
      <c r="C90" s="88" t="s">
        <v>116</v>
      </c>
      <c r="D90" s="155">
        <f>+D91</f>
        <v>1103818.8046959999</v>
      </c>
      <c r="E90" s="151">
        <f>+E91</f>
        <v>1162917.4198079999</v>
      </c>
      <c r="F90" s="179">
        <f t="shared" si="7"/>
        <v>5.3540141607096636E-2</v>
      </c>
      <c r="G90" s="155">
        <f>+G91</f>
        <v>11154506.942721998</v>
      </c>
      <c r="H90" s="151">
        <f>+H91</f>
        <v>9527222.9557980001</v>
      </c>
      <c r="I90" s="179">
        <f t="shared" si="8"/>
        <v>-0.14588578368188254</v>
      </c>
      <c r="J90" s="188">
        <f>SUM(J91)</f>
        <v>1</v>
      </c>
    </row>
    <row r="91" spans="3:10" x14ac:dyDescent="0.25">
      <c r="C91" s="94" t="s">
        <v>100</v>
      </c>
      <c r="D91" s="166">
        <v>1103818.8046959999</v>
      </c>
      <c r="E91" s="167">
        <v>1162917.4198079999</v>
      </c>
      <c r="F91" s="183">
        <f t="shared" si="7"/>
        <v>5.3540141607096636E-2</v>
      </c>
      <c r="G91" s="173">
        <v>11154506.942721998</v>
      </c>
      <c r="H91" s="174">
        <v>9527222.9557980001</v>
      </c>
      <c r="I91" s="183">
        <f t="shared" si="8"/>
        <v>-0.14588578368188254</v>
      </c>
      <c r="J91" s="192">
        <f>(H91/$H$90)</f>
        <v>1</v>
      </c>
    </row>
    <row r="92" spans="3:10" x14ac:dyDescent="0.25">
      <c r="C92" s="88" t="s">
        <v>117</v>
      </c>
      <c r="D92" s="155">
        <f>SUM(D93:D94)</f>
        <v>2348.3980999999999</v>
      </c>
      <c r="E92" s="151">
        <f>SUM(E93:E94)</f>
        <v>3093.9712440000003</v>
      </c>
      <c r="F92" s="179">
        <f t="shared" si="7"/>
        <v>0.31748158201967569</v>
      </c>
      <c r="G92" s="155">
        <f>SUM(G93:G94)</f>
        <v>26979.908799999997</v>
      </c>
      <c r="H92" s="151">
        <f>SUM(H93:H94)</f>
        <v>28516.888640000001</v>
      </c>
      <c r="I92" s="179">
        <f t="shared" si="8"/>
        <v>5.6967569882964364E-2</v>
      </c>
      <c r="J92" s="188">
        <f>SUM(J93:J94)</f>
        <v>1</v>
      </c>
    </row>
    <row r="93" spans="3:10" x14ac:dyDescent="0.25">
      <c r="C93" s="247" t="s">
        <v>107</v>
      </c>
      <c r="D93" s="248">
        <v>2348.3980999999999</v>
      </c>
      <c r="E93" s="249">
        <v>3076.0791000000004</v>
      </c>
      <c r="F93" s="180">
        <f t="shared" si="7"/>
        <v>0.30986271024491141</v>
      </c>
      <c r="G93" s="159">
        <v>26979.908799999997</v>
      </c>
      <c r="H93" s="160">
        <v>28498.888640000001</v>
      </c>
      <c r="I93" s="180">
        <f t="shared" si="8"/>
        <v>5.6300406767868738E-2</v>
      </c>
      <c r="J93" s="189">
        <f>(H93/$H$92)</f>
        <v>0.99936879509447074</v>
      </c>
    </row>
    <row r="94" spans="3:10" x14ac:dyDescent="0.25">
      <c r="C94" s="76" t="s">
        <v>96</v>
      </c>
      <c r="D94" s="246">
        <v>0</v>
      </c>
      <c r="E94" s="154">
        <v>17.892143999999998</v>
      </c>
      <c r="F94" s="182" t="s">
        <v>80</v>
      </c>
      <c r="G94" s="168">
        <v>0</v>
      </c>
      <c r="H94" s="169">
        <v>18</v>
      </c>
      <c r="I94" s="182" t="s">
        <v>80</v>
      </c>
      <c r="J94" s="269">
        <f>(H94/$H$92)</f>
        <v>6.3120490552927299E-4</v>
      </c>
    </row>
    <row r="95" spans="3:10" x14ac:dyDescent="0.25">
      <c r="C95" s="88" t="s">
        <v>118</v>
      </c>
      <c r="D95" s="155">
        <f>SUM(D96:D100)</f>
        <v>2906.9960961100005</v>
      </c>
      <c r="E95" s="151">
        <f>SUM(E96:E100)</f>
        <v>3380.8528619999997</v>
      </c>
      <c r="F95" s="179">
        <f t="shared" ref="F95:F114" si="9">(E95-D95)/D95</f>
        <v>0.16300564232751846</v>
      </c>
      <c r="G95" s="155">
        <f>SUM(G96:G100)</f>
        <v>34976.416848245004</v>
      </c>
      <c r="H95" s="151">
        <f>SUM(H96:H100)</f>
        <v>32021.878558766104</v>
      </c>
      <c r="I95" s="179">
        <f t="shared" si="8"/>
        <v>-8.4472297499712301E-2</v>
      </c>
      <c r="J95" s="188">
        <f>SUM(J96:J100)</f>
        <v>0.99999999999999989</v>
      </c>
    </row>
    <row r="96" spans="3:10" x14ac:dyDescent="0.25">
      <c r="C96" s="92" t="s">
        <v>98</v>
      </c>
      <c r="D96" s="103">
        <v>718.53159479999999</v>
      </c>
      <c r="E96" s="104">
        <v>1041.8077519999999</v>
      </c>
      <c r="F96" s="180">
        <f t="shared" si="9"/>
        <v>0.44991223703946154</v>
      </c>
      <c r="G96" s="103">
        <v>7708.9413108000008</v>
      </c>
      <c r="H96" s="104">
        <v>8741.9796896000007</v>
      </c>
      <c r="I96" s="180">
        <f t="shared" ref="I96:I107" si="10">(H96-G96)/G96</f>
        <v>0.13400522032159506</v>
      </c>
      <c r="J96" s="189">
        <f>(H96/$H$95)</f>
        <v>0.27300021369941935</v>
      </c>
    </row>
    <row r="97" spans="3:10" x14ac:dyDescent="0.25">
      <c r="C97" s="89" t="s">
        <v>96</v>
      </c>
      <c r="D97" s="161">
        <v>488.75684919999998</v>
      </c>
      <c r="E97" s="152">
        <v>1010.273555</v>
      </c>
      <c r="F97" s="181">
        <f t="shared" si="9"/>
        <v>1.0670269002953545</v>
      </c>
      <c r="G97" s="161">
        <v>7300.0647852000002</v>
      </c>
      <c r="H97" s="152">
        <v>8349.2208272000007</v>
      </c>
      <c r="I97" s="181">
        <f t="shared" si="10"/>
        <v>0.14371873029497459</v>
      </c>
      <c r="J97" s="190">
        <f>(H97/$H$95)</f>
        <v>0.26073488511542592</v>
      </c>
    </row>
    <row r="98" spans="3:10" x14ac:dyDescent="0.25">
      <c r="C98" s="89" t="s">
        <v>94</v>
      </c>
      <c r="D98" s="161">
        <v>739.55032683000002</v>
      </c>
      <c r="E98" s="152">
        <v>819.15483199999994</v>
      </c>
      <c r="F98" s="181">
        <f t="shared" si="9"/>
        <v>0.10763906428277269</v>
      </c>
      <c r="G98" s="161">
        <v>8261.8156829850013</v>
      </c>
      <c r="H98" s="152">
        <v>7548.9701311660992</v>
      </c>
      <c r="I98" s="181">
        <f t="shared" si="10"/>
        <v>-8.6281948081580823E-2</v>
      </c>
      <c r="J98" s="190">
        <f>(H98/$H$95)</f>
        <v>0.23574413716273188</v>
      </c>
    </row>
    <row r="99" spans="3:10" x14ac:dyDescent="0.25">
      <c r="C99" s="89" t="s">
        <v>97</v>
      </c>
      <c r="D99" s="161">
        <v>552.16077600000006</v>
      </c>
      <c r="E99" s="152">
        <v>35.609338999999999</v>
      </c>
      <c r="F99" s="181">
        <f t="shared" si="9"/>
        <v>-0.93550911157079375</v>
      </c>
      <c r="G99" s="161">
        <v>6939.2305620999996</v>
      </c>
      <c r="H99" s="152">
        <v>2545.0467824999996</v>
      </c>
      <c r="I99" s="181">
        <f t="shared" si="10"/>
        <v>-0.63323789867996561</v>
      </c>
      <c r="J99" s="190">
        <f>(H99/$H$95)</f>
        <v>7.9478372195727537E-2</v>
      </c>
    </row>
    <row r="100" spans="3:10" x14ac:dyDescent="0.25">
      <c r="C100" s="91" t="s">
        <v>127</v>
      </c>
      <c r="D100" s="135">
        <v>407.99654928000001</v>
      </c>
      <c r="E100" s="153">
        <v>474.007384</v>
      </c>
      <c r="F100" s="181">
        <f t="shared" si="9"/>
        <v>0.16179262995358829</v>
      </c>
      <c r="G100" s="161">
        <v>4766.3645071600004</v>
      </c>
      <c r="H100" s="152">
        <v>4836.6611283000002</v>
      </c>
      <c r="I100" s="181">
        <f t="shared" si="10"/>
        <v>1.4748477804079133E-2</v>
      </c>
      <c r="J100" s="271">
        <f t="shared" ref="J100" si="11">(H100/$H$95)</f>
        <v>0.15104239182669521</v>
      </c>
    </row>
    <row r="101" spans="3:10" x14ac:dyDescent="0.25">
      <c r="C101" s="88" t="s">
        <v>119</v>
      </c>
      <c r="D101" s="155">
        <f>SUM(D102:D107)</f>
        <v>2702.0278398999999</v>
      </c>
      <c r="E101" s="151">
        <f>SUM(E102:E107)</f>
        <v>2458.9604709999999</v>
      </c>
      <c r="F101" s="179">
        <f t="shared" si="9"/>
        <v>-8.9957388784341979E-2</v>
      </c>
      <c r="G101" s="155">
        <f>SUM(G102:G107)</f>
        <v>26555.519502179999</v>
      </c>
      <c r="H101" s="151">
        <f>SUM(H102:H107)</f>
        <v>22746.774827200003</v>
      </c>
      <c r="I101" s="179">
        <f t="shared" si="10"/>
        <v>-0.14342572641696311</v>
      </c>
      <c r="J101" s="188">
        <f>SUM(J102:J107)</f>
        <v>0.99999999999999989</v>
      </c>
    </row>
    <row r="102" spans="3:10" x14ac:dyDescent="0.25">
      <c r="C102" s="79" t="s">
        <v>102</v>
      </c>
      <c r="D102" s="122">
        <v>1666.1440029</v>
      </c>
      <c r="E102" s="123">
        <v>1679.796812</v>
      </c>
      <c r="F102" s="114">
        <f t="shared" si="9"/>
        <v>8.194255164161484E-3</v>
      </c>
      <c r="G102" s="103">
        <v>15007.771028700001</v>
      </c>
      <c r="H102" s="104">
        <v>14897.452213500001</v>
      </c>
      <c r="I102" s="138">
        <f t="shared" si="10"/>
        <v>-7.3507794721170035E-3</v>
      </c>
      <c r="J102" s="189">
        <f>(H102/$H$101)</f>
        <v>0.65492591044977566</v>
      </c>
    </row>
    <row r="103" spans="3:10" x14ac:dyDescent="0.25">
      <c r="C103" s="75" t="s">
        <v>99</v>
      </c>
      <c r="D103" s="107">
        <v>880.94535900000005</v>
      </c>
      <c r="E103" s="108">
        <v>669.48513000000003</v>
      </c>
      <c r="F103" s="117">
        <f t="shared" si="9"/>
        <v>-0.24003784893087793</v>
      </c>
      <c r="G103" s="105">
        <v>10236.795375999998</v>
      </c>
      <c r="H103" s="106">
        <v>6246.2745540000005</v>
      </c>
      <c r="I103" s="115">
        <f t="shared" si="10"/>
        <v>-0.38982129420655504</v>
      </c>
      <c r="J103" s="190">
        <f t="shared" ref="J103:J107" si="12">(H103/$H$101)</f>
        <v>0.27460044781956816</v>
      </c>
    </row>
    <row r="104" spans="3:10" x14ac:dyDescent="0.25">
      <c r="C104" s="75" t="s">
        <v>97</v>
      </c>
      <c r="D104" s="107">
        <v>115.09294800000001</v>
      </c>
      <c r="E104" s="108">
        <v>42.356340000000003</v>
      </c>
      <c r="F104" s="117">
        <f t="shared" si="9"/>
        <v>-0.63198144859405292</v>
      </c>
      <c r="G104" s="105">
        <v>942.67491447999998</v>
      </c>
      <c r="H104" s="106">
        <v>987.01997700000015</v>
      </c>
      <c r="I104" s="115">
        <f t="shared" si="10"/>
        <v>4.7041733941187852E-2</v>
      </c>
      <c r="J104" s="190">
        <f t="shared" si="12"/>
        <v>4.3391644947386003E-2</v>
      </c>
    </row>
    <row r="105" spans="3:10" x14ac:dyDescent="0.25">
      <c r="C105" s="75" t="s">
        <v>105</v>
      </c>
      <c r="D105" s="107">
        <v>39.31353</v>
      </c>
      <c r="E105" s="108">
        <v>63.819226999999998</v>
      </c>
      <c r="F105" s="117">
        <f t="shared" si="9"/>
        <v>0.6233400307731205</v>
      </c>
      <c r="G105" s="105">
        <v>356.82041899999996</v>
      </c>
      <c r="H105" s="106">
        <v>587.38132670000005</v>
      </c>
      <c r="I105" s="115">
        <f t="shared" si="10"/>
        <v>0.64615390662382499</v>
      </c>
      <c r="J105" s="190">
        <f t="shared" si="12"/>
        <v>2.5822620180757438E-2</v>
      </c>
    </row>
    <row r="106" spans="3:10" x14ac:dyDescent="0.25">
      <c r="C106" s="75" t="s">
        <v>103</v>
      </c>
      <c r="D106" s="197">
        <v>0</v>
      </c>
      <c r="E106" s="198">
        <v>3.1278619999999999</v>
      </c>
      <c r="F106" s="117" t="s">
        <v>80</v>
      </c>
      <c r="G106" s="105">
        <v>4.0247039999999998</v>
      </c>
      <c r="H106" s="106">
        <v>22.359625999999999</v>
      </c>
      <c r="I106" s="115">
        <f t="shared" si="10"/>
        <v>4.5555951443882581</v>
      </c>
      <c r="J106" s="190">
        <f t="shared" si="12"/>
        <v>9.829800562874936E-4</v>
      </c>
    </row>
    <row r="107" spans="3:10" x14ac:dyDescent="0.25">
      <c r="C107" s="78" t="s">
        <v>101</v>
      </c>
      <c r="D107" s="194">
        <v>0.53200000000000003</v>
      </c>
      <c r="E107" s="193">
        <v>0.37509999999999999</v>
      </c>
      <c r="F107" s="119">
        <f t="shared" si="9"/>
        <v>-0.29492481203007526</v>
      </c>
      <c r="G107" s="195">
        <v>7.4330600000000002</v>
      </c>
      <c r="H107" s="196">
        <v>6.2871300000000003</v>
      </c>
      <c r="I107" s="141">
        <f t="shared" si="10"/>
        <v>-0.15416665545549207</v>
      </c>
      <c r="J107" s="272">
        <f t="shared" si="12"/>
        <v>2.7639654622518237E-4</v>
      </c>
    </row>
    <row r="108" spans="3:10" x14ac:dyDescent="0.25">
      <c r="C108" s="88" t="s">
        <v>120</v>
      </c>
      <c r="D108" s="155">
        <f>SUM(D109:D111)</f>
        <v>23.355401000000001</v>
      </c>
      <c r="E108" s="151">
        <f>SUM(E109:E111)</f>
        <v>25.678840000000005</v>
      </c>
      <c r="F108" s="179">
        <f t="shared" si="9"/>
        <v>9.9481871452346465E-2</v>
      </c>
      <c r="G108" s="155">
        <f>SUM(G109:G111)</f>
        <v>221.78655810000001</v>
      </c>
      <c r="H108" s="151">
        <f>SUM(H109:H111)</f>
        <v>229.8116508</v>
      </c>
      <c r="I108" s="179">
        <f>(H108-G108)/G108</f>
        <v>3.6183855183782608E-2</v>
      </c>
      <c r="J108" s="188">
        <f>SUM(J109:J111)</f>
        <v>1</v>
      </c>
    </row>
    <row r="109" spans="3:10" x14ac:dyDescent="0.25">
      <c r="C109" s="79" t="s">
        <v>102</v>
      </c>
      <c r="D109" s="122">
        <v>16.068311000000001</v>
      </c>
      <c r="E109" s="123">
        <v>20.965159000000003</v>
      </c>
      <c r="F109" s="114">
        <f t="shared" si="9"/>
        <v>0.30475188089152627</v>
      </c>
      <c r="G109" s="103">
        <v>159.779089</v>
      </c>
      <c r="H109" s="104">
        <v>183.12080900000001</v>
      </c>
      <c r="I109" s="114">
        <f>(H109-G109)/G109</f>
        <v>0.14608745203197404</v>
      </c>
      <c r="J109" s="189">
        <f>(H109/$H$108)</f>
        <v>0.79682996211260848</v>
      </c>
    </row>
    <row r="110" spans="3:10" x14ac:dyDescent="0.25">
      <c r="C110" s="75" t="s">
        <v>97</v>
      </c>
      <c r="D110" s="107">
        <v>7.15909</v>
      </c>
      <c r="E110" s="108">
        <v>4.6485810000000001</v>
      </c>
      <c r="F110" s="117">
        <f t="shared" si="9"/>
        <v>-0.35067431754594508</v>
      </c>
      <c r="G110" s="105">
        <v>60.6529691</v>
      </c>
      <c r="H110" s="106">
        <v>45.861901799999998</v>
      </c>
      <c r="I110" s="117">
        <f>(H110-G110)/G110</f>
        <v>-0.24386386222269871</v>
      </c>
      <c r="J110" s="190">
        <f>(H110/$H$108)</f>
        <v>0.19956299709065925</v>
      </c>
    </row>
    <row r="111" spans="3:10" x14ac:dyDescent="0.25">
      <c r="C111" s="78" t="s">
        <v>101</v>
      </c>
      <c r="D111" s="194">
        <v>0.128</v>
      </c>
      <c r="E111" s="193">
        <v>6.5100000000000005E-2</v>
      </c>
      <c r="F111" s="119">
        <f t="shared" si="9"/>
        <v>-0.49140624999999999</v>
      </c>
      <c r="G111" s="195">
        <v>1.3544999999999998</v>
      </c>
      <c r="H111" s="196">
        <v>0.82894000000000012</v>
      </c>
      <c r="I111" s="119">
        <f>(H111-G111)/G111</f>
        <v>-0.38801033591731249</v>
      </c>
      <c r="J111" s="269">
        <f>(H111/$H$108)</f>
        <v>3.6070407967323131E-3</v>
      </c>
    </row>
    <row r="112" spans="3:10" x14ac:dyDescent="0.25">
      <c r="C112" s="88" t="s">
        <v>121</v>
      </c>
      <c r="D112" s="155">
        <f>SUM(D113:D114)</f>
        <v>28.189698</v>
      </c>
      <c r="E112" s="151">
        <f>SUM(E113:E114)</f>
        <v>25.450904999999999</v>
      </c>
      <c r="F112" s="179">
        <f t="shared" si="9"/>
        <v>-9.7155812027500302E-2</v>
      </c>
      <c r="G112" s="155">
        <f>SUM(G113:G114)</f>
        <v>260.736673</v>
      </c>
      <c r="H112" s="151">
        <f>SUM(H113:H114)</f>
        <v>265.04775900000004</v>
      </c>
      <c r="I112" s="179">
        <f t="shared" ref="I112:I120" si="13">(H112-G112)/G112</f>
        <v>1.6534252548355735E-2</v>
      </c>
      <c r="J112" s="188">
        <f>SUM(J113:J114)</f>
        <v>0.99999999999999989</v>
      </c>
    </row>
    <row r="113" spans="3:10" x14ac:dyDescent="0.25">
      <c r="C113" s="79" t="s">
        <v>96</v>
      </c>
      <c r="D113" s="122">
        <v>16.364039999999999</v>
      </c>
      <c r="E113" s="123">
        <v>14.914242</v>
      </c>
      <c r="F113" s="114">
        <f t="shared" si="9"/>
        <v>-8.8596581284328291E-2</v>
      </c>
      <c r="G113" s="103">
        <v>154.19739699999997</v>
      </c>
      <c r="H113" s="104">
        <v>152.205906</v>
      </c>
      <c r="I113" s="114">
        <f t="shared" si="13"/>
        <v>-1.2915205047203024E-2</v>
      </c>
      <c r="J113" s="189">
        <f>(H113/$H$112)</f>
        <v>0.57425841506549002</v>
      </c>
    </row>
    <row r="114" spans="3:10" x14ac:dyDescent="0.25">
      <c r="C114" s="78" t="s">
        <v>97</v>
      </c>
      <c r="D114" s="109">
        <v>11.825658000000001</v>
      </c>
      <c r="E114" s="110">
        <v>10.536663000000001</v>
      </c>
      <c r="F114" s="119">
        <f t="shared" si="9"/>
        <v>-0.1089998543844241</v>
      </c>
      <c r="G114" s="129">
        <v>106.539276</v>
      </c>
      <c r="H114" s="130">
        <v>112.84185300000001</v>
      </c>
      <c r="I114" s="119">
        <f t="shared" si="13"/>
        <v>5.9157310211118891E-2</v>
      </c>
      <c r="J114" s="269">
        <f>(H114/$H$112)</f>
        <v>0.42574158493450986</v>
      </c>
    </row>
    <row r="115" spans="3:10" x14ac:dyDescent="0.25">
      <c r="C115" s="88" t="s">
        <v>122</v>
      </c>
      <c r="D115" s="155">
        <f>SUM(D116:D118)</f>
        <v>2792.6527447999997</v>
      </c>
      <c r="E115" s="151">
        <f>SUM(E116:E118)</f>
        <v>3352.4926889999997</v>
      </c>
      <c r="F115" s="179">
        <f>(E115-D115)/D115</f>
        <v>0.2004688714851634</v>
      </c>
      <c r="G115" s="155">
        <f>SUM(G116:G118)</f>
        <v>16279.624071100001</v>
      </c>
      <c r="H115" s="151">
        <f>SUM(H116:H118)</f>
        <v>31457.4638978</v>
      </c>
      <c r="I115" s="179">
        <f t="shared" si="13"/>
        <v>0.93232127231021777</v>
      </c>
      <c r="J115" s="188">
        <f>SUM(J116:J118)</f>
        <v>1</v>
      </c>
    </row>
    <row r="116" spans="3:10" x14ac:dyDescent="0.25">
      <c r="C116" s="79" t="s">
        <v>103</v>
      </c>
      <c r="D116" s="122">
        <v>2686.9299983999999</v>
      </c>
      <c r="E116" s="123">
        <v>3266.6233709999997</v>
      </c>
      <c r="F116" s="114">
        <f>(E116-D116)/D116</f>
        <v>0.21574561784087889</v>
      </c>
      <c r="G116" s="103">
        <v>15321.4118227</v>
      </c>
      <c r="H116" s="104">
        <v>30589.2711518</v>
      </c>
      <c r="I116" s="114">
        <f t="shared" si="13"/>
        <v>0.99650472853156669</v>
      </c>
      <c r="J116" s="189">
        <f>(H116/$H$115)</f>
        <v>0.97240105722379233</v>
      </c>
    </row>
    <row r="117" spans="3:10" x14ac:dyDescent="0.25">
      <c r="C117" s="75" t="s">
        <v>96</v>
      </c>
      <c r="D117" s="107">
        <v>91.891440000000003</v>
      </c>
      <c r="E117" s="108">
        <v>75.332655000000003</v>
      </c>
      <c r="F117" s="117">
        <f>(E117-D117)/D117</f>
        <v>-0.18019942880424988</v>
      </c>
      <c r="G117" s="105">
        <v>821.83966700000008</v>
      </c>
      <c r="H117" s="106">
        <v>754.80210499999998</v>
      </c>
      <c r="I117" s="117">
        <f t="shared" si="13"/>
        <v>-8.1570122119695748E-2</v>
      </c>
      <c r="J117" s="190">
        <f>(H117/$H$115)</f>
        <v>2.3994372446940568E-2</v>
      </c>
    </row>
    <row r="118" spans="3:10" x14ac:dyDescent="0.25">
      <c r="C118" s="78" t="s">
        <v>97</v>
      </c>
      <c r="D118" s="109">
        <v>13.831306399999999</v>
      </c>
      <c r="E118" s="110">
        <v>10.536663000000001</v>
      </c>
      <c r="F118" s="119">
        <f>(E118-D118)/D118</f>
        <v>-0.2382018953755517</v>
      </c>
      <c r="G118" s="129">
        <v>136.3725814</v>
      </c>
      <c r="H118" s="130">
        <v>113.39064100000002</v>
      </c>
      <c r="I118" s="119">
        <f t="shared" si="13"/>
        <v>-0.16852317499652453</v>
      </c>
      <c r="J118" s="269">
        <f>(H118/$H$115)</f>
        <v>3.6045703292670733E-3</v>
      </c>
    </row>
    <row r="119" spans="3:10" x14ac:dyDescent="0.25">
      <c r="C119" s="88" t="s">
        <v>123</v>
      </c>
      <c r="D119" s="262">
        <f>SUM(D120)</f>
        <v>3.1517331999999998</v>
      </c>
      <c r="E119" s="263">
        <f>SUM(E120)</f>
        <v>2.758362</v>
      </c>
      <c r="F119" s="179">
        <f t="shared" ref="F119:F120" si="14">(E119-D119)/D119</f>
        <v>-0.12481107220623873</v>
      </c>
      <c r="G119" s="236">
        <f>SUM(G120)</f>
        <v>35.544125600000008</v>
      </c>
      <c r="H119" s="236">
        <f>SUM(H120)</f>
        <v>29.763641999999997</v>
      </c>
      <c r="I119" s="186">
        <f t="shared" si="13"/>
        <v>-0.16262838098906587</v>
      </c>
      <c r="J119" s="188">
        <f>SUM(J120)</f>
        <v>1</v>
      </c>
    </row>
    <row r="120" spans="3:10" x14ac:dyDescent="0.25">
      <c r="C120" s="95" t="s">
        <v>97</v>
      </c>
      <c r="D120" s="264">
        <v>3.1517331999999998</v>
      </c>
      <c r="E120" s="265">
        <v>2.758362</v>
      </c>
      <c r="F120" s="184">
        <f t="shared" si="14"/>
        <v>-0.12481107220623873</v>
      </c>
      <c r="G120" s="240">
        <v>35.544125600000008</v>
      </c>
      <c r="H120" s="131">
        <v>29.763641999999997</v>
      </c>
      <c r="I120" s="132">
        <f t="shared" si="13"/>
        <v>-0.16262838098906587</v>
      </c>
      <c r="J120" s="192">
        <f>(H120/$H$119)</f>
        <v>1</v>
      </c>
    </row>
    <row r="121" spans="3:10" ht="156" customHeight="1" x14ac:dyDescent="0.25">
      <c r="C121" s="291" t="s">
        <v>153</v>
      </c>
      <c r="D121" s="292"/>
      <c r="E121" s="292"/>
      <c r="F121" s="292"/>
      <c r="G121" s="292"/>
      <c r="H121" s="292"/>
      <c r="I121" s="292"/>
      <c r="J121" s="293"/>
    </row>
    <row r="122" spans="3:10" x14ac:dyDescent="0.25">
      <c r="D122" s="96"/>
      <c r="E122" s="96"/>
      <c r="F122" s="185"/>
    </row>
    <row r="123" spans="3:10" x14ac:dyDescent="0.25">
      <c r="F123" s="64"/>
    </row>
    <row r="124" spans="3:10" x14ac:dyDescent="0.25">
      <c r="F124" s="64"/>
    </row>
    <row r="125" spans="3:10" x14ac:dyDescent="0.25">
      <c r="F125" s="64"/>
    </row>
    <row r="126" spans="3:10" x14ac:dyDescent="0.25">
      <c r="F126" s="64"/>
    </row>
  </sheetData>
  <mergeCells count="5">
    <mergeCell ref="C3:J3"/>
    <mergeCell ref="C4:J4"/>
    <mergeCell ref="D8:F8"/>
    <mergeCell ref="G8:J8"/>
    <mergeCell ref="C121:J121"/>
  </mergeCells>
  <printOptions horizontalCentered="1"/>
  <pageMargins left="0" right="0" top="0" bottom="0" header="0.31496062992125984" footer="0.31496062992125984"/>
  <pageSetup paperSize="9" scale="43" fitToHeight="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3</vt:i4>
      </vt:variant>
    </vt:vector>
  </HeadingPairs>
  <TitlesOfParts>
    <vt:vector size="6" baseType="lpstr">
      <vt:lpstr>S01.C01</vt:lpstr>
      <vt:lpstr>S01.C02</vt:lpstr>
      <vt:lpstr>S01.C03</vt:lpstr>
      <vt:lpstr>'S01.C01'!Área_de_impresión</vt:lpstr>
      <vt:lpstr>'S01.C02'!Área_de_impresión</vt:lpstr>
      <vt:lpstr>'S01.C03'!Área_de_impresión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Victor Carranza</dc:creator>
  <cp:lastModifiedBy>Victor Carranza</cp:lastModifiedBy>
  <dcterms:created xsi:type="dcterms:W3CDTF">2025-08-15T20:36:18Z</dcterms:created>
  <dcterms:modified xsi:type="dcterms:W3CDTF">2025-12-11T16:19:48Z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{650ED805-88E6-4860-94ED-AF4ABE06F984}</vt:lpwstr>
  </property>
</Properties>
</file>