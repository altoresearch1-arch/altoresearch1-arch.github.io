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INEM\BEM\BEM 2026\BEM 04.2026 (abril)\CUADROS ESTADÍSTICOS\"/>
    </mc:Choice>
  </mc:AlternateContent>
  <xr:revisionPtr revIDLastSave="0" documentId="13_ncr:1_{1E761596-46EB-4C07-A2E6-C8D9B7940A8B}" xr6:coauthVersionLast="47" xr6:coauthVersionMax="47" xr10:uidLastSave="{00000000-0000-0000-0000-000000000000}"/>
  <bookViews>
    <workbookView xWindow="-120" yWindow="-120" windowWidth="29040" windowHeight="15840" activeTab="2" xr2:uid="{C2E09711-F6FF-4B8A-8D2D-18AB30956760}"/>
  </bookViews>
  <sheets>
    <sheet name="S01.C01" sheetId="1" r:id="rId1"/>
    <sheet name="S01.C02" sheetId="2" r:id="rId2"/>
    <sheet name="S01.C03" sheetId="3" r:id="rId3"/>
  </sheets>
  <definedNames>
    <definedName name="_xlnm._FilterDatabase" localSheetId="1" hidden="1">'S01.C02'!$C$9:$G$107</definedName>
    <definedName name="_xlnm._FilterDatabase" localSheetId="2" hidden="1">'S01.C03'!$C$11:$G$116</definedName>
    <definedName name="_xlnm.Print_Area" localSheetId="0">'S01.C01'!$B$2:$Q$71</definedName>
    <definedName name="_xlnm.Print_Area" localSheetId="1">'S01.C02'!$B$2:$K$108</definedName>
    <definedName name="_xlnm.Print_Area" localSheetId="2">'S01.C03'!$B$2:$K$117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4" i="3" l="1"/>
  <c r="F70" i="3"/>
  <c r="F71" i="3"/>
  <c r="F54" i="3"/>
  <c r="E37" i="1"/>
  <c r="F37" i="1"/>
  <c r="G37" i="1"/>
  <c r="H37" i="1"/>
  <c r="I37" i="1"/>
  <c r="J37" i="1"/>
  <c r="K37" i="1"/>
  <c r="L37" i="1"/>
  <c r="M37" i="1"/>
  <c r="N37" i="1"/>
  <c r="O37" i="1"/>
  <c r="P37" i="1"/>
  <c r="D35" i="2" l="1"/>
  <c r="E35" i="2"/>
  <c r="I101" i="3"/>
  <c r="I102" i="3"/>
  <c r="F101" i="3"/>
  <c r="I73" i="3"/>
  <c r="F73" i="3"/>
  <c r="I26" i="3"/>
  <c r="I87" i="2" l="1"/>
  <c r="F87" i="2"/>
  <c r="Q32" i="1" l="1"/>
  <c r="Q33" i="1"/>
  <c r="Q34" i="1"/>
  <c r="Q35" i="1"/>
  <c r="Q36" i="1"/>
  <c r="F66" i="3"/>
  <c r="I55" i="3"/>
  <c r="F55" i="3"/>
  <c r="I43" i="3"/>
  <c r="F43" i="3"/>
  <c r="F94" i="2"/>
  <c r="D96" i="3" l="1"/>
  <c r="E96" i="3"/>
  <c r="F93" i="2" l="1"/>
  <c r="D37" i="1"/>
  <c r="H74" i="2" l="1"/>
  <c r="G74" i="2"/>
  <c r="E74" i="2"/>
  <c r="D74" i="2"/>
  <c r="F48" i="2"/>
  <c r="F49" i="2"/>
  <c r="F50" i="2"/>
  <c r="F51" i="2"/>
  <c r="F52" i="2"/>
  <c r="F53" i="2"/>
  <c r="F54" i="2"/>
  <c r="F55" i="2"/>
  <c r="F56" i="2"/>
  <c r="F57" i="2"/>
  <c r="F58" i="2"/>
  <c r="D88" i="3" l="1"/>
  <c r="E88" i="3"/>
  <c r="G88" i="3"/>
  <c r="H88" i="3"/>
  <c r="F94" i="3"/>
  <c r="D105" i="2" l="1"/>
  <c r="E105" i="2"/>
  <c r="F106" i="2"/>
  <c r="F92" i="2"/>
  <c r="F80" i="2"/>
  <c r="F105" i="2" l="1"/>
  <c r="L56" i="1" l="1"/>
  <c r="I69" i="2"/>
  <c r="H105" i="2" l="1"/>
  <c r="J106" i="2" s="1"/>
  <c r="G105" i="2"/>
  <c r="I56" i="1"/>
  <c r="F25" i="2" l="1"/>
  <c r="F72" i="3"/>
  <c r="I72" i="3"/>
  <c r="D44" i="3"/>
  <c r="E44" i="3"/>
  <c r="F44" i="3" s="1"/>
  <c r="I95" i="2"/>
  <c r="I94" i="2"/>
  <c r="I93" i="2"/>
  <c r="I92" i="2"/>
  <c r="I91" i="2"/>
  <c r="F95" i="2"/>
  <c r="F91" i="2"/>
  <c r="Q37" i="1"/>
  <c r="I115" i="3"/>
  <c r="F115" i="3"/>
  <c r="H114" i="3"/>
  <c r="J115" i="3" s="1"/>
  <c r="J114" i="3" s="1"/>
  <c r="G114" i="3"/>
  <c r="E114" i="3"/>
  <c r="D114" i="3"/>
  <c r="I113" i="3"/>
  <c r="F113" i="3"/>
  <c r="I112" i="3"/>
  <c r="F112" i="3"/>
  <c r="I111" i="3"/>
  <c r="F111" i="3"/>
  <c r="H110" i="3"/>
  <c r="J113" i="3" s="1"/>
  <c r="G110" i="3"/>
  <c r="E110" i="3"/>
  <c r="D110" i="3"/>
  <c r="I109" i="3"/>
  <c r="F109" i="3"/>
  <c r="I108" i="3"/>
  <c r="F108" i="3"/>
  <c r="H107" i="3"/>
  <c r="J109" i="3" s="1"/>
  <c r="G107" i="3"/>
  <c r="E107" i="3"/>
  <c r="D107" i="3"/>
  <c r="I106" i="3"/>
  <c r="F106" i="3"/>
  <c r="I105" i="3"/>
  <c r="F105" i="3"/>
  <c r="I104" i="3"/>
  <c r="F104" i="3"/>
  <c r="H103" i="3"/>
  <c r="J106" i="3" s="1"/>
  <c r="G103" i="3"/>
  <c r="E103" i="3"/>
  <c r="D103" i="3"/>
  <c r="F102" i="3"/>
  <c r="I100" i="3"/>
  <c r="F100" i="3"/>
  <c r="I99" i="3"/>
  <c r="F99" i="3"/>
  <c r="I98" i="3"/>
  <c r="F98" i="3"/>
  <c r="I97" i="3"/>
  <c r="F97" i="3"/>
  <c r="H96" i="3"/>
  <c r="J101" i="3" s="1"/>
  <c r="G96" i="3"/>
  <c r="I95" i="3"/>
  <c r="F95" i="3"/>
  <c r="I94" i="3"/>
  <c r="I93" i="3"/>
  <c r="F93" i="3"/>
  <c r="I92" i="3"/>
  <c r="F92" i="3"/>
  <c r="I91" i="3"/>
  <c r="F91" i="3"/>
  <c r="H90" i="3"/>
  <c r="J94" i="3" s="1"/>
  <c r="G90" i="3"/>
  <c r="E90" i="3"/>
  <c r="D90" i="3"/>
  <c r="I89" i="3"/>
  <c r="F89" i="3"/>
  <c r="J89" i="3"/>
  <c r="J88" i="3" s="1"/>
  <c r="I87" i="3"/>
  <c r="F87" i="3"/>
  <c r="H86" i="3"/>
  <c r="G86" i="3"/>
  <c r="E86" i="3"/>
  <c r="D86" i="3"/>
  <c r="I85" i="3"/>
  <c r="F85" i="3"/>
  <c r="I84" i="3"/>
  <c r="I83" i="3"/>
  <c r="F83" i="3"/>
  <c r="I82" i="3"/>
  <c r="F82" i="3"/>
  <c r="I81" i="3"/>
  <c r="F81" i="3"/>
  <c r="I80" i="3"/>
  <c r="F80" i="3"/>
  <c r="I79" i="3"/>
  <c r="F79" i="3"/>
  <c r="I78" i="3"/>
  <c r="F78" i="3"/>
  <c r="I77" i="3"/>
  <c r="F77" i="3"/>
  <c r="I76" i="3"/>
  <c r="F76" i="3"/>
  <c r="I75" i="3"/>
  <c r="F75" i="3"/>
  <c r="H74" i="3"/>
  <c r="J82" i="3" s="1"/>
  <c r="G74" i="3"/>
  <c r="E74" i="3"/>
  <c r="D74" i="3"/>
  <c r="I71" i="3"/>
  <c r="I70" i="3"/>
  <c r="I69" i="3"/>
  <c r="F69" i="3"/>
  <c r="I68" i="3"/>
  <c r="F68" i="3"/>
  <c r="I67" i="3"/>
  <c r="F67" i="3"/>
  <c r="I66" i="3"/>
  <c r="I65" i="3"/>
  <c r="F65" i="3"/>
  <c r="I64" i="3"/>
  <c r="F64" i="3"/>
  <c r="I63" i="3"/>
  <c r="F63" i="3"/>
  <c r="I62" i="3"/>
  <c r="F62" i="3"/>
  <c r="I61" i="3"/>
  <c r="F61" i="3"/>
  <c r="I60" i="3"/>
  <c r="F60" i="3"/>
  <c r="I59" i="3"/>
  <c r="F59" i="3"/>
  <c r="I58" i="3"/>
  <c r="F58" i="3"/>
  <c r="I57" i="3"/>
  <c r="F57" i="3"/>
  <c r="H56" i="3"/>
  <c r="G56" i="3"/>
  <c r="E56" i="3"/>
  <c r="D56" i="3"/>
  <c r="I54" i="3"/>
  <c r="I53" i="3"/>
  <c r="F53" i="3"/>
  <c r="I52" i="3"/>
  <c r="F52" i="3"/>
  <c r="I51" i="3"/>
  <c r="F51" i="3"/>
  <c r="I50" i="3"/>
  <c r="F50" i="3"/>
  <c r="I49" i="3"/>
  <c r="F49" i="3"/>
  <c r="I48" i="3"/>
  <c r="F48" i="3"/>
  <c r="I47" i="3"/>
  <c r="F47" i="3"/>
  <c r="I46" i="3"/>
  <c r="F46" i="3"/>
  <c r="I45" i="3"/>
  <c r="F45" i="3"/>
  <c r="H44" i="3"/>
  <c r="G44"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G11" i="3"/>
  <c r="E11" i="3"/>
  <c r="D11" i="3"/>
  <c r="I106" i="2"/>
  <c r="I104" i="2"/>
  <c r="F104" i="2"/>
  <c r="I103" i="2"/>
  <c r="F103" i="2"/>
  <c r="I102" i="2"/>
  <c r="F102" i="2"/>
  <c r="I101" i="2"/>
  <c r="F101" i="2"/>
  <c r="H100" i="2"/>
  <c r="J104" i="2" s="1"/>
  <c r="G100" i="2"/>
  <c r="E100" i="2"/>
  <c r="D100" i="2"/>
  <c r="I99" i="2"/>
  <c r="F99" i="2"/>
  <c r="I98" i="2"/>
  <c r="F98" i="2"/>
  <c r="I97" i="2"/>
  <c r="F97" i="2"/>
  <c r="H96" i="2"/>
  <c r="J99" i="2" s="1"/>
  <c r="G96" i="2"/>
  <c r="E96" i="2"/>
  <c r="D96" i="2"/>
  <c r="H90" i="2"/>
  <c r="J95" i="2" s="1"/>
  <c r="G90" i="2"/>
  <c r="E90" i="2"/>
  <c r="D90"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J75" i="2"/>
  <c r="J74" i="2" s="1"/>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56" i="1"/>
  <c r="O56" i="1"/>
  <c r="N56" i="1"/>
  <c r="M56" i="1"/>
  <c r="K56" i="1"/>
  <c r="J56" i="1"/>
  <c r="H56" i="1"/>
  <c r="G56" i="1"/>
  <c r="F56" i="1"/>
  <c r="E56" i="1"/>
  <c r="D56" i="1"/>
  <c r="P51" i="1"/>
  <c r="O51" i="1"/>
  <c r="N51" i="1"/>
  <c r="M51" i="1"/>
  <c r="L51" i="1"/>
  <c r="K51" i="1"/>
  <c r="J51" i="1"/>
  <c r="I51" i="1"/>
  <c r="H51" i="1"/>
  <c r="G51" i="1"/>
  <c r="F51" i="1"/>
  <c r="E51" i="1"/>
  <c r="D51" i="1"/>
  <c r="P46" i="1"/>
  <c r="O46" i="1"/>
  <c r="N46" i="1"/>
  <c r="M46" i="1"/>
  <c r="L46" i="1"/>
  <c r="K46" i="1"/>
  <c r="J46" i="1"/>
  <c r="I46" i="1"/>
  <c r="H46" i="1"/>
  <c r="G46" i="1"/>
  <c r="F46" i="1"/>
  <c r="E46" i="1"/>
  <c r="D46" i="1"/>
  <c r="Q31" i="1"/>
  <c r="Q30" i="1"/>
  <c r="Q29" i="1"/>
  <c r="Q28" i="1"/>
  <c r="Q27" i="1"/>
  <c r="Q26" i="1"/>
  <c r="Q25" i="1"/>
  <c r="Q24" i="1"/>
  <c r="Q23" i="1"/>
  <c r="Q22" i="1"/>
  <c r="J66" i="3" l="1"/>
  <c r="J73" i="3"/>
  <c r="J21" i="3"/>
  <c r="J26" i="3"/>
  <c r="I90" i="2"/>
  <c r="I11" i="2"/>
  <c r="I44" i="3"/>
  <c r="I96" i="2"/>
  <c r="J43" i="2"/>
  <c r="J101" i="2"/>
  <c r="J63" i="3"/>
  <c r="I56" i="3"/>
  <c r="J72" i="3"/>
  <c r="J43" i="3"/>
  <c r="J39" i="2"/>
  <c r="J62" i="2"/>
  <c r="J53" i="2"/>
  <c r="J18" i="2"/>
  <c r="F96" i="3"/>
  <c r="I88" i="3"/>
  <c r="F86" i="3"/>
  <c r="F56" i="3"/>
  <c r="J49" i="3"/>
  <c r="F107" i="3"/>
  <c r="J50" i="3"/>
  <c r="J84" i="3"/>
  <c r="J51" i="3"/>
  <c r="I114" i="3"/>
  <c r="J45" i="3"/>
  <c r="J67" i="3"/>
  <c r="I27" i="3"/>
  <c r="J77" i="3"/>
  <c r="I86" i="3"/>
  <c r="F74" i="3"/>
  <c r="F90" i="3"/>
  <c r="J52" i="3"/>
  <c r="J68" i="3"/>
  <c r="J57" i="3"/>
  <c r="F114" i="3"/>
  <c r="J46" i="3"/>
  <c r="J53" i="3"/>
  <c r="J61" i="3"/>
  <c r="J87" i="3"/>
  <c r="J86" i="3" s="1"/>
  <c r="J47" i="3"/>
  <c r="J54" i="3"/>
  <c r="F110" i="3"/>
  <c r="F88" i="3"/>
  <c r="F103" i="3"/>
  <c r="J62" i="3"/>
  <c r="J48" i="3"/>
  <c r="I100" i="2"/>
  <c r="F100" i="2"/>
  <c r="J97" i="2"/>
  <c r="F96" i="2"/>
  <c r="F82" i="2"/>
  <c r="J79" i="2"/>
  <c r="J80" i="2"/>
  <c r="F74" i="2"/>
  <c r="J72" i="2"/>
  <c r="J71" i="2" s="1"/>
  <c r="J58" i="2"/>
  <c r="J38" i="2"/>
  <c r="F35" i="2"/>
  <c r="J30" i="2"/>
  <c r="F23" i="2"/>
  <c r="J15" i="2"/>
  <c r="J16" i="2"/>
  <c r="J13" i="3"/>
  <c r="I23" i="2"/>
  <c r="I47" i="2"/>
  <c r="J63" i="2"/>
  <c r="I105" i="2"/>
  <c r="J16" i="3"/>
  <c r="J23" i="3"/>
  <c r="J54" i="2"/>
  <c r="F76" i="2"/>
  <c r="J22" i="3"/>
  <c r="F71" i="2"/>
  <c r="J91" i="2"/>
  <c r="I90" i="3"/>
  <c r="I96" i="3"/>
  <c r="I110" i="3"/>
  <c r="F11" i="2"/>
  <c r="J24" i="2"/>
  <c r="J48" i="2"/>
  <c r="I71" i="2"/>
  <c r="J92" i="2"/>
  <c r="J78" i="3"/>
  <c r="J97" i="3"/>
  <c r="J49" i="2"/>
  <c r="J93" i="2"/>
  <c r="F11" i="3"/>
  <c r="J98" i="3"/>
  <c r="F47" i="2"/>
  <c r="J34" i="2"/>
  <c r="J17" i="3"/>
  <c r="J24" i="3"/>
  <c r="J19" i="2"/>
  <c r="J32" i="3"/>
  <c r="J18" i="3"/>
  <c r="I11" i="3"/>
  <c r="J99" i="3"/>
  <c r="J13" i="2"/>
  <c r="J20" i="2"/>
  <c r="F59" i="2"/>
  <c r="J44" i="2"/>
  <c r="J67" i="2"/>
  <c r="J19" i="3"/>
  <c r="J95" i="3"/>
  <c r="J25" i="3"/>
  <c r="J12" i="3"/>
  <c r="J14" i="2"/>
  <c r="J29" i="2"/>
  <c r="J52" i="2"/>
  <c r="F27" i="3"/>
  <c r="J68" i="2"/>
  <c r="I74" i="2"/>
  <c r="F90" i="2"/>
  <c r="J20" i="3"/>
  <c r="J83" i="3"/>
  <c r="J102" i="3"/>
  <c r="I103" i="3"/>
  <c r="J25" i="2"/>
  <c r="I76" i="2"/>
  <c r="J39" i="3"/>
  <c r="I74" i="3"/>
  <c r="J111" i="3"/>
  <c r="J21" i="2"/>
  <c r="I35" i="2"/>
  <c r="J40" i="2"/>
  <c r="I59" i="2"/>
  <c r="J64" i="2"/>
  <c r="J94" i="2"/>
  <c r="J98" i="2"/>
  <c r="J102" i="2"/>
  <c r="J105" i="2"/>
  <c r="J14" i="3"/>
  <c r="J34" i="3"/>
  <c r="J55" i="3"/>
  <c r="J58" i="3"/>
  <c r="J85" i="3"/>
  <c r="J81" i="2"/>
  <c r="J28" i="3"/>
  <c r="J45" i="2"/>
  <c r="J91" i="3"/>
  <c r="J29" i="3"/>
  <c r="J69" i="3"/>
  <c r="J26" i="2"/>
  <c r="J46" i="2"/>
  <c r="J50" i="2"/>
  <c r="J70" i="2"/>
  <c r="J84" i="2"/>
  <c r="J40" i="3"/>
  <c r="J64" i="3"/>
  <c r="J80" i="3"/>
  <c r="J92" i="3"/>
  <c r="J104" i="3"/>
  <c r="J108" i="3"/>
  <c r="J107" i="3" s="1"/>
  <c r="J112" i="3"/>
  <c r="I107" i="3"/>
  <c r="J79" i="3"/>
  <c r="J55" i="2"/>
  <c r="J22" i="2"/>
  <c r="J41" i="2"/>
  <c r="J65" i="2"/>
  <c r="J77" i="2"/>
  <c r="J103" i="2"/>
  <c r="J15" i="3"/>
  <c r="J35" i="3"/>
  <c r="J59" i="3"/>
  <c r="J75" i="3"/>
  <c r="J83" i="2"/>
  <c r="J31" i="2"/>
  <c r="J17" i="2"/>
  <c r="J32" i="2"/>
  <c r="J36" i="2"/>
  <c r="J56" i="2"/>
  <c r="J60" i="2"/>
  <c r="J30" i="3"/>
  <c r="J70" i="3"/>
  <c r="J100" i="3"/>
  <c r="J69" i="2"/>
  <c r="J27" i="2"/>
  <c r="J51" i="2"/>
  <c r="J85" i="2"/>
  <c r="J41" i="3"/>
  <c r="J65" i="3"/>
  <c r="J81" i="3"/>
  <c r="J93" i="3"/>
  <c r="J105" i="3"/>
  <c r="J88" i="2"/>
  <c r="J42" i="2"/>
  <c r="J66" i="2"/>
  <c r="J36" i="3"/>
  <c r="J60" i="3"/>
  <c r="J71" i="3"/>
  <c r="J76" i="3"/>
  <c r="I82" i="2"/>
  <c r="J33" i="3"/>
  <c r="J33" i="2"/>
  <c r="J31" i="3"/>
  <c r="J38" i="3"/>
  <c r="J86" i="2"/>
  <c r="J42" i="3"/>
  <c r="J96" i="2" l="1"/>
  <c r="J96" i="3"/>
  <c r="J44" i="3"/>
  <c r="J11" i="2"/>
  <c r="J11" i="3"/>
  <c r="J35" i="2"/>
  <c r="J90" i="2"/>
  <c r="J90" i="3"/>
  <c r="J82" i="2"/>
  <c r="J56" i="3"/>
  <c r="J27" i="3"/>
  <c r="J23" i="2"/>
  <c r="J103" i="3"/>
  <c r="J76" i="2"/>
  <c r="J110" i="3"/>
  <c r="J74" i="3"/>
  <c r="J47" i="2"/>
  <c r="J100" i="2"/>
  <c r="J59" i="2"/>
</calcChain>
</file>

<file path=xl/sharedStrings.xml><?xml version="1.0" encoding="utf-8"?>
<sst xmlns="http://schemas.openxmlformats.org/spreadsheetml/2006/main" count="370" uniqueCount="143">
  <si>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</si>
  <si>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</si>
  <si>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</si>
  <si>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</si>
  <si>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</si>
  <si>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</si>
  <si>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</si>
  <si>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</si>
  <si>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</si>
  <si>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</si>
  <si>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</si>
  <si>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</si>
  <si>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</si>
  <si>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</si>
  <si>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</si>
  <si>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</si>
  <si>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</si>
  <si>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</si>
  <si>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</si>
  <si>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</si>
  <si>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</si>
  <si>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</si>
  <si>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</si>
  <si>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</si>
  <si>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</si>
  <si>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</si>
  <si>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</si>
  <si>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</si>
  <si>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</si>
  <si>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</si>
  <si>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</si>
  <si>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</si>
  <si>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</si>
  <si>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</si>
  <si>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</si>
  <si>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</si>
  <si>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</si>
  <si>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</si>
  <si>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</si>
  <si>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</si>
  <si>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</si>
  <si>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</si>
  <si>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</si>
  <si>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</si>
  <si>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</si>
  <si>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</si>
  <si>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COMPAÑIA MINERA ARES S.A.C.</t>
  </si>
  <si>
    <t>PALTARUMI S.A.C.</t>
  </si>
  <si>
    <t>SHAHUINDO S.A.C.</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</si>
  <si>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</si>
  <si>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</si>
  <si>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</si>
  <si>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</si>
  <si>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</si>
  <si>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</si>
  <si>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</si>
  <si>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</si>
  <si>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</si>
  <si>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</si>
  <si>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</si>
  <si>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</si>
  <si>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</si>
  <si>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</si>
  <si>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</si>
  <si>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</si>
  <si>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</si>
  <si>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</si>
  <si>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</si>
  <si>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</si>
  <si>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</si>
  <si>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</si>
  <si>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</si>
  <si>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</si>
  <si>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</si>
  <si>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</si>
  <si>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SOCIEDAD MINERA ANDEREAL S.A.C.</t>
  </si>
  <si>
    <t>GLORE PERU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</si>
  <si>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</si>
  <si>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</si>
  <si>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</si>
  <si>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</si>
  <si>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</si>
  <si>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</si>
  <si>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</si>
  <si>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</si>
  <si>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</si>
  <si>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</si>
  <si>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</si>
  <si>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</si>
  <si>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</si>
  <si>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</si>
  <si>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</si>
  <si>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</si>
  <si>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</si>
  <si>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</si>
  <si>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</si>
  <si>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</si>
  <si>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</si>
  <si>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</si>
  <si>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</si>
  <si>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</si>
  <si>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</si>
  <si>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</si>
  <si>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</si>
  <si>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</si>
  <si>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</si>
  <si>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</si>
  <si>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</si>
  <si>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</si>
  <si>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</si>
  <si>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</si>
  <si>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</si>
  <si>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</si>
  <si>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</si>
  <si>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</si>
  <si>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</si>
  <si>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</si>
  <si>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(2025: 3 titulares mineros, 2026: 3 titulares mineros)</t>
  </si>
  <si>
    <t>OTROS** (2025: 3 departamentos, 2026: 3 departamentos)</t>
  </si>
  <si>
    <t>EMPRESA MINERA LOS QUENUALES S.A.C.</t>
  </si>
  <si>
    <r>
      <t xml:space="preserve">Mar. 2026
</t>
    </r>
    <r>
      <rPr>
        <i/>
        <sz val="8"/>
        <color rgb="FF000000"/>
        <rFont val="Calibri Light"/>
        <family val="2"/>
        <scheme val="major"/>
      </rPr>
      <t>(Mar. 2026)</t>
    </r>
  </si>
  <si>
    <t>SOBREANDES S.A.C.</t>
  </si>
  <si>
    <r>
      <t>Mar. /</t>
    </r>
    <r>
      <rPr>
        <i/>
        <sz val="10"/>
        <color rgb="FF000000"/>
        <rFont val="Calibri Light"/>
        <family val="2"/>
        <scheme val="major"/>
      </rPr>
      <t>Mar.</t>
    </r>
  </si>
  <si>
    <r>
      <t>Abr. /</t>
    </r>
    <r>
      <rPr>
        <i/>
        <sz val="10"/>
        <color rgb="FF000000"/>
        <rFont val="Calibri Light"/>
        <family val="2"/>
        <scheme val="major"/>
      </rPr>
      <t>Apr.</t>
    </r>
  </si>
  <si>
    <r>
      <t xml:space="preserve">Abr. 2026
</t>
    </r>
    <r>
      <rPr>
        <i/>
        <sz val="8"/>
        <color rgb="FF000000"/>
        <rFont val="Calibri Light"/>
        <family val="2"/>
        <scheme val="major"/>
      </rPr>
      <t>(Apr. 2026)</t>
    </r>
  </si>
  <si>
    <r>
      <t xml:space="preserve">Abr. 2025
</t>
    </r>
    <r>
      <rPr>
        <i/>
        <sz val="8"/>
        <color rgb="FF000000"/>
        <rFont val="Calibri Light"/>
        <family val="2"/>
        <scheme val="major"/>
      </rPr>
      <t>(Apr. 2025)</t>
    </r>
  </si>
  <si>
    <r>
      <t xml:space="preserve">Ene-Abr 2025
</t>
    </r>
    <r>
      <rPr>
        <i/>
        <sz val="8"/>
        <color theme="1"/>
        <rFont val="Calibri Light"/>
        <family val="2"/>
        <scheme val="major"/>
      </rPr>
      <t>(Jan-Apr. 2025)</t>
    </r>
  </si>
  <si>
    <r>
      <t xml:space="preserve">Ene-Abr 2026
</t>
    </r>
    <r>
      <rPr>
        <i/>
        <sz val="8"/>
        <color theme="1"/>
        <rFont val="Calibri Light"/>
        <family val="2"/>
        <scheme val="major"/>
      </rPr>
      <t>(Jan-Apr. 2026)</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</si>
  <si>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28 de mayo de 2026. / </t>
    </r>
    <r>
      <rPr>
        <i/>
        <u/>
        <sz val="10"/>
        <color theme="1"/>
        <rFont val="Calibri Light"/>
        <family val="2"/>
        <scheme val="major"/>
      </rPr>
      <t>Date of consultation</t>
    </r>
    <r>
      <rPr>
        <i/>
        <sz val="10"/>
        <color theme="1"/>
        <rFont val="Calibri Light"/>
        <family val="2"/>
        <scheme val="major"/>
      </rPr>
      <t>: May 28,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</si>
  <si>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t xml:space="preserve">ABRIL
</t>
    </r>
    <r>
      <rPr>
        <i/>
        <sz val="8"/>
        <color theme="1"/>
        <rFont val="Calibri Light"/>
        <family val="2"/>
        <scheme val="major"/>
      </rPr>
      <t>April</t>
    </r>
  </si>
  <si>
    <r>
      <t xml:space="preserve">ENERO - ABRIL
</t>
    </r>
    <r>
      <rPr>
        <i/>
        <sz val="8"/>
        <color theme="1"/>
        <rFont val="Calibri Light"/>
        <family val="2"/>
        <scheme val="major"/>
      </rPr>
      <t>January - April</t>
    </r>
  </si>
  <si>
    <r>
      <t xml:space="preserve">VARIACIÓN INTERANUAL, ABRIL / </t>
    </r>
    <r>
      <rPr>
        <i/>
        <sz val="8"/>
        <color rgb="FF000000"/>
        <rFont val="Calibri Light"/>
        <family val="2"/>
        <scheme val="major"/>
      </rPr>
      <t>YEAR-OVER-YEAR VARIATION, APRIL</t>
    </r>
  </si>
  <si>
    <r>
      <t xml:space="preserve">VARIACIÓN INTERANUAL ACUMULADA ENERO-ABRIL / </t>
    </r>
    <r>
      <rPr>
        <i/>
        <sz val="8"/>
        <color rgb="FF000000"/>
        <rFont val="Calibri Light"/>
        <family val="2"/>
        <scheme val="major"/>
      </rPr>
      <t>CUMULATIVE YEAR-OVER-YEAR VARIATION, JANUARY–APRIL</t>
    </r>
  </si>
  <si>
    <r>
      <t xml:space="preserve">2026
(Ene-Abr)
</t>
    </r>
    <r>
      <rPr>
        <i/>
        <sz val="10"/>
        <color rgb="FF000000"/>
        <rFont val="Calibri Light"/>
        <family val="2"/>
        <scheme val="major"/>
      </rPr>
      <t>(Jan-Apr)</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</si>
  <si>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28 de mayo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May 28,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</si>
  <si>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28 de mayo de 2026. / </t>
    </r>
    <r>
      <rPr>
        <i/>
        <u/>
        <sz val="10"/>
        <color theme="1"/>
        <rFont val="Calibri Light"/>
        <family val="2"/>
        <scheme val="major"/>
      </rPr>
      <t>Date of consultation</t>
    </r>
    <r>
      <rPr>
        <i/>
        <sz val="10"/>
        <color theme="1"/>
        <rFont val="Calibri Light"/>
        <family val="2"/>
        <scheme val="major"/>
      </rPr>
      <t>: May 28,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</si>
  <si>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28 de mayo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May 28,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</si>
  <si>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t>OTROS (2025: 44 titulares mineros, 2026: 43 titulares mineros)</t>
  </si>
  <si>
    <t>SUMMA GOLD CORPORATION S.A.C.</t>
  </si>
  <si>
    <t>OTROS (2025: 251 titulares mineros, 2026: 259 titulares mineros)</t>
  </si>
  <si>
    <t>OTROS (2025: 28 titulares mineros, 2026: 29 titulares mineros)</t>
  </si>
  <si>
    <t>OTROS (2025: 78 titulares mineros, 2026: 74 titulares mineros)</t>
  </si>
  <si>
    <t>OTROS (2025: 29 titulares mineros, 2026: 29 titulares mineros)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</si>
</sst>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33"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7" fillId="3" borderId="0">
      <alignment horizontal="left"/>
    </xf>
    <xf numFmtId="167" fontId="1" fillId="0" borderId="0" applyFont="0" applyFill="0" applyBorder="0" applyAlignment="0" applyProtection="0"/>
  </cellStyleXfs>
  <cellXfs count="252">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4" fillId="3" borderId="5" xfId="0" applyFont="1" applyFill="1" applyBorder="1" applyAlignment="1">
      <alignment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0" fontId="26"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7" fillId="3" borderId="0" xfId="5" applyNumberFormat="1" applyFont="1" applyFill="1" applyAlignment="1">
      <alignment horizontal="center" vertical="center"/>
    </xf>
    <xf numFmtId="10" fontId="27"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2"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8"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8" fillId="9" borderId="12" xfId="0" applyFont="1" applyFill="1" applyBorder="1" applyAlignment="1">
      <alignment vertical="center"/>
    </xf>
    <xf numFmtId="0" fontId="5" fillId="2" borderId="0" xfId="3" applyFont="1" applyFill="1" applyAlignment="1">
      <alignment vertical="center"/>
    </xf>
    <xf numFmtId="0" fontId="29" fillId="3" borderId="0" xfId="0" applyFont="1" applyFill="1" applyAlignment="1">
      <alignment horizontal="left" vertical="center"/>
    </xf>
    <xf numFmtId="166" fontId="15" fillId="3" borderId="0" xfId="2" applyNumberFormat="1" applyFont="1" applyFill="1" applyAlignment="1">
      <alignment horizontal="center" vertical="center"/>
    </xf>
    <xf numFmtId="0" fontId="30"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2" fillId="0" borderId="0" xfId="0" applyNumberFormat="1" applyFont="1" applyAlignment="1">
      <alignment vertical="center"/>
    </xf>
    <xf numFmtId="166" fontId="22"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2"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0" fontId="22" fillId="4" borderId="11" xfId="0" applyFont="1" applyFill="1" applyBorder="1" applyAlignment="1">
      <alignment vertical="center"/>
    </xf>
    <xf numFmtId="0" fontId="22" fillId="0" borderId="8" xfId="0" applyFont="1" applyBorder="1" applyAlignment="1">
      <alignment vertical="center"/>
    </xf>
    <xf numFmtId="166" fontId="11" fillId="4" borderId="6" xfId="2" applyNumberFormat="1" applyFont="1" applyFill="1" applyBorder="1" applyAlignment="1">
      <alignment horizontal="center" vertical="center"/>
    </xf>
    <xf numFmtId="0" fontId="28" fillId="4" borderId="11" xfId="0" applyFont="1" applyFill="1" applyBorder="1" applyAlignment="1">
      <alignment vertical="center"/>
    </xf>
    <xf numFmtId="3" fontId="11" fillId="4" borderId="2" xfId="5"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3" fontId="7" fillId="0" borderId="6" xfId="3" applyNumberFormat="1" applyFont="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4" fontId="7" fillId="0" borderId="6" xfId="3" applyNumberFormat="1" applyFont="1" applyBorder="1" applyAlignment="1">
      <alignment horizontal="center" vertical="center"/>
    </xf>
    <xf numFmtId="2" fontId="7" fillId="0" borderId="4" xfId="3" applyNumberFormat="1" applyFont="1" applyBorder="1" applyAlignment="1">
      <alignment horizontal="center" vertical="center"/>
    </xf>
    <xf numFmtId="3" fontId="7" fillId="0" borderId="5" xfId="3" applyNumberFormat="1" applyFont="1" applyBorder="1" applyAlignment="1">
      <alignment horizontal="center" vertical="center"/>
    </xf>
    <xf numFmtId="164" fontId="7" fillId="0" borderId="5" xfId="3" applyNumberFormat="1" applyFont="1" applyBorder="1" applyAlignment="1">
      <alignment horizontal="center" vertical="center"/>
    </xf>
    <xf numFmtId="164" fontId="4" fillId="3" borderId="0" xfId="1"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0" fontId="4" fillId="0" borderId="13" xfId="4" applyFont="1" applyFill="1" applyBorder="1" applyAlignment="1">
      <alignment horizontal="left" vertical="center" indent="1"/>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0" fontId="4" fillId="3" borderId="8" xfId="4" applyFont="1" applyBorder="1" applyAlignment="1">
      <alignment horizontal="left" vertical="center" indent="1"/>
    </xf>
    <xf numFmtId="0" fontId="22" fillId="0" borderId="0" xfId="0" applyFont="1" applyAlignment="1">
      <alignment horizontal="right" vertical="center"/>
    </xf>
    <xf numFmtId="0" fontId="4" fillId="0" borderId="4" xfId="0" applyFont="1" applyBorder="1" applyAlignment="1">
      <alignment horizontal="center" vertical="center"/>
    </xf>
    <xf numFmtId="3" fontId="4" fillId="0" borderId="0" xfId="0" applyNumberFormat="1" applyFont="1" applyAlignment="1">
      <alignment vertical="center"/>
    </xf>
    <xf numFmtId="0" fontId="4" fillId="0" borderId="0" xfId="0" applyFont="1" applyAlignment="1">
      <alignment vertical="center"/>
    </xf>
    <xf numFmtId="43" fontId="4" fillId="0" borderId="0" xfId="1" applyFont="1" applyFill="1" applyAlignment="1">
      <alignment vertical="center"/>
    </xf>
    <xf numFmtId="0" fontId="6" fillId="0" borderId="0" xfId="3" applyFont="1" applyAlignment="1">
      <alignment vertical="center"/>
    </xf>
    <xf numFmtId="164" fontId="4" fillId="0" borderId="0" xfId="5" applyNumberFormat="1" applyFont="1" applyFill="1" applyBorder="1" applyAlignment="1">
      <alignment horizontal="center" vertical="center"/>
    </xf>
    <xf numFmtId="164" fontId="4" fillId="3" borderId="7" xfId="1" applyNumberFormat="1" applyFont="1" applyFill="1" applyBorder="1" applyAlignment="1">
      <alignment horizontal="center" vertical="center"/>
    </xf>
    <xf numFmtId="164" fontId="4" fillId="0" borderId="7" xfId="5" applyNumberFormat="1" applyFont="1" applyFill="1" applyBorder="1" applyAlignment="1">
      <alignment horizontal="center" vertical="center"/>
    </xf>
    <xf numFmtId="10" fontId="4" fillId="0" borderId="14" xfId="2" applyNumberFormat="1" applyFont="1" applyFill="1" applyBorder="1" applyAlignment="1">
      <alignment horizontal="center" vertical="center"/>
    </xf>
    <xf numFmtId="169" fontId="15" fillId="3" borderId="8" xfId="2" applyNumberFormat="1" applyFont="1" applyFill="1" applyBorder="1" applyAlignment="1">
      <alignment horizontal="center" vertical="center"/>
    </xf>
    <xf numFmtId="164" fontId="15" fillId="0" borderId="7" xfId="1" applyNumberFormat="1" applyFont="1" applyFill="1" applyBorder="1" applyAlignment="1">
      <alignment horizontal="center" vertical="center"/>
    </xf>
    <xf numFmtId="164" fontId="15" fillId="0" borderId="0" xfId="1" applyNumberFormat="1" applyFont="1" applyFill="1" applyBorder="1" applyAlignment="1">
      <alignment horizontal="center" vertical="center"/>
    </xf>
    <xf numFmtId="164" fontId="4" fillId="0" borderId="7" xfId="1"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3" fillId="0" borderId="0" xfId="0" applyFont="1" applyAlignment="1">
      <alignment horizontal="center" vertical="center" wrapText="1"/>
    </xf>
    <xf numFmtId="0" fontId="14" fillId="2" borderId="0" xfId="3" applyFont="1" applyFill="1" applyAlignment="1">
      <alignment horizontal="center" vertical="center"/>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164" fontId="4" fillId="3" borderId="5" xfId="2"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FAFE7"/>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10"/>
            <c:invertIfNegative val="0"/>
            <c:bubble3D val="0"/>
            <c:spPr>
              <a:solidFill>
                <a:srgbClr val="C00000"/>
              </a:solidFill>
            </c:spPr>
            <c:extLst>
              <c:ext xmlns:c16="http://schemas.microsoft.com/office/drawing/2014/chart" uri="{C3380CC4-5D6E-409C-BE32-E72D297353CC}">
                <c16:uniqueId val="{00000002-045B-4CAF-9900-496C0291835D}"/>
              </c:ext>
            </c:extLst>
          </c:dPt>
          <c:dLbls>
            <c:dLbl>
              <c:idx val="10"/>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045B-4CAF-9900-496C0291835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(Ene-Abr)
(Jan-Apr)</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2769.8655786898944</c:v>
                </c:pt>
                <c:pt idx="10">
                  <c:v>918.2840992092365</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61</xdr:row>
      <xdr:rowOff>19050</xdr:rowOff>
    </xdr:from>
    <xdr:to>
      <xdr:col>15</xdr:col>
      <xdr:colOff>542924</xdr:colOff>
      <xdr:row>68</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0"/>
  <sheetViews>
    <sheetView showGridLines="0" view="pageBreakPreview" zoomScaleNormal="100" zoomScaleSheetLayoutView="100" workbookViewId="0">
      <pane ySplit="9" topLeftCell="A36" activePane="bottomLeft" state="frozen"/>
      <selection activeCell="H9" sqref="H9"/>
      <selection pane="bottomLeft" activeCell="J51" sqref="J51"/>
    </sheetView>
  </sheetViews>
  <sheetFormatPr baseColWidth="10" defaultColWidth="11.42578125" defaultRowHeight="12.75" x14ac:dyDescent="0.25"/>
  <cols>
    <col min="1" max="2" width="2.7109375" style="2" customWidth="1"/>
    <col min="3" max="3" width="12.85546875" style="38"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32" t="s">
        <v>0</v>
      </c>
      <c r="D3" s="232"/>
      <c r="E3" s="232"/>
      <c r="F3" s="232"/>
      <c r="G3" s="232"/>
      <c r="H3" s="232"/>
      <c r="I3" s="232"/>
      <c r="J3" s="232"/>
      <c r="K3" s="232"/>
      <c r="L3" s="232"/>
      <c r="M3" s="232"/>
      <c r="N3" s="232"/>
      <c r="O3" s="232"/>
      <c r="P3" s="232"/>
      <c r="Q3" s="1"/>
    </row>
    <row r="4" spans="3:17" ht="14.25" customHeight="1" x14ac:dyDescent="0.25">
      <c r="C4" s="233" t="s">
        <v>1</v>
      </c>
      <c r="D4" s="233"/>
      <c r="E4" s="233"/>
      <c r="F4" s="233"/>
      <c r="G4" s="233"/>
      <c r="H4" s="233"/>
      <c r="I4" s="233"/>
      <c r="J4" s="233"/>
      <c r="K4" s="233"/>
      <c r="L4" s="233"/>
      <c r="M4" s="233"/>
      <c r="N4" s="233"/>
      <c r="O4" s="233"/>
      <c r="P4" s="233"/>
      <c r="Q4" s="3"/>
    </row>
    <row r="5" spans="3:17" ht="9" customHeight="1" x14ac:dyDescent="0.25">
      <c r="C5" s="220"/>
      <c r="D5" s="5"/>
      <c r="E5" s="5"/>
      <c r="F5" s="5"/>
      <c r="G5" s="5"/>
      <c r="H5" s="6"/>
      <c r="I5" s="7"/>
      <c r="J5" s="6"/>
      <c r="K5" s="5"/>
      <c r="L5" s="5"/>
      <c r="M5" s="5"/>
      <c r="N5" s="5"/>
      <c r="O5" s="5"/>
      <c r="P5" s="5"/>
    </row>
    <row r="6" spans="3:17" ht="14.45" customHeight="1" x14ac:dyDescent="0.25">
      <c r="C6" s="234" t="s">
        <v>2</v>
      </c>
      <c r="D6" s="234"/>
      <c r="E6" s="234"/>
      <c r="F6" s="234"/>
      <c r="G6" s="234"/>
      <c r="H6" s="234"/>
      <c r="I6" s="234"/>
      <c r="J6" s="234"/>
      <c r="K6" s="234"/>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s="218" customFormat="1" x14ac:dyDescent="0.25">
      <c r="C36" s="216">
        <v>2025</v>
      </c>
      <c r="D36" s="20">
        <v>2769865.5786898942</v>
      </c>
      <c r="E36" s="20">
        <v>109675602.05294405</v>
      </c>
      <c r="F36" s="20">
        <v>1510087.4171173284</v>
      </c>
      <c r="G36" s="20">
        <v>3761821.382447273</v>
      </c>
      <c r="H36" s="20">
        <v>316288.88028115389</v>
      </c>
      <c r="I36" s="20">
        <v>11892474.643507</v>
      </c>
      <c r="J36" s="20">
        <v>33816.185040000004</v>
      </c>
      <c r="K36" s="20">
        <v>38009.426725496101</v>
      </c>
      <c r="L36" s="20">
        <v>28040.647535969998</v>
      </c>
      <c r="M36" s="20">
        <v>283.76478187999999</v>
      </c>
      <c r="N36" s="20">
        <v>311.762111</v>
      </c>
      <c r="O36" s="20">
        <v>39204.828694800002</v>
      </c>
      <c r="P36" s="194">
        <v>35.532075999999996</v>
      </c>
      <c r="Q36" s="22">
        <f t="shared" si="0"/>
        <v>2769.8655786898944</v>
      </c>
      <c r="R36" s="217"/>
      <c r="AB36" s="219"/>
      <c r="AC36" s="219"/>
      <c r="AD36" s="219"/>
      <c r="AE36" s="219"/>
      <c r="AF36" s="219"/>
      <c r="AG36" s="219"/>
      <c r="AH36" s="219"/>
      <c r="AI36" s="219"/>
    </row>
    <row r="37" spans="3:35" ht="38.25" x14ac:dyDescent="0.25">
      <c r="C37" s="25" t="s">
        <v>133</v>
      </c>
      <c r="D37" s="26">
        <f t="shared" ref="D37:P37" si="1">SUM(D38:D41)</f>
        <v>918284.09920923645</v>
      </c>
      <c r="E37" s="26">
        <f t="shared" si="1"/>
        <v>33242733.483660199</v>
      </c>
      <c r="F37" s="26">
        <f t="shared" si="1"/>
        <v>437816.680531002</v>
      </c>
      <c r="G37" s="26">
        <f t="shared" si="1"/>
        <v>1185083.650890443</v>
      </c>
      <c r="H37" s="26">
        <f t="shared" si="1"/>
        <v>91556.936551916006</v>
      </c>
      <c r="I37" s="26">
        <f t="shared" si="1"/>
        <v>4683028.426244</v>
      </c>
      <c r="J37" s="26">
        <f t="shared" si="1"/>
        <v>11057.710786</v>
      </c>
      <c r="K37" s="26">
        <f t="shared" si="1"/>
        <v>12902.320406511999</v>
      </c>
      <c r="L37" s="26">
        <f t="shared" si="1"/>
        <v>7873.8033825999992</v>
      </c>
      <c r="M37" s="26">
        <f t="shared" si="1"/>
        <v>86.494365599999995</v>
      </c>
      <c r="N37" s="26">
        <f t="shared" si="1"/>
        <v>93.686686000000009</v>
      </c>
      <c r="O37" s="26">
        <f t="shared" si="1"/>
        <v>13998.965107700002</v>
      </c>
      <c r="P37" s="26">
        <f t="shared" si="1"/>
        <v>17.855268000000002</v>
      </c>
      <c r="Q37" s="22">
        <f t="shared" si="0"/>
        <v>918.2840992092365</v>
      </c>
      <c r="R37" s="24"/>
      <c r="AB37" s="23"/>
      <c r="AC37" s="23"/>
      <c r="AD37" s="23"/>
      <c r="AE37" s="23"/>
      <c r="AF37" s="23"/>
      <c r="AG37" s="23"/>
      <c r="AH37" s="23"/>
      <c r="AI37" s="23"/>
    </row>
    <row r="38" spans="3:35" x14ac:dyDescent="0.25">
      <c r="C38" s="27" t="s">
        <v>22</v>
      </c>
      <c r="D38" s="20">
        <v>226465.13532835097</v>
      </c>
      <c r="E38" s="20">
        <v>8831175.3873815574</v>
      </c>
      <c r="F38" s="20">
        <v>107008.63932558298</v>
      </c>
      <c r="G38" s="20">
        <v>288278.05314713245</v>
      </c>
      <c r="H38" s="20">
        <v>22782.986056036996</v>
      </c>
      <c r="I38" s="20">
        <v>1175604.6615900001</v>
      </c>
      <c r="J38" s="20">
        <v>2638.101392</v>
      </c>
      <c r="K38" s="20">
        <v>3100.2304261199997</v>
      </c>
      <c r="L38" s="20">
        <v>1688.6074727999996</v>
      </c>
      <c r="M38" s="196">
        <v>17.800156399999999</v>
      </c>
      <c r="N38" s="196">
        <v>26.551486000000001</v>
      </c>
      <c r="O38" s="20">
        <v>3476.3602592999996</v>
      </c>
      <c r="P38" s="197">
        <v>3.9908700000000001</v>
      </c>
      <c r="Q38" s="28">
        <v>11138766.849174995</v>
      </c>
      <c r="T38" s="29"/>
      <c r="U38" s="29"/>
      <c r="V38" s="29"/>
      <c r="W38" s="29"/>
      <c r="X38" s="29"/>
      <c r="Y38" s="29"/>
      <c r="Z38" s="29"/>
      <c r="AA38" s="29"/>
      <c r="AB38" s="23"/>
      <c r="AC38" s="23"/>
      <c r="AD38" s="23"/>
      <c r="AE38" s="23"/>
      <c r="AF38" s="23"/>
      <c r="AG38" s="23"/>
      <c r="AH38" s="23"/>
      <c r="AI38" s="23"/>
    </row>
    <row r="39" spans="3:35" x14ac:dyDescent="0.25">
      <c r="C39" s="30" t="s">
        <v>23</v>
      </c>
      <c r="D39" s="20">
        <v>223285.27726754191</v>
      </c>
      <c r="E39" s="20">
        <v>7422557.0840030387</v>
      </c>
      <c r="F39" s="20">
        <v>108417.09502581699</v>
      </c>
      <c r="G39" s="20">
        <v>289673.50099068927</v>
      </c>
      <c r="H39" s="20">
        <v>21536.775960890009</v>
      </c>
      <c r="I39" s="20">
        <v>1138826.6746080001</v>
      </c>
      <c r="J39" s="20">
        <v>2611.0019500000003</v>
      </c>
      <c r="K39" s="20">
        <v>3116.1079425219996</v>
      </c>
      <c r="L39" s="20">
        <v>2087.2887541999999</v>
      </c>
      <c r="M39" s="196">
        <v>18.494443</v>
      </c>
      <c r="N39" s="196">
        <v>22.429242000000002</v>
      </c>
      <c r="O39" s="20">
        <v>3321.9614590000001</v>
      </c>
      <c r="P39" s="197">
        <v>4.047072</v>
      </c>
      <c r="Q39" s="28"/>
      <c r="T39" s="29"/>
      <c r="U39" s="29"/>
      <c r="V39" s="29"/>
      <c r="W39" s="29"/>
      <c r="X39" s="29"/>
      <c r="Y39" s="29"/>
      <c r="Z39" s="29"/>
      <c r="AA39" s="29"/>
      <c r="AB39" s="23"/>
      <c r="AC39" s="23"/>
      <c r="AD39" s="23"/>
      <c r="AE39" s="23"/>
      <c r="AF39" s="23"/>
      <c r="AG39" s="23"/>
      <c r="AH39" s="23"/>
      <c r="AI39" s="23"/>
    </row>
    <row r="40" spans="3:35" x14ac:dyDescent="0.25">
      <c r="C40" s="30" t="s">
        <v>122</v>
      </c>
      <c r="D40" s="20">
        <v>238463.97373834343</v>
      </c>
      <c r="E40" s="20">
        <v>8498965.2241655998</v>
      </c>
      <c r="F40" s="20">
        <v>112421.366223602</v>
      </c>
      <c r="G40" s="20">
        <v>301672.26708662132</v>
      </c>
      <c r="H40" s="20">
        <v>23605.320676989013</v>
      </c>
      <c r="I40" s="20">
        <v>1254443.352592</v>
      </c>
      <c r="J40" s="20">
        <v>2743.6943419999998</v>
      </c>
      <c r="K40" s="20">
        <v>3507.1413508700002</v>
      </c>
      <c r="L40" s="20">
        <v>1923.9981766000001</v>
      </c>
      <c r="M40" s="196">
        <v>24.4855892</v>
      </c>
      <c r="N40" s="196">
        <v>22.518574000000001</v>
      </c>
      <c r="O40" s="20">
        <v>3189.6974124000003</v>
      </c>
      <c r="P40" s="197">
        <v>5.5070579999999998</v>
      </c>
      <c r="Q40" s="28"/>
      <c r="T40" s="29"/>
      <c r="U40" s="29"/>
      <c r="V40" s="29"/>
      <c r="W40" s="29"/>
      <c r="X40" s="29"/>
      <c r="Y40" s="29"/>
      <c r="Z40" s="29"/>
      <c r="AA40" s="29"/>
      <c r="AB40" s="23"/>
      <c r="AC40" s="23"/>
      <c r="AD40" s="23"/>
      <c r="AE40" s="23"/>
      <c r="AF40" s="23"/>
      <c r="AG40" s="23"/>
      <c r="AH40" s="23"/>
      <c r="AI40" s="23"/>
    </row>
    <row r="41" spans="3:35" x14ac:dyDescent="0.25">
      <c r="C41" s="199" t="s">
        <v>123</v>
      </c>
      <c r="D41" s="200">
        <v>230069.71287500003</v>
      </c>
      <c r="E41" s="200">
        <v>8490035.788110001</v>
      </c>
      <c r="F41" s="200">
        <v>109969.57995600003</v>
      </c>
      <c r="G41" s="200">
        <v>305459.82966599998</v>
      </c>
      <c r="H41" s="200">
        <v>23631.853857999984</v>
      </c>
      <c r="I41" s="200">
        <v>1114153.7374539999</v>
      </c>
      <c r="J41" s="200">
        <v>3064.913102</v>
      </c>
      <c r="K41" s="200">
        <v>3178.8406869999999</v>
      </c>
      <c r="L41" s="200">
        <v>2173.9089790000003</v>
      </c>
      <c r="M41" s="201">
        <v>25.714176999999999</v>
      </c>
      <c r="N41" s="201">
        <v>22.187384000000002</v>
      </c>
      <c r="O41" s="200">
        <v>4010.9459770000003</v>
      </c>
      <c r="P41" s="198">
        <v>4.3102679999999998</v>
      </c>
      <c r="Q41" s="28"/>
      <c r="T41" s="29"/>
      <c r="U41" s="29"/>
      <c r="V41" s="29"/>
      <c r="W41" s="29"/>
      <c r="X41" s="29"/>
      <c r="Y41" s="29"/>
      <c r="Z41" s="29"/>
      <c r="AA41" s="29"/>
      <c r="AB41" s="23"/>
      <c r="AC41" s="23"/>
      <c r="AD41" s="23"/>
      <c r="AE41" s="23"/>
      <c r="AF41" s="23"/>
      <c r="AG41" s="23"/>
      <c r="AH41" s="23"/>
      <c r="AI41" s="23"/>
    </row>
    <row r="42" spans="3:35" x14ac:dyDescent="0.25">
      <c r="C42" s="30"/>
      <c r="D42" s="20"/>
      <c r="E42" s="20"/>
      <c r="F42" s="20"/>
      <c r="G42" s="20"/>
      <c r="H42" s="20"/>
      <c r="I42" s="20"/>
      <c r="J42" s="20"/>
      <c r="K42" s="20"/>
      <c r="L42" s="20"/>
      <c r="M42" s="196"/>
      <c r="N42" s="20"/>
      <c r="O42" s="20"/>
      <c r="P42" s="197"/>
      <c r="Q42" s="28"/>
      <c r="T42" s="29"/>
      <c r="U42" s="29"/>
      <c r="V42" s="29"/>
      <c r="W42" s="29"/>
      <c r="X42" s="29"/>
      <c r="Y42" s="29"/>
      <c r="Z42" s="29"/>
      <c r="AA42" s="29"/>
      <c r="AB42" s="23"/>
      <c r="AC42" s="23"/>
      <c r="AD42" s="23"/>
      <c r="AE42" s="23"/>
      <c r="AF42" s="23"/>
      <c r="AG42" s="23"/>
      <c r="AH42" s="23"/>
      <c r="AI42" s="23"/>
    </row>
    <row r="43" spans="3:35" x14ac:dyDescent="0.25">
      <c r="C43" s="34" t="s">
        <v>131</v>
      </c>
      <c r="D43" s="35"/>
      <c r="E43" s="35"/>
      <c r="F43" s="36"/>
      <c r="G43" s="35"/>
      <c r="H43" s="35"/>
      <c r="I43" s="35"/>
      <c r="J43" s="35"/>
      <c r="K43" s="35"/>
      <c r="L43" s="35"/>
      <c r="M43" s="35"/>
      <c r="N43" s="35"/>
      <c r="O43" s="35"/>
      <c r="P43" s="37"/>
      <c r="R43" s="24"/>
      <c r="S43" s="38"/>
    </row>
    <row r="44" spans="3:35" ht="24" x14ac:dyDescent="0.25">
      <c r="C44" s="39" t="s">
        <v>125</v>
      </c>
      <c r="D44" s="20">
        <v>220272.94308459293</v>
      </c>
      <c r="E44" s="20">
        <v>9041270.9746690225</v>
      </c>
      <c r="F44" s="20">
        <v>137794.98817215202</v>
      </c>
      <c r="G44" s="20">
        <v>317436.48710021918</v>
      </c>
      <c r="H44" s="20">
        <v>28750.084194300001</v>
      </c>
      <c r="I44" s="20">
        <v>1091388.6164500001</v>
      </c>
      <c r="J44" s="20">
        <v>2723.0601999999999</v>
      </c>
      <c r="K44" s="20">
        <v>3212.9077212199995</v>
      </c>
      <c r="L44" s="20">
        <v>2378.2725716999998</v>
      </c>
      <c r="M44" s="20">
        <v>22.589572999999998</v>
      </c>
      <c r="N44" s="20">
        <v>27.547941999999999</v>
      </c>
      <c r="O44" s="20">
        <v>1961.1031354000002</v>
      </c>
      <c r="P44" s="21">
        <v>2.5161519999999999</v>
      </c>
      <c r="R44" s="24"/>
      <c r="S44" s="38"/>
    </row>
    <row r="45" spans="3:35" ht="24" x14ac:dyDescent="0.25">
      <c r="C45" s="40" t="s">
        <v>124</v>
      </c>
      <c r="D45" s="20">
        <v>230069.71287500003</v>
      </c>
      <c r="E45" s="20">
        <v>8490035.788110001</v>
      </c>
      <c r="F45" s="20">
        <v>109969.57995600003</v>
      </c>
      <c r="G45" s="20">
        <v>305459.82966599998</v>
      </c>
      <c r="H45" s="20">
        <v>23631.853857999984</v>
      </c>
      <c r="I45" s="20">
        <v>1114153.7374539999</v>
      </c>
      <c r="J45" s="20">
        <v>3064.913102</v>
      </c>
      <c r="K45" s="20">
        <v>3178.8406869999999</v>
      </c>
      <c r="L45" s="20">
        <v>2173.9089790000003</v>
      </c>
      <c r="M45" s="20">
        <v>25.714176999999999</v>
      </c>
      <c r="N45" s="20">
        <v>22.187384000000002</v>
      </c>
      <c r="O45" s="20">
        <v>4010.9459770000003</v>
      </c>
      <c r="P45" s="194">
        <v>4.3102679999999998</v>
      </c>
      <c r="Q45" s="41"/>
      <c r="R45" s="24"/>
      <c r="S45" s="23"/>
      <c r="T45" s="23"/>
      <c r="U45" s="23"/>
      <c r="V45" s="23"/>
      <c r="W45" s="23"/>
      <c r="X45" s="23"/>
      <c r="Y45" s="23"/>
      <c r="Z45" s="23"/>
    </row>
    <row r="46" spans="3:35" x14ac:dyDescent="0.25">
      <c r="C46" s="42" t="s">
        <v>24</v>
      </c>
      <c r="D46" s="43">
        <f t="shared" ref="D46:P46" si="2">+D45/D44-1</f>
        <v>4.4475593112880851E-2</v>
      </c>
      <c r="E46" s="43">
        <f>+E45/E44-1</f>
        <v>-6.0968771769303265E-2</v>
      </c>
      <c r="F46" s="44">
        <f>+F45/F44-1</f>
        <v>-0.20193338368293012</v>
      </c>
      <c r="G46" s="44">
        <f>+G45/G44-1</f>
        <v>-3.7729303091859179E-2</v>
      </c>
      <c r="H46" s="44">
        <f t="shared" si="2"/>
        <v>-0.17802488165633823</v>
      </c>
      <c r="I46" s="43">
        <f t="shared" si="2"/>
        <v>2.0858858761097165E-2</v>
      </c>
      <c r="J46" s="43">
        <f t="shared" si="2"/>
        <v>0.12553997227090319</v>
      </c>
      <c r="K46" s="43">
        <f t="shared" si="2"/>
        <v>-1.0603178546025549E-2</v>
      </c>
      <c r="L46" s="43">
        <f t="shared" si="2"/>
        <v>-8.5929424209740368E-2</v>
      </c>
      <c r="M46" s="43">
        <f t="shared" si="2"/>
        <v>0.13832063138156725</v>
      </c>
      <c r="N46" s="43">
        <f t="shared" si="2"/>
        <v>-0.19459014397518326</v>
      </c>
      <c r="O46" s="43">
        <f t="shared" si="2"/>
        <v>1.045249892572274</v>
      </c>
      <c r="P46" s="45">
        <f t="shared" si="2"/>
        <v>0.71303959379242587</v>
      </c>
      <c r="R46" s="24"/>
      <c r="S46" s="23"/>
      <c r="T46" s="23"/>
      <c r="U46" s="23"/>
      <c r="V46" s="23"/>
      <c r="W46" s="23"/>
      <c r="X46" s="23"/>
      <c r="Y46" s="23"/>
      <c r="Z46" s="23"/>
    </row>
    <row r="47" spans="3:35" x14ac:dyDescent="0.25">
      <c r="C47" s="33"/>
      <c r="D47" s="31"/>
      <c r="E47" s="31"/>
      <c r="F47" s="31"/>
      <c r="G47" s="31"/>
      <c r="H47" s="31"/>
      <c r="I47" s="31"/>
      <c r="J47" s="31"/>
      <c r="K47" s="31"/>
      <c r="L47" s="31"/>
      <c r="M47" s="31"/>
      <c r="N47" s="31"/>
      <c r="O47" s="31"/>
      <c r="P47" s="32"/>
      <c r="Q47" s="28"/>
      <c r="T47" s="29"/>
      <c r="U47" s="29"/>
      <c r="V47" s="29"/>
      <c r="W47" s="29"/>
      <c r="X47" s="29"/>
      <c r="Y47" s="29"/>
      <c r="Z47" s="29"/>
      <c r="AA47" s="29"/>
      <c r="AB47" s="23"/>
      <c r="AC47" s="23"/>
      <c r="AD47" s="23"/>
      <c r="AE47" s="23"/>
      <c r="AF47" s="23"/>
      <c r="AG47" s="23"/>
      <c r="AH47" s="23"/>
      <c r="AI47" s="23"/>
    </row>
    <row r="48" spans="3:35" x14ac:dyDescent="0.25">
      <c r="C48" s="34" t="s">
        <v>132</v>
      </c>
      <c r="D48" s="35"/>
      <c r="E48" s="35"/>
      <c r="F48" s="36"/>
      <c r="G48" s="35"/>
      <c r="H48" s="35"/>
      <c r="I48" s="35"/>
      <c r="J48" s="35"/>
      <c r="K48" s="35"/>
      <c r="L48" s="35"/>
      <c r="M48" s="35"/>
      <c r="N48" s="35"/>
      <c r="O48" s="35"/>
      <c r="P48" s="37"/>
      <c r="R48" s="24"/>
      <c r="S48" s="23"/>
      <c r="T48" s="23"/>
      <c r="U48" s="23"/>
      <c r="V48" s="23"/>
      <c r="W48" s="23"/>
      <c r="X48" s="23"/>
      <c r="Y48" s="23"/>
      <c r="Z48" s="23"/>
    </row>
    <row r="49" spans="3:35" ht="24" x14ac:dyDescent="0.25">
      <c r="C49" s="46" t="s">
        <v>126</v>
      </c>
      <c r="D49" s="20">
        <v>886773.63975380384</v>
      </c>
      <c r="E49" s="20">
        <v>34655941.455316745</v>
      </c>
      <c r="F49" s="20">
        <v>459140.964229398</v>
      </c>
      <c r="G49" s="20">
        <v>1177273.0590031371</v>
      </c>
      <c r="H49" s="20">
        <v>99480.105894389882</v>
      </c>
      <c r="I49" s="20">
        <v>4592961.2292860001</v>
      </c>
      <c r="J49" s="20">
        <v>10780.76744</v>
      </c>
      <c r="K49" s="20">
        <v>13927.3381943241</v>
      </c>
      <c r="L49" s="20">
        <v>8867.0541042000004</v>
      </c>
      <c r="M49" s="20">
        <v>84.286572800000002</v>
      </c>
      <c r="N49" s="20">
        <v>113.19871600000002</v>
      </c>
      <c r="O49" s="20">
        <v>11082.969501800002</v>
      </c>
      <c r="P49" s="195">
        <v>10.292676</v>
      </c>
      <c r="R49" s="24"/>
      <c r="S49" s="23"/>
      <c r="T49" s="23"/>
      <c r="U49" s="23"/>
      <c r="V49" s="23"/>
      <c r="W49" s="23"/>
      <c r="X49" s="23"/>
      <c r="Y49" s="23"/>
      <c r="Z49" s="23"/>
    </row>
    <row r="50" spans="3:35" ht="24" x14ac:dyDescent="0.25">
      <c r="C50" s="46" t="s">
        <v>127</v>
      </c>
      <c r="D50" s="20">
        <v>918284.09920923645</v>
      </c>
      <c r="E50" s="20">
        <v>33242733.483660199</v>
      </c>
      <c r="F50" s="20">
        <v>437816.680531002</v>
      </c>
      <c r="G50" s="20">
        <v>1185083.650890443</v>
      </c>
      <c r="H50" s="20">
        <v>91556.936551916006</v>
      </c>
      <c r="I50" s="20">
        <v>4683028.426244</v>
      </c>
      <c r="J50" s="20">
        <v>11057.710786</v>
      </c>
      <c r="K50" s="20">
        <v>12902.320406511999</v>
      </c>
      <c r="L50" s="20">
        <v>7873.8033825999992</v>
      </c>
      <c r="M50" s="20">
        <v>86.494365599999995</v>
      </c>
      <c r="N50" s="20">
        <v>93.686686000000009</v>
      </c>
      <c r="O50" s="20">
        <v>13998.965107700002</v>
      </c>
      <c r="P50" s="194">
        <v>17.855268000000002</v>
      </c>
      <c r="R50" s="24"/>
      <c r="S50" s="23"/>
      <c r="T50" s="23"/>
      <c r="U50" s="23"/>
      <c r="V50" s="23"/>
      <c r="W50" s="23"/>
      <c r="X50" s="23"/>
      <c r="Y50" s="23"/>
      <c r="Z50" s="23"/>
    </row>
    <row r="51" spans="3:35" x14ac:dyDescent="0.25">
      <c r="C51" s="47" t="s">
        <v>24</v>
      </c>
      <c r="D51" s="48">
        <f t="shared" ref="D51:P51" si="3">+D50/D49-1</f>
        <v>3.5533825141871533E-2</v>
      </c>
      <c r="E51" s="49">
        <f t="shared" si="3"/>
        <v>-4.0778230580711505E-2</v>
      </c>
      <c r="F51" s="48">
        <f t="shared" si="3"/>
        <v>-4.6443870967134759E-2</v>
      </c>
      <c r="G51" s="48">
        <f t="shared" si="3"/>
        <v>6.6344777259403909E-3</v>
      </c>
      <c r="H51" s="48">
        <f t="shared" si="3"/>
        <v>-7.9645767073119877E-2</v>
      </c>
      <c r="I51" s="49">
        <f t="shared" si="3"/>
        <v>1.9609831753794493E-2</v>
      </c>
      <c r="J51" s="49">
        <f t="shared" si="3"/>
        <v>2.5688648562481209E-2</v>
      </c>
      <c r="K51" s="49">
        <f t="shared" si="3"/>
        <v>-7.3597536981605982E-2</v>
      </c>
      <c r="L51" s="49">
        <f t="shared" si="3"/>
        <v>-0.11201586343423064</v>
      </c>
      <c r="M51" s="49">
        <f>+M50/M49-1</f>
        <v>2.6193885059708988E-2</v>
      </c>
      <c r="N51" s="48">
        <f>+N50/N49-1</f>
        <v>-0.1723697113313547</v>
      </c>
      <c r="O51" s="48">
        <f>+O50/O49-1</f>
        <v>0.2631059848559909</v>
      </c>
      <c r="P51" s="50">
        <f t="shared" si="3"/>
        <v>0.73475469353159495</v>
      </c>
      <c r="R51" s="24"/>
      <c r="S51" s="23"/>
      <c r="T51" s="23"/>
      <c r="U51" s="23"/>
      <c r="V51" s="23"/>
      <c r="W51" s="23"/>
      <c r="X51" s="23"/>
      <c r="Y51" s="23"/>
      <c r="Z51" s="23"/>
    </row>
    <row r="52" spans="3:35" x14ac:dyDescent="0.25">
      <c r="C52" s="33"/>
      <c r="D52" s="31"/>
      <c r="E52" s="31"/>
      <c r="F52" s="31"/>
      <c r="G52" s="31"/>
      <c r="H52" s="31"/>
      <c r="I52" s="31"/>
      <c r="J52" s="31"/>
      <c r="K52" s="31"/>
      <c r="L52" s="31"/>
      <c r="M52" s="31"/>
      <c r="N52" s="31"/>
      <c r="O52" s="31"/>
      <c r="P52" s="32"/>
      <c r="Q52" s="28"/>
      <c r="T52" s="29"/>
      <c r="U52" s="29"/>
      <c r="V52" s="29"/>
      <c r="W52" s="29"/>
      <c r="X52" s="29"/>
      <c r="Y52" s="29"/>
      <c r="Z52" s="29"/>
      <c r="AA52" s="29"/>
      <c r="AB52" s="23"/>
      <c r="AC52" s="23"/>
      <c r="AD52" s="23"/>
      <c r="AE52" s="23"/>
      <c r="AF52" s="23"/>
      <c r="AG52" s="23"/>
      <c r="AH52" s="23"/>
      <c r="AI52" s="23"/>
    </row>
    <row r="53" spans="3:35" x14ac:dyDescent="0.25">
      <c r="C53" s="34" t="s">
        <v>25</v>
      </c>
      <c r="D53" s="35"/>
      <c r="E53" s="35"/>
      <c r="F53" s="36"/>
      <c r="G53" s="35"/>
      <c r="H53" s="35"/>
      <c r="I53" s="35"/>
      <c r="J53" s="35"/>
      <c r="K53" s="35"/>
      <c r="L53" s="35"/>
      <c r="M53" s="35"/>
      <c r="N53" s="35"/>
      <c r="O53" s="35"/>
      <c r="P53" s="37"/>
      <c r="Q53" s="28"/>
      <c r="T53" s="29"/>
      <c r="U53" s="29"/>
      <c r="V53" s="29"/>
      <c r="W53" s="29"/>
      <c r="X53" s="29"/>
      <c r="Y53" s="29"/>
      <c r="Z53" s="29"/>
      <c r="AA53" s="29"/>
      <c r="AB53" s="23"/>
      <c r="AC53" s="23"/>
      <c r="AD53" s="23"/>
      <c r="AE53" s="23"/>
      <c r="AF53" s="23"/>
      <c r="AG53" s="23"/>
      <c r="AH53" s="23"/>
      <c r="AI53" s="23"/>
    </row>
    <row r="54" spans="3:35" ht="24" x14ac:dyDescent="0.25">
      <c r="C54" s="51" t="s">
        <v>120</v>
      </c>
      <c r="D54" s="20">
        <v>238463.97373834343</v>
      </c>
      <c r="E54" s="20">
        <v>8498965.2241655998</v>
      </c>
      <c r="F54" s="20">
        <v>112421.366223602</v>
      </c>
      <c r="G54" s="20">
        <v>301672.26708662132</v>
      </c>
      <c r="H54" s="20">
        <v>23605.320676989013</v>
      </c>
      <c r="I54" s="20">
        <v>1254443.352592</v>
      </c>
      <c r="J54" s="20">
        <v>2743.6943419999998</v>
      </c>
      <c r="K54" s="20">
        <v>3507.1413508700002</v>
      </c>
      <c r="L54" s="20">
        <v>1923.9981766000001</v>
      </c>
      <c r="M54" s="20">
        <v>24.4855892</v>
      </c>
      <c r="N54" s="20">
        <v>22.518574000000001</v>
      </c>
      <c r="O54" s="20">
        <v>3189.6974124000003</v>
      </c>
      <c r="P54" s="195">
        <v>5.5070579999999998</v>
      </c>
      <c r="Q54" s="28"/>
      <c r="T54" s="29"/>
      <c r="U54" s="29"/>
      <c r="V54" s="29"/>
      <c r="W54" s="29"/>
      <c r="X54" s="29"/>
      <c r="Y54" s="29"/>
      <c r="Z54" s="29"/>
      <c r="AA54" s="29"/>
      <c r="AB54" s="23"/>
      <c r="AC54" s="23"/>
      <c r="AD54" s="23"/>
      <c r="AE54" s="23"/>
      <c r="AF54" s="23"/>
      <c r="AG54" s="23"/>
      <c r="AH54" s="23"/>
      <c r="AI54" s="23"/>
    </row>
    <row r="55" spans="3:35" ht="24" x14ac:dyDescent="0.25">
      <c r="C55" s="53" t="s">
        <v>124</v>
      </c>
      <c r="D55" s="20">
        <v>230069.71287500003</v>
      </c>
      <c r="E55" s="20">
        <v>8490035.788110001</v>
      </c>
      <c r="F55" s="20">
        <v>109969.57995600003</v>
      </c>
      <c r="G55" s="20">
        <v>305459.82966599998</v>
      </c>
      <c r="H55" s="20">
        <v>23631.853857999984</v>
      </c>
      <c r="I55" s="20">
        <v>1114153.7374539999</v>
      </c>
      <c r="J55" s="20">
        <v>3064.913102</v>
      </c>
      <c r="K55" s="20">
        <v>3178.8406869999999</v>
      </c>
      <c r="L55" s="20">
        <v>2173.9089790000003</v>
      </c>
      <c r="M55" s="20">
        <v>25.714176999999999</v>
      </c>
      <c r="N55" s="20">
        <v>22.187384000000002</v>
      </c>
      <c r="O55" s="20">
        <v>4010.9459770000003</v>
      </c>
      <c r="P55" s="194">
        <v>4.3102679999999998</v>
      </c>
      <c r="Q55" s="28"/>
      <c r="T55" s="29"/>
      <c r="U55" s="29"/>
      <c r="V55" s="29"/>
      <c r="W55" s="29"/>
      <c r="X55" s="29"/>
      <c r="Y55" s="29"/>
      <c r="Z55" s="29"/>
      <c r="AA55" s="29"/>
      <c r="AB55" s="23"/>
      <c r="AC55" s="23"/>
      <c r="AD55" s="23"/>
      <c r="AE55" s="23"/>
      <c r="AF55" s="23"/>
      <c r="AG55" s="23"/>
      <c r="AH55" s="23"/>
      <c r="AI55" s="23"/>
    </row>
    <row r="56" spans="3:35" x14ac:dyDescent="0.25">
      <c r="C56" s="54" t="s">
        <v>24</v>
      </c>
      <c r="D56" s="49">
        <f t="shared" ref="D56:M56" si="4">+D55/D54-1</f>
        <v>-3.5201379611974781E-2</v>
      </c>
      <c r="E56" s="49">
        <f t="shared" si="4"/>
        <v>-1.0506497932488701E-3</v>
      </c>
      <c r="F56" s="49">
        <f t="shared" si="4"/>
        <v>-2.1808899410859839E-2</v>
      </c>
      <c r="G56" s="49">
        <f t="shared" si="4"/>
        <v>1.2555222977427727E-2</v>
      </c>
      <c r="H56" s="49">
        <f t="shared" si="4"/>
        <v>1.1240339148128609E-3</v>
      </c>
      <c r="I56" s="49">
        <f t="shared" si="4"/>
        <v>-0.11183415723645551</v>
      </c>
      <c r="J56" s="49">
        <f t="shared" si="4"/>
        <v>0.11707527149902908</v>
      </c>
      <c r="K56" s="49">
        <f t="shared" si="4"/>
        <v>-9.3609190798243813E-2</v>
      </c>
      <c r="L56" s="49">
        <f t="shared" si="4"/>
        <v>0.12989139253844351</v>
      </c>
      <c r="M56" s="49">
        <f t="shared" si="4"/>
        <v>5.0175954107732901E-2</v>
      </c>
      <c r="N56" s="49">
        <f>+N55/N54-1</f>
        <v>-1.4707414421534781E-2</v>
      </c>
      <c r="O56" s="49">
        <f>+O55/O54-1</f>
        <v>0.25746911334203149</v>
      </c>
      <c r="P56" s="50">
        <f>+P55/P54-1</f>
        <v>-0.21731930188496296</v>
      </c>
      <c r="Q56" s="28"/>
      <c r="T56" s="29"/>
      <c r="U56" s="29"/>
      <c r="V56" s="29"/>
      <c r="W56" s="29"/>
      <c r="X56" s="29"/>
      <c r="Y56" s="29"/>
      <c r="Z56" s="29"/>
      <c r="AA56" s="29"/>
      <c r="AB56" s="23"/>
      <c r="AC56" s="23"/>
      <c r="AD56" s="23"/>
      <c r="AE56" s="23"/>
      <c r="AF56" s="23"/>
      <c r="AG56" s="23"/>
      <c r="AH56" s="23"/>
      <c r="AI56" s="23"/>
    </row>
    <row r="57" spans="3:35" x14ac:dyDescent="0.25">
      <c r="C57" s="55"/>
      <c r="D57" s="56"/>
      <c r="E57" s="57"/>
      <c r="F57" s="56"/>
      <c r="G57" s="56"/>
      <c r="H57" s="56"/>
      <c r="I57" s="56"/>
      <c r="J57" s="56"/>
      <c r="K57" s="56"/>
      <c r="L57" s="56"/>
      <c r="M57" s="56"/>
      <c r="N57" s="56"/>
      <c r="O57" s="56"/>
      <c r="P57" s="58"/>
      <c r="R57" s="24"/>
      <c r="S57" s="23"/>
      <c r="T57" s="23"/>
      <c r="U57" s="23"/>
      <c r="V57" s="23"/>
      <c r="W57" s="23"/>
      <c r="X57" s="23"/>
      <c r="Y57" s="23"/>
      <c r="Z57" s="23"/>
    </row>
    <row r="58" spans="3:35" s="60" customFormat="1" ht="77.25" customHeight="1" x14ac:dyDescent="0.25">
      <c r="C58" s="235" t="s">
        <v>134</v>
      </c>
      <c r="D58" s="236"/>
      <c r="E58" s="236"/>
      <c r="F58" s="236"/>
      <c r="G58" s="236"/>
      <c r="H58" s="236"/>
      <c r="I58" s="236"/>
      <c r="J58" s="236"/>
      <c r="K58" s="236"/>
      <c r="L58" s="236"/>
      <c r="M58" s="236"/>
      <c r="N58" s="236"/>
      <c r="O58" s="236"/>
      <c r="P58" s="237"/>
      <c r="Q58" s="59"/>
    </row>
    <row r="59" spans="3:35" s="60" customFormat="1" ht="41.25" customHeight="1" x14ac:dyDescent="0.25">
      <c r="C59" s="238"/>
      <c r="D59" s="239"/>
      <c r="E59" s="239"/>
      <c r="F59" s="239"/>
      <c r="G59" s="239"/>
      <c r="H59" s="239"/>
      <c r="I59" s="239"/>
      <c r="J59" s="239"/>
      <c r="K59" s="239"/>
      <c r="L59" s="239"/>
      <c r="M59" s="239"/>
      <c r="N59" s="239"/>
      <c r="O59" s="239"/>
      <c r="P59" s="240"/>
      <c r="Q59" s="59"/>
    </row>
    <row r="60" spans="3:35" s="60" customFormat="1" ht="15" x14ac:dyDescent="0.25">
      <c r="Q60" s="59"/>
    </row>
    <row r="61" spans="3:35" ht="36.6" customHeight="1" x14ac:dyDescent="0.25">
      <c r="C61" s="241" t="s">
        <v>26</v>
      </c>
      <c r="D61" s="241"/>
      <c r="E61" s="241"/>
      <c r="F61" s="241"/>
      <c r="G61" s="241"/>
      <c r="H61" s="241"/>
      <c r="I61" s="241"/>
      <c r="J61" s="241"/>
      <c r="K61" s="241"/>
      <c r="L61" s="241"/>
      <c r="M61" s="241"/>
      <c r="N61" s="241"/>
      <c r="O61" s="241"/>
      <c r="P61" s="241"/>
    </row>
    <row r="62" spans="3:35" ht="36.75" customHeight="1" x14ac:dyDescent="0.25"/>
    <row r="63" spans="3:35" ht="36.75" customHeight="1" x14ac:dyDescent="0.25"/>
    <row r="64" spans="3:35" ht="36.75" customHeight="1" x14ac:dyDescent="0.25"/>
    <row r="65" spans="3:36" s="8" customFormat="1" ht="36.75" customHeight="1" x14ac:dyDescent="0.25">
      <c r="C65" s="38"/>
      <c r="D65" s="2"/>
      <c r="E65" s="2"/>
      <c r="F65" s="2"/>
      <c r="G65" s="2"/>
      <c r="H65" s="2"/>
      <c r="I65" s="2"/>
      <c r="J65" s="2"/>
      <c r="K65" s="2"/>
      <c r="L65" s="2"/>
      <c r="M65" s="2"/>
      <c r="N65" s="2"/>
      <c r="O65" s="2"/>
      <c r="P65" s="2"/>
      <c r="R65" s="2"/>
      <c r="S65" s="2"/>
      <c r="T65" s="2"/>
      <c r="U65" s="2"/>
      <c r="V65" s="2"/>
      <c r="W65" s="2"/>
      <c r="X65" s="2"/>
      <c r="Y65" s="2"/>
      <c r="Z65" s="2"/>
      <c r="AA65" s="2"/>
      <c r="AB65" s="2"/>
      <c r="AC65" s="2"/>
      <c r="AD65" s="2"/>
      <c r="AE65" s="2"/>
      <c r="AF65" s="2"/>
      <c r="AG65" s="2"/>
      <c r="AH65" s="2"/>
      <c r="AI65" s="2"/>
      <c r="AJ65" s="2"/>
    </row>
    <row r="66" spans="3:36" s="8" customFormat="1" ht="36.75" customHeight="1" x14ac:dyDescent="0.25">
      <c r="C66" s="38"/>
      <c r="D66" s="2"/>
      <c r="E66" s="2"/>
      <c r="F66" s="2"/>
      <c r="G66" s="2"/>
      <c r="H66" s="2"/>
      <c r="I66" s="2"/>
      <c r="J66" s="2"/>
      <c r="K66" s="2"/>
      <c r="L66" s="2"/>
      <c r="M66" s="2"/>
      <c r="N66" s="2"/>
      <c r="O66" s="2"/>
      <c r="P66" s="2"/>
      <c r="R66" s="2"/>
      <c r="S66" s="2"/>
      <c r="T66" s="2"/>
      <c r="U66" s="2"/>
      <c r="V66" s="2"/>
      <c r="W66" s="2"/>
      <c r="X66" s="2"/>
      <c r="Y66" s="2"/>
      <c r="Z66" s="2"/>
      <c r="AA66" s="2"/>
      <c r="AB66" s="2"/>
      <c r="AC66" s="2"/>
      <c r="AD66" s="2"/>
      <c r="AE66" s="2"/>
      <c r="AF66" s="2"/>
      <c r="AG66" s="2"/>
      <c r="AH66" s="2"/>
      <c r="AI66" s="2"/>
      <c r="AJ66" s="2"/>
    </row>
    <row r="67" spans="3:36" ht="36.75" customHeight="1" x14ac:dyDescent="0.25"/>
    <row r="68" spans="3:36" s="8" customFormat="1" ht="36.75" customHeight="1" x14ac:dyDescent="0.25">
      <c r="C68" s="2"/>
      <c r="D68" s="2"/>
      <c r="E68" s="2"/>
      <c r="F68" s="2"/>
      <c r="G68" s="2"/>
      <c r="H68" s="2"/>
      <c r="I68" s="2"/>
      <c r="J68" s="2"/>
      <c r="K68" s="2"/>
      <c r="L68" s="2"/>
      <c r="M68" s="2"/>
      <c r="N68" s="2"/>
      <c r="O68" s="2"/>
      <c r="P68" s="2"/>
      <c r="R68" s="2"/>
      <c r="S68" s="2"/>
      <c r="T68" s="2"/>
      <c r="U68" s="2"/>
      <c r="V68" s="2"/>
      <c r="W68" s="2"/>
      <c r="X68" s="2"/>
      <c r="Y68" s="2"/>
      <c r="Z68" s="2"/>
      <c r="AA68" s="2"/>
      <c r="AB68" s="2"/>
      <c r="AC68" s="2"/>
      <c r="AD68" s="2"/>
      <c r="AE68" s="2"/>
      <c r="AF68" s="2"/>
      <c r="AG68" s="2"/>
      <c r="AH68" s="2"/>
      <c r="AI68" s="2"/>
      <c r="AJ68" s="2"/>
    </row>
    <row r="69" spans="3:36" s="8" customFormat="1" x14ac:dyDescent="0.25">
      <c r="C69" s="38"/>
      <c r="D69" s="2"/>
      <c r="E69" s="2"/>
      <c r="F69" s="2"/>
      <c r="G69" s="2"/>
      <c r="H69" s="2"/>
      <c r="I69" s="2"/>
      <c r="J69" s="2"/>
      <c r="K69" s="61"/>
      <c r="L69" s="61"/>
      <c r="M69" s="61"/>
      <c r="N69" s="61"/>
      <c r="O69" s="61"/>
      <c r="P69" s="61"/>
      <c r="R69" s="2"/>
      <c r="S69" s="2"/>
      <c r="T69" s="2"/>
      <c r="U69" s="2"/>
      <c r="V69" s="2"/>
      <c r="W69" s="2"/>
      <c r="X69" s="2"/>
      <c r="Y69" s="2"/>
      <c r="Z69" s="2"/>
      <c r="AA69" s="2"/>
      <c r="AB69" s="2"/>
      <c r="AC69" s="2"/>
      <c r="AD69" s="2"/>
      <c r="AE69" s="2"/>
      <c r="AF69" s="2"/>
      <c r="AG69" s="2"/>
      <c r="AH69" s="2"/>
      <c r="AI69" s="2"/>
      <c r="AJ69" s="2"/>
    </row>
    <row r="70" spans="3:36" s="8" customFormat="1" ht="67.5" customHeight="1" x14ac:dyDescent="0.25">
      <c r="C70" s="229" t="s">
        <v>128</v>
      </c>
      <c r="D70" s="230"/>
      <c r="E70" s="230"/>
      <c r="F70" s="230"/>
      <c r="G70" s="230"/>
      <c r="H70" s="230"/>
      <c r="I70" s="230"/>
      <c r="J70" s="230"/>
      <c r="K70" s="230"/>
      <c r="L70" s="230"/>
      <c r="M70" s="230"/>
      <c r="N70" s="230"/>
      <c r="O70" s="230"/>
      <c r="P70" s="231"/>
      <c r="R70" s="2"/>
      <c r="S70" s="2"/>
      <c r="T70" s="2"/>
      <c r="U70" s="2"/>
      <c r="V70" s="2"/>
      <c r="W70" s="2"/>
      <c r="X70" s="2"/>
      <c r="Y70" s="2"/>
      <c r="Z70" s="2"/>
      <c r="AA70" s="2"/>
      <c r="AB70" s="2"/>
      <c r="AC70" s="2"/>
      <c r="AD70" s="2"/>
      <c r="AE70" s="2"/>
      <c r="AF70" s="2"/>
      <c r="AG70" s="2"/>
      <c r="AH70" s="2"/>
      <c r="AI70" s="2"/>
      <c r="AJ70" s="2"/>
    </row>
  </sheetData>
  <mergeCells count="7">
    <mergeCell ref="C70:P70"/>
    <mergeCell ref="C3:P3"/>
    <mergeCell ref="C4:P4"/>
    <mergeCell ref="C6:K6"/>
    <mergeCell ref="C58:P58"/>
    <mergeCell ref="C59:P59"/>
    <mergeCell ref="C61:P61"/>
  </mergeCells>
  <conditionalFormatting sqref="D51 G51 O51 D57:P57">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7"/>
  <sheetViews>
    <sheetView showGridLines="0" view="pageBreakPreview" topLeftCell="A77" zoomScaleNormal="100" zoomScaleSheetLayoutView="100" workbookViewId="0">
      <selection activeCell="C81" sqref="C81"/>
    </sheetView>
  </sheetViews>
  <sheetFormatPr baseColWidth="10" defaultColWidth="11.5703125" defaultRowHeight="15" x14ac:dyDescent="0.25"/>
  <cols>
    <col min="1" max="2" width="3.7109375" style="60" customWidth="1"/>
    <col min="3" max="3" width="51.7109375" style="60" customWidth="1"/>
    <col min="4" max="4" width="14.42578125" style="60" customWidth="1"/>
    <col min="5" max="5" width="13.140625" style="60" customWidth="1"/>
    <col min="6" max="6" width="14" style="62" customWidth="1"/>
    <col min="7" max="8" width="12.42578125" style="60" customWidth="1"/>
    <col min="9" max="9" width="12" style="60" customWidth="1"/>
    <col min="10" max="10" width="10.85546875" style="63" customWidth="1"/>
    <col min="11" max="11" width="3.7109375" style="60" customWidth="1"/>
    <col min="12" max="16384" width="11.5703125" style="60"/>
  </cols>
  <sheetData>
    <row r="1" spans="2:17" ht="10.5" customHeight="1" x14ac:dyDescent="0.25"/>
    <row r="2" spans="2:17" ht="10.5" customHeight="1" x14ac:dyDescent="0.25"/>
    <row r="3" spans="2:17" ht="15.75" x14ac:dyDescent="0.25">
      <c r="C3" s="232" t="s">
        <v>0</v>
      </c>
      <c r="D3" s="232"/>
      <c r="E3" s="232"/>
      <c r="F3" s="232"/>
      <c r="G3" s="232"/>
      <c r="H3" s="232"/>
      <c r="I3" s="232"/>
      <c r="J3" s="232"/>
      <c r="K3" s="4"/>
      <c r="L3" s="4"/>
      <c r="M3" s="4"/>
      <c r="N3" s="4"/>
      <c r="O3" s="4"/>
      <c r="P3" s="4"/>
      <c r="Q3" s="4"/>
    </row>
    <row r="4" spans="2:17" x14ac:dyDescent="0.25">
      <c r="B4" s="233" t="s">
        <v>1</v>
      </c>
      <c r="C4" s="242"/>
      <c r="D4" s="242"/>
      <c r="E4" s="242"/>
      <c r="F4" s="242"/>
      <c r="G4" s="242"/>
      <c r="H4" s="242"/>
      <c r="I4" s="242"/>
      <c r="J4" s="242"/>
      <c r="K4" s="242"/>
      <c r="L4" s="4"/>
      <c r="M4" s="4"/>
      <c r="N4" s="4"/>
      <c r="O4" s="4"/>
      <c r="P4" s="4"/>
      <c r="Q4" s="4"/>
    </row>
    <row r="5" spans="2:17" x14ac:dyDescent="0.25">
      <c r="C5" s="220"/>
      <c r="D5" s="4"/>
      <c r="E5" s="4"/>
      <c r="F5" s="3"/>
      <c r="G5" s="4"/>
      <c r="H5" s="4"/>
      <c r="I5" s="4"/>
      <c r="J5" s="3"/>
      <c r="K5" s="4"/>
      <c r="L5" s="4"/>
      <c r="M5" s="4"/>
      <c r="N5" s="4"/>
      <c r="O5" s="4"/>
      <c r="P5" s="4"/>
      <c r="Q5" s="4"/>
    </row>
    <row r="6" spans="2:17" ht="15.75" x14ac:dyDescent="0.25">
      <c r="C6" s="64" t="s">
        <v>27</v>
      </c>
      <c r="D6" s="65"/>
      <c r="E6" s="65"/>
      <c r="F6" s="66"/>
    </row>
    <row r="7" spans="2:17" x14ac:dyDescent="0.25">
      <c r="C7" s="67" t="s">
        <v>28</v>
      </c>
      <c r="D7" s="68"/>
      <c r="E7" s="68"/>
      <c r="F7" s="69"/>
    </row>
    <row r="8" spans="2:17" ht="27" customHeight="1" x14ac:dyDescent="0.25">
      <c r="C8" s="70"/>
      <c r="D8" s="243" t="s">
        <v>129</v>
      </c>
      <c r="E8" s="244"/>
      <c r="F8" s="244"/>
      <c r="G8" s="245" t="s">
        <v>130</v>
      </c>
      <c r="H8" s="246"/>
      <c r="I8" s="246"/>
      <c r="J8" s="247"/>
    </row>
    <row r="9" spans="2:17" ht="25.5" customHeight="1" x14ac:dyDescent="0.25">
      <c r="C9" s="71" t="s">
        <v>29</v>
      </c>
      <c r="D9" s="96">
        <v>2025</v>
      </c>
      <c r="E9" s="95">
        <v>2026</v>
      </c>
      <c r="F9" s="137" t="s">
        <v>24</v>
      </c>
      <c r="G9" s="96">
        <v>2025</v>
      </c>
      <c r="H9" s="95">
        <v>2026</v>
      </c>
      <c r="I9" s="137" t="s">
        <v>24</v>
      </c>
      <c r="J9" s="138" t="s">
        <v>30</v>
      </c>
    </row>
    <row r="10" spans="2:17" ht="6.75" customHeight="1" x14ac:dyDescent="0.25">
      <c r="D10" s="63"/>
      <c r="E10" s="63"/>
      <c r="F10" s="63"/>
      <c r="G10" s="63"/>
      <c r="H10" s="63"/>
      <c r="I10" s="63"/>
    </row>
    <row r="11" spans="2:17" x14ac:dyDescent="0.25">
      <c r="C11" s="72" t="s">
        <v>31</v>
      </c>
      <c r="D11" s="106">
        <f>SUM(D12:D22)</f>
        <v>220272.94308459299</v>
      </c>
      <c r="E11" s="97">
        <f>SUM(E12:E22)</f>
        <v>230069.712875</v>
      </c>
      <c r="F11" s="107">
        <f t="shared" ref="F11:F74" si="0">(E11-D11)/D11</f>
        <v>4.4475593112880345E-2</v>
      </c>
      <c r="G11" s="106">
        <f>SUM(G12:G22)</f>
        <v>886773.63975380396</v>
      </c>
      <c r="H11" s="97">
        <f>SUM(H12:H22)</f>
        <v>918284.09920923656</v>
      </c>
      <c r="I11" s="107">
        <f t="shared" ref="I11:I74" si="1">(H11-G11)/G11</f>
        <v>3.5533825141871485E-2</v>
      </c>
      <c r="J11" s="108">
        <f>SUM(J12:J22)</f>
        <v>0.99999999999999989</v>
      </c>
    </row>
    <row r="12" spans="2:17" x14ac:dyDescent="0.25">
      <c r="B12" s="180"/>
      <c r="C12" s="207" t="s">
        <v>34</v>
      </c>
      <c r="D12" s="101">
        <v>20738.689242099998</v>
      </c>
      <c r="E12" s="101">
        <v>41973.490758</v>
      </c>
      <c r="F12" s="109">
        <f t="shared" si="0"/>
        <v>1.0239220650836933</v>
      </c>
      <c r="G12" s="101">
        <v>118512.89828570999</v>
      </c>
      <c r="H12" s="101">
        <v>180483.74347270001</v>
      </c>
      <c r="I12" s="110">
        <f t="shared" si="1"/>
        <v>0.52290380273707571</v>
      </c>
      <c r="J12" s="111">
        <f>(H12/$H$11)</f>
        <v>0.19654455917087127</v>
      </c>
    </row>
    <row r="13" spans="2:17" x14ac:dyDescent="0.25">
      <c r="B13" s="180"/>
      <c r="C13" s="208" t="s">
        <v>33</v>
      </c>
      <c r="D13" s="101">
        <v>39587.733445999998</v>
      </c>
      <c r="E13" s="101">
        <v>38357.404763999999</v>
      </c>
      <c r="F13" s="112">
        <f t="shared" si="0"/>
        <v>-3.1078533043025568E-2</v>
      </c>
      <c r="G13" s="101">
        <v>135321.03842599998</v>
      </c>
      <c r="H13" s="101">
        <v>139362.16997399999</v>
      </c>
      <c r="I13" s="110">
        <f t="shared" si="1"/>
        <v>2.9863290993069707E-2</v>
      </c>
      <c r="J13" s="113">
        <f t="shared" ref="J13:J22" si="2">(H13/$H$11)</f>
        <v>0.1517636754181077</v>
      </c>
    </row>
    <row r="14" spans="2:17" x14ac:dyDescent="0.25">
      <c r="B14" s="180"/>
      <c r="C14" s="208" t="s">
        <v>72</v>
      </c>
      <c r="D14" s="101">
        <v>35519.699569499993</v>
      </c>
      <c r="E14" s="101">
        <v>31796.517443000001</v>
      </c>
      <c r="F14" s="112">
        <f t="shared" si="0"/>
        <v>-0.1048202032006208</v>
      </c>
      <c r="G14" s="101">
        <v>135666.35379319999</v>
      </c>
      <c r="H14" s="101">
        <v>129621.99214639999</v>
      </c>
      <c r="I14" s="110">
        <f t="shared" si="1"/>
        <v>-4.4553136999713173E-2</v>
      </c>
      <c r="J14" s="113">
        <f t="shared" si="2"/>
        <v>0.14115674251358767</v>
      </c>
    </row>
    <row r="15" spans="2:17" x14ac:dyDescent="0.25">
      <c r="B15" s="180"/>
      <c r="C15" s="208" t="s">
        <v>32</v>
      </c>
      <c r="D15" s="101">
        <v>34964.190170642003</v>
      </c>
      <c r="E15" s="101">
        <v>31377.627607000002</v>
      </c>
      <c r="F15" s="112">
        <f t="shared" si="0"/>
        <v>-0.10257816772354392</v>
      </c>
      <c r="G15" s="101">
        <v>140058.37086536002</v>
      </c>
      <c r="H15" s="101">
        <v>126192.93854803201</v>
      </c>
      <c r="I15" s="110">
        <f t="shared" si="1"/>
        <v>-9.8997526757304916E-2</v>
      </c>
      <c r="J15" s="113">
        <f t="shared" si="2"/>
        <v>0.13742254565520706</v>
      </c>
    </row>
    <row r="16" spans="2:17" x14ac:dyDescent="0.25">
      <c r="B16" s="180"/>
      <c r="C16" s="208" t="s">
        <v>35</v>
      </c>
      <c r="D16" s="101">
        <v>22368.553053</v>
      </c>
      <c r="E16" s="101">
        <v>24903.349141999999</v>
      </c>
      <c r="F16" s="112">
        <f t="shared" si="0"/>
        <v>0.1133196270225463</v>
      </c>
      <c r="G16" s="101">
        <v>102318.7082347729</v>
      </c>
      <c r="H16" s="101">
        <v>98312.292106646986</v>
      </c>
      <c r="I16" s="110">
        <f t="shared" si="1"/>
        <v>-3.9156242267377829E-2</v>
      </c>
      <c r="J16" s="113">
        <f t="shared" si="2"/>
        <v>0.10706086731906476</v>
      </c>
    </row>
    <row r="17" spans="2:10" x14ac:dyDescent="0.25">
      <c r="B17" s="180"/>
      <c r="C17" s="208" t="s">
        <v>36</v>
      </c>
      <c r="D17" s="101">
        <v>24811.248908000001</v>
      </c>
      <c r="E17" s="101">
        <v>18255.773228999999</v>
      </c>
      <c r="F17" s="112">
        <f t="shared" si="0"/>
        <v>-0.26421385329322505</v>
      </c>
      <c r="G17" s="101">
        <v>79614.246237999992</v>
      </c>
      <c r="H17" s="101">
        <v>73595.394040000014</v>
      </c>
      <c r="I17" s="110">
        <f t="shared" si="1"/>
        <v>-7.5600190699628478E-2</v>
      </c>
      <c r="J17" s="113">
        <f t="shared" si="2"/>
        <v>8.0144471741779397E-2</v>
      </c>
    </row>
    <row r="18" spans="2:10" x14ac:dyDescent="0.25">
      <c r="B18" s="180"/>
      <c r="C18" s="208" t="s">
        <v>61</v>
      </c>
      <c r="D18" s="101">
        <v>10174.80810941</v>
      </c>
      <c r="E18" s="101">
        <v>9052.4326829999991</v>
      </c>
      <c r="F18" s="112">
        <f t="shared" si="0"/>
        <v>-0.11030924753971436</v>
      </c>
      <c r="G18" s="101">
        <v>45130.285512059992</v>
      </c>
      <c r="H18" s="101">
        <v>34623.362718649994</v>
      </c>
      <c r="I18" s="110">
        <f t="shared" si="1"/>
        <v>-0.23281312480512167</v>
      </c>
      <c r="J18" s="113">
        <f t="shared" si="2"/>
        <v>3.7704412772109702E-2</v>
      </c>
    </row>
    <row r="19" spans="2:10" x14ac:dyDescent="0.25">
      <c r="B19" s="180"/>
      <c r="C19" s="208" t="s">
        <v>37</v>
      </c>
      <c r="D19" s="101">
        <v>5622.9336240000002</v>
      </c>
      <c r="E19" s="101">
        <v>7455.5566800000006</v>
      </c>
      <c r="F19" s="112">
        <f t="shared" si="0"/>
        <v>0.32591938275385912</v>
      </c>
      <c r="G19" s="101">
        <v>27750.052764</v>
      </c>
      <c r="H19" s="101">
        <v>31391.251336400001</v>
      </c>
      <c r="I19" s="110">
        <f t="shared" si="1"/>
        <v>0.13121411347814477</v>
      </c>
      <c r="J19" s="113">
        <f t="shared" si="2"/>
        <v>3.4184683545573746E-2</v>
      </c>
    </row>
    <row r="20" spans="2:10" x14ac:dyDescent="0.25">
      <c r="B20" s="180"/>
      <c r="C20" s="208" t="s">
        <v>38</v>
      </c>
      <c r="D20" s="101">
        <v>7710.0013124999996</v>
      </c>
      <c r="E20" s="101">
        <v>7271.8640750000004</v>
      </c>
      <c r="F20" s="112">
        <f t="shared" si="0"/>
        <v>-5.6827128782670905E-2</v>
      </c>
      <c r="G20" s="101">
        <v>28003.325780750001</v>
      </c>
      <c r="H20" s="101">
        <v>27844.578269940001</v>
      </c>
      <c r="I20" s="110">
        <f t="shared" si="1"/>
        <v>-5.6688806198557538E-3</v>
      </c>
      <c r="J20" s="113">
        <f t="shared" si="2"/>
        <v>3.0322400544578576E-2</v>
      </c>
    </row>
    <row r="21" spans="2:10" x14ac:dyDescent="0.25">
      <c r="B21" s="180"/>
      <c r="C21" s="208" t="s">
        <v>39</v>
      </c>
      <c r="D21" s="101">
        <v>4208.0062146</v>
      </c>
      <c r="E21" s="101">
        <v>4068.1904909999998</v>
      </c>
      <c r="F21" s="112">
        <f t="shared" si="0"/>
        <v>-3.3226120986917469E-2</v>
      </c>
      <c r="G21" s="101">
        <v>16270.616069200001</v>
      </c>
      <c r="H21" s="101">
        <v>15086.790127599999</v>
      </c>
      <c r="I21" s="110">
        <f t="shared" si="1"/>
        <v>-7.2758519810504546E-2</v>
      </c>
      <c r="J21" s="113">
        <f t="shared" si="2"/>
        <v>1.6429327416854666E-2</v>
      </c>
    </row>
    <row r="22" spans="2:10" x14ac:dyDescent="0.2">
      <c r="B22" s="180"/>
      <c r="C22" s="209" t="s">
        <v>137</v>
      </c>
      <c r="D22" s="101">
        <v>14567.079434841004</v>
      </c>
      <c r="E22" s="101">
        <v>15557.506002999999</v>
      </c>
      <c r="F22" s="114">
        <f t="shared" si="0"/>
        <v>6.7990743964100944E-2</v>
      </c>
      <c r="G22" s="101">
        <v>58127.743784751001</v>
      </c>
      <c r="H22" s="101">
        <v>61769.586468867506</v>
      </c>
      <c r="I22" s="110">
        <f t="shared" si="1"/>
        <v>6.2652400506071113E-2</v>
      </c>
      <c r="J22" s="123">
        <f t="shared" si="2"/>
        <v>6.7266313902265382E-2</v>
      </c>
    </row>
    <row r="23" spans="2:10" x14ac:dyDescent="0.25">
      <c r="B23" s="180"/>
      <c r="C23" s="179" t="s">
        <v>40</v>
      </c>
      <c r="D23" s="106">
        <f>SUM(D24:D34)</f>
        <v>9041270.9746690243</v>
      </c>
      <c r="E23" s="97">
        <f>SUM(E24:E34)</f>
        <v>8490035.7881099973</v>
      </c>
      <c r="F23" s="107">
        <f t="shared" si="0"/>
        <v>-6.0968771769303841E-2</v>
      </c>
      <c r="G23" s="106">
        <f>SUM(G24:G34)</f>
        <v>34655941.45531676</v>
      </c>
      <c r="H23" s="97">
        <f>SUM(H24:H34)</f>
        <v>33242733.483660184</v>
      </c>
      <c r="I23" s="107">
        <f t="shared" si="1"/>
        <v>-4.077823058071238E-2</v>
      </c>
      <c r="J23" s="108">
        <f>SUM(J24:J34)</f>
        <v>1</v>
      </c>
    </row>
    <row r="24" spans="2:10" x14ac:dyDescent="0.25">
      <c r="B24" s="180"/>
      <c r="C24" s="210" t="s">
        <v>41</v>
      </c>
      <c r="D24" s="101">
        <v>1197685.6606000001</v>
      </c>
      <c r="E24" s="101">
        <v>1327072.3333000001</v>
      </c>
      <c r="F24" s="109">
        <f t="shared" si="0"/>
        <v>0.10803057676684685</v>
      </c>
      <c r="G24" s="101">
        <v>4460417.8580999998</v>
      </c>
      <c r="H24" s="101">
        <v>5799253.7685000002</v>
      </c>
      <c r="I24" s="109">
        <f t="shared" si="1"/>
        <v>0.3001593018843986</v>
      </c>
      <c r="J24" s="111">
        <f>(H24/$H$23)</f>
        <v>0.17445177218505542</v>
      </c>
    </row>
    <row r="25" spans="2:10" x14ac:dyDescent="0.25">
      <c r="B25" s="180"/>
      <c r="C25" s="211" t="s">
        <v>42</v>
      </c>
      <c r="D25" s="101">
        <v>731217.34519000002</v>
      </c>
      <c r="E25" s="101">
        <v>662216.4804</v>
      </c>
      <c r="F25" s="112">
        <f t="shared" si="0"/>
        <v>-9.4364370927320917E-2</v>
      </c>
      <c r="G25" s="101">
        <v>2923522.16065</v>
      </c>
      <c r="H25" s="101">
        <v>2608760.3788100001</v>
      </c>
      <c r="I25" s="112">
        <f t="shared" si="1"/>
        <v>-0.10766526283830782</v>
      </c>
      <c r="J25" s="113">
        <f t="shared" ref="J25:J34" si="3">(H25/$H$23)</f>
        <v>7.8476109074853473E-2</v>
      </c>
    </row>
    <row r="26" spans="2:10" x14ac:dyDescent="0.25">
      <c r="B26" s="180"/>
      <c r="C26" s="211" t="s">
        <v>44</v>
      </c>
      <c r="D26" s="101">
        <v>466087.446</v>
      </c>
      <c r="E26" s="101">
        <v>447945.60600000003</v>
      </c>
      <c r="F26" s="112">
        <f t="shared" si="0"/>
        <v>-3.8923683003467907E-2</v>
      </c>
      <c r="G26" s="101">
        <v>1778156.064</v>
      </c>
      <c r="H26" s="101">
        <v>1616620.7609999999</v>
      </c>
      <c r="I26" s="112">
        <f t="shared" si="1"/>
        <v>-9.0844277547057914E-2</v>
      </c>
      <c r="J26" s="113">
        <f t="shared" si="3"/>
        <v>4.8630801128150859E-2</v>
      </c>
    </row>
    <row r="27" spans="2:10" x14ac:dyDescent="0.25">
      <c r="B27" s="180"/>
      <c r="C27" s="211" t="s">
        <v>45</v>
      </c>
      <c r="D27" s="101">
        <v>397146.321</v>
      </c>
      <c r="E27" s="101">
        <v>408485.86</v>
      </c>
      <c r="F27" s="112">
        <f t="shared" si="0"/>
        <v>2.8552547009493737E-2</v>
      </c>
      <c r="G27" s="101">
        <v>1699267.777</v>
      </c>
      <c r="H27" s="101">
        <v>1469472.2650000001</v>
      </c>
      <c r="I27" s="112">
        <f t="shared" si="1"/>
        <v>-0.13523207766918061</v>
      </c>
      <c r="J27" s="113">
        <f t="shared" si="3"/>
        <v>4.4204315079031949E-2</v>
      </c>
    </row>
    <row r="28" spans="2:10" x14ac:dyDescent="0.25">
      <c r="B28" s="180"/>
      <c r="C28" s="211" t="s">
        <v>47</v>
      </c>
      <c r="D28" s="101">
        <v>368633.547491337</v>
      </c>
      <c r="E28" s="101">
        <v>284990.72747899999</v>
      </c>
      <c r="F28" s="112">
        <f t="shared" si="0"/>
        <v>-0.22689964215560884</v>
      </c>
      <c r="G28" s="101">
        <v>1322861.033534948</v>
      </c>
      <c r="H28" s="101">
        <v>1356446.9768133382</v>
      </c>
      <c r="I28" s="112">
        <f t="shared" si="1"/>
        <v>2.53888673314701E-2</v>
      </c>
      <c r="J28" s="113">
        <f t="shared" si="3"/>
        <v>4.0804315249228021E-2</v>
      </c>
    </row>
    <row r="29" spans="2:10" x14ac:dyDescent="0.25">
      <c r="B29" s="180"/>
      <c r="C29" s="211" t="s">
        <v>49</v>
      </c>
      <c r="D29" s="101">
        <v>254787.51332448001</v>
      </c>
      <c r="E29" s="101">
        <v>340501.72692400002</v>
      </c>
      <c r="F29" s="112">
        <f t="shared" si="0"/>
        <v>0.33641449881556884</v>
      </c>
      <c r="G29" s="101">
        <v>1105627.0168882951</v>
      </c>
      <c r="H29" s="101">
        <v>1334039.900060572</v>
      </c>
      <c r="I29" s="112">
        <f t="shared" si="1"/>
        <v>0.20659126421777205</v>
      </c>
      <c r="J29" s="113">
        <f t="shared" si="3"/>
        <v>4.0130270897135854E-2</v>
      </c>
    </row>
    <row r="30" spans="2:10" x14ac:dyDescent="0.25">
      <c r="B30" s="180"/>
      <c r="C30" s="211" t="s">
        <v>46</v>
      </c>
      <c r="D30" s="101">
        <v>407281.22</v>
      </c>
      <c r="E30" s="101">
        <v>294351.84000000003</v>
      </c>
      <c r="F30" s="112">
        <f t="shared" si="0"/>
        <v>-0.27727617787041581</v>
      </c>
      <c r="G30" s="101">
        <v>1489012.91</v>
      </c>
      <c r="H30" s="101">
        <v>1307136</v>
      </c>
      <c r="I30" s="112">
        <f t="shared" si="1"/>
        <v>-0.12214595909715781</v>
      </c>
      <c r="J30" s="113">
        <f t="shared" si="3"/>
        <v>3.9320954176120838E-2</v>
      </c>
    </row>
    <row r="31" spans="2:10" x14ac:dyDescent="0.25">
      <c r="B31" s="180"/>
      <c r="C31" s="211" t="s">
        <v>48</v>
      </c>
      <c r="D31" s="101">
        <v>296149.70033999998</v>
      </c>
      <c r="E31" s="101">
        <v>228458.94929700001</v>
      </c>
      <c r="F31" s="112">
        <f t="shared" si="0"/>
        <v>-0.22856937206178626</v>
      </c>
      <c r="G31" s="101">
        <v>1220872.146101</v>
      </c>
      <c r="H31" s="101">
        <v>1067883.1994050001</v>
      </c>
      <c r="I31" s="112">
        <f t="shared" si="1"/>
        <v>-0.12531119428401105</v>
      </c>
      <c r="J31" s="113">
        <f t="shared" si="3"/>
        <v>3.212380834836874E-2</v>
      </c>
    </row>
    <row r="32" spans="2:10" x14ac:dyDescent="0.25">
      <c r="B32" s="180"/>
      <c r="C32" s="211" t="s">
        <v>33</v>
      </c>
      <c r="D32" s="101">
        <v>295243.33100000001</v>
      </c>
      <c r="E32" s="101">
        <v>231250.4088</v>
      </c>
      <c r="F32" s="112">
        <f t="shared" si="0"/>
        <v>-0.21674637656760484</v>
      </c>
      <c r="G32" s="101">
        <v>892727.44339999999</v>
      </c>
      <c r="H32" s="101">
        <v>994414.82980000007</v>
      </c>
      <c r="I32" s="112">
        <f t="shared" si="1"/>
        <v>0.11390641920082377</v>
      </c>
      <c r="J32" s="113">
        <f t="shared" si="3"/>
        <v>2.9913750332498535E-2</v>
      </c>
    </row>
    <row r="33" spans="2:10" x14ac:dyDescent="0.25">
      <c r="B33" s="180"/>
      <c r="C33" s="211" t="s">
        <v>138</v>
      </c>
      <c r="D33" s="101">
        <v>256777.25738</v>
      </c>
      <c r="E33" s="101">
        <v>273725.686239</v>
      </c>
      <c r="F33" s="112">
        <f t="shared" si="0"/>
        <v>6.6004400202461608E-2</v>
      </c>
      <c r="G33" s="101">
        <v>873223.70529599988</v>
      </c>
      <c r="H33" s="101">
        <v>978410.09187599993</v>
      </c>
      <c r="I33" s="112">
        <f t="shared" si="1"/>
        <v>0.12045754821136541</v>
      </c>
      <c r="J33" s="113">
        <f t="shared" si="3"/>
        <v>2.9432299613896623E-2</v>
      </c>
    </row>
    <row r="34" spans="2:10" x14ac:dyDescent="0.2">
      <c r="B34" s="180"/>
      <c r="C34" s="212" t="s">
        <v>139</v>
      </c>
      <c r="D34" s="101">
        <v>4370261.6323432075</v>
      </c>
      <c r="E34" s="101">
        <v>3991036.1696709972</v>
      </c>
      <c r="F34" s="116">
        <f t="shared" si="0"/>
        <v>-8.6774086902637132E-2</v>
      </c>
      <c r="G34" s="101">
        <v>16890253.340346519</v>
      </c>
      <c r="H34" s="101">
        <v>14710295.312395273</v>
      </c>
      <c r="I34" s="116">
        <f t="shared" si="1"/>
        <v>-0.12906603495069438</v>
      </c>
      <c r="J34" s="123">
        <f t="shared" si="3"/>
        <v>0.44251160391565969</v>
      </c>
    </row>
    <row r="35" spans="2:10" x14ac:dyDescent="0.25">
      <c r="C35" s="75" t="s">
        <v>50</v>
      </c>
      <c r="D35" s="106">
        <f>SUM(D36:D46)</f>
        <v>137794.98817215199</v>
      </c>
      <c r="E35" s="97">
        <f>SUM(E36:E46)</f>
        <v>109969.579956</v>
      </c>
      <c r="F35" s="107">
        <f t="shared" si="0"/>
        <v>-0.20193338368293015</v>
      </c>
      <c r="G35" s="106">
        <f>SUM(G36:G46)</f>
        <v>459140.964229398</v>
      </c>
      <c r="H35" s="97">
        <f>SUM(H36:H46)</f>
        <v>437816.68053100194</v>
      </c>
      <c r="I35" s="107">
        <f t="shared" si="1"/>
        <v>-4.6443870967134891E-2</v>
      </c>
      <c r="J35" s="108">
        <f>SUM(J36:J46)</f>
        <v>1.0000000000000002</v>
      </c>
    </row>
    <row r="36" spans="2:10" x14ac:dyDescent="0.25">
      <c r="B36" s="180"/>
      <c r="C36" s="210" t="s">
        <v>34</v>
      </c>
      <c r="D36" s="101">
        <v>52553.540034500002</v>
      </c>
      <c r="E36" s="101">
        <v>29573.576395999997</v>
      </c>
      <c r="F36" s="109">
        <f t="shared" si="0"/>
        <v>-0.43726766309965553</v>
      </c>
      <c r="G36" s="101">
        <v>156142.20429735002</v>
      </c>
      <c r="H36" s="101">
        <v>112582.03728309998</v>
      </c>
      <c r="I36" s="119">
        <f t="shared" si="1"/>
        <v>-0.27897753339831211</v>
      </c>
      <c r="J36" s="120">
        <f>(H36/$H$35)</f>
        <v>0.25714423933449931</v>
      </c>
    </row>
    <row r="37" spans="2:10" x14ac:dyDescent="0.25">
      <c r="B37" s="180"/>
      <c r="C37" s="211" t="s">
        <v>51</v>
      </c>
      <c r="D37" s="101">
        <v>14160.183708998</v>
      </c>
      <c r="E37" s="101">
        <v>12585.555154</v>
      </c>
      <c r="F37" s="112">
        <f t="shared" si="0"/>
        <v>-0.1112011388663985</v>
      </c>
      <c r="G37" s="101">
        <v>54558.758121139996</v>
      </c>
      <c r="H37" s="101">
        <v>47794.425784530002</v>
      </c>
      <c r="I37" s="121">
        <f t="shared" si="1"/>
        <v>-0.12398252030573628</v>
      </c>
      <c r="J37" s="122">
        <f t="shared" ref="J37:J46" si="4">(H37/$H$35)</f>
        <v>0.10916538338960263</v>
      </c>
    </row>
    <row r="38" spans="2:10" x14ac:dyDescent="0.25">
      <c r="B38" s="180"/>
      <c r="C38" s="211" t="s">
        <v>52</v>
      </c>
      <c r="D38" s="101">
        <v>8766.2867000000006</v>
      </c>
      <c r="E38" s="101">
        <v>7135.0985000000001</v>
      </c>
      <c r="F38" s="112">
        <f t="shared" si="0"/>
        <v>-0.18607515996482302</v>
      </c>
      <c r="G38" s="101">
        <v>27268.590899999999</v>
      </c>
      <c r="H38" s="101">
        <v>30320.283499999998</v>
      </c>
      <c r="I38" s="121">
        <f t="shared" si="1"/>
        <v>0.11191236874656396</v>
      </c>
      <c r="J38" s="122">
        <f t="shared" si="4"/>
        <v>6.9253376694616384E-2</v>
      </c>
    </row>
    <row r="39" spans="2:10" x14ac:dyDescent="0.25">
      <c r="B39" s="180"/>
      <c r="C39" s="211" t="s">
        <v>54</v>
      </c>
      <c r="D39" s="101">
        <v>5923.5563999999995</v>
      </c>
      <c r="E39" s="101">
        <v>3546.9901479999999</v>
      </c>
      <c r="F39" s="112">
        <f t="shared" si="0"/>
        <v>-0.4012059802452459</v>
      </c>
      <c r="G39" s="101">
        <v>18225.609748000003</v>
      </c>
      <c r="H39" s="101">
        <v>23812.447914</v>
      </c>
      <c r="I39" s="121">
        <f t="shared" si="1"/>
        <v>0.30653779178022139</v>
      </c>
      <c r="J39" s="122">
        <f t="shared" si="4"/>
        <v>5.4389083314777528E-2</v>
      </c>
    </row>
    <row r="40" spans="2:10" x14ac:dyDescent="0.25">
      <c r="B40" s="180"/>
      <c r="C40" s="211" t="s">
        <v>36</v>
      </c>
      <c r="D40" s="101">
        <v>5348.6474340000004</v>
      </c>
      <c r="E40" s="101">
        <v>5909.1649109999998</v>
      </c>
      <c r="F40" s="121">
        <f t="shared" si="0"/>
        <v>0.10479611601185963</v>
      </c>
      <c r="G40" s="101">
        <v>15944.975321</v>
      </c>
      <c r="H40" s="101">
        <v>21220.320337000001</v>
      </c>
      <c r="I40" s="121">
        <f t="shared" si="1"/>
        <v>0.33084685989148049</v>
      </c>
      <c r="J40" s="122">
        <f t="shared" si="4"/>
        <v>4.8468505839620202E-2</v>
      </c>
    </row>
    <row r="41" spans="2:10" x14ac:dyDescent="0.25">
      <c r="B41" s="180"/>
      <c r="C41" s="211" t="s">
        <v>119</v>
      </c>
      <c r="D41" s="101">
        <v>5198.5259175000001</v>
      </c>
      <c r="E41" s="101">
        <v>3879.2070859999999</v>
      </c>
      <c r="F41" s="121">
        <f t="shared" si="0"/>
        <v>-0.25378710281288125</v>
      </c>
      <c r="G41" s="101">
        <v>12820.980923800002</v>
      </c>
      <c r="H41" s="101">
        <v>19859.032545499998</v>
      </c>
      <c r="I41" s="121">
        <f t="shared" si="1"/>
        <v>0.54894798327287375</v>
      </c>
      <c r="J41" s="224">
        <f t="shared" si="4"/>
        <v>4.5359241501292627E-2</v>
      </c>
    </row>
    <row r="42" spans="2:10" x14ac:dyDescent="0.25">
      <c r="B42" s="180"/>
      <c r="C42" s="211" t="s">
        <v>56</v>
      </c>
      <c r="D42" s="101">
        <v>4167.9170565000004</v>
      </c>
      <c r="E42" s="101">
        <v>4707.564969</v>
      </c>
      <c r="F42" s="121">
        <f t="shared" si="0"/>
        <v>0.12947664389299721</v>
      </c>
      <c r="G42" s="101">
        <v>16024.874030100002</v>
      </c>
      <c r="H42" s="101">
        <v>19541.0725031</v>
      </c>
      <c r="I42" s="121">
        <f t="shared" si="1"/>
        <v>0.21942128633244901</v>
      </c>
      <c r="J42" s="224">
        <f t="shared" si="4"/>
        <v>4.4633001372628815E-2</v>
      </c>
    </row>
    <row r="43" spans="2:10" x14ac:dyDescent="0.25">
      <c r="B43" s="180"/>
      <c r="C43" s="211" t="s">
        <v>57</v>
      </c>
      <c r="D43" s="101">
        <v>3391.58042901</v>
      </c>
      <c r="E43" s="101">
        <v>4840.1081599999998</v>
      </c>
      <c r="F43" s="121">
        <f t="shared" si="0"/>
        <v>0.42709520275561447</v>
      </c>
      <c r="G43" s="101">
        <v>13317.327207169999</v>
      </c>
      <c r="H43" s="101">
        <v>17143.580441099999</v>
      </c>
      <c r="I43" s="121">
        <f t="shared" si="1"/>
        <v>0.28731390123612488</v>
      </c>
      <c r="J43" s="122">
        <f t="shared" si="4"/>
        <v>3.9156983284208281E-2</v>
      </c>
    </row>
    <row r="44" spans="2:10" x14ac:dyDescent="0.25">
      <c r="B44" s="180"/>
      <c r="C44" s="211" t="s">
        <v>53</v>
      </c>
      <c r="D44" s="101">
        <v>5088.680292</v>
      </c>
      <c r="E44" s="101">
        <v>4206.6839319999999</v>
      </c>
      <c r="F44" s="121">
        <f t="shared" si="0"/>
        <v>-0.1733251667208493</v>
      </c>
      <c r="G44" s="101">
        <v>17693.076701999998</v>
      </c>
      <c r="H44" s="101">
        <v>14822.724902</v>
      </c>
      <c r="I44" s="121">
        <f t="shared" si="1"/>
        <v>-0.16223022419133798</v>
      </c>
      <c r="J44" s="122">
        <f t="shared" si="4"/>
        <v>3.385600768801772E-2</v>
      </c>
    </row>
    <row r="45" spans="2:10" x14ac:dyDescent="0.25">
      <c r="B45" s="180"/>
      <c r="C45" s="211" t="s">
        <v>121</v>
      </c>
      <c r="D45" s="101">
        <v>3260.6465542000001</v>
      </c>
      <c r="E45" s="101">
        <v>3036.5857590000001</v>
      </c>
      <c r="F45" s="121">
        <f t="shared" si="0"/>
        <v>-6.871667673130348E-2</v>
      </c>
      <c r="G45" s="101">
        <v>14573.2369457</v>
      </c>
      <c r="H45" s="101">
        <v>14337.3918686</v>
      </c>
      <c r="I45" s="121">
        <f t="shared" si="1"/>
        <v>-1.6183438036364975E-2</v>
      </c>
      <c r="J45" s="122">
        <f t="shared" si="4"/>
        <v>3.274747744012637E-2</v>
      </c>
    </row>
    <row r="46" spans="2:10" x14ac:dyDescent="0.2">
      <c r="B46" s="180"/>
      <c r="C46" s="213" t="s">
        <v>140</v>
      </c>
      <c r="D46" s="101">
        <v>29935.423645443996</v>
      </c>
      <c r="E46" s="101">
        <v>30549.044940999996</v>
      </c>
      <c r="F46" s="116">
        <f>(E46-D46)/D46</f>
        <v>2.0498166413936491E-2</v>
      </c>
      <c r="G46" s="125">
        <v>112571.33003313799</v>
      </c>
      <c r="H46" s="125">
        <v>116383.36345207201</v>
      </c>
      <c r="I46" s="114">
        <f t="shared" si="1"/>
        <v>3.3863270673020036E-2</v>
      </c>
      <c r="J46" s="123">
        <f t="shared" si="4"/>
        <v>0.26582670014061027</v>
      </c>
    </row>
    <row r="47" spans="2:10" x14ac:dyDescent="0.25">
      <c r="B47" s="180"/>
      <c r="C47" s="182" t="s">
        <v>58</v>
      </c>
      <c r="D47" s="97">
        <f>SUM(D48:D58)</f>
        <v>317436.48710021924</v>
      </c>
      <c r="E47" s="97">
        <f>SUM(E48:E58)</f>
        <v>305459.82966600003</v>
      </c>
      <c r="F47" s="181">
        <f t="shared" si="0"/>
        <v>-3.772930309185913E-2</v>
      </c>
      <c r="G47" s="106">
        <f>SUM(G48:G58)</f>
        <v>1177273.0590031371</v>
      </c>
      <c r="H47" s="97">
        <f>SUM(H48:H58)</f>
        <v>1185083.6508904435</v>
      </c>
      <c r="I47" s="107">
        <f t="shared" si="1"/>
        <v>6.6344777259407317E-3</v>
      </c>
      <c r="J47" s="108">
        <f>SUM(J48:J58)</f>
        <v>1</v>
      </c>
    </row>
    <row r="48" spans="2:10" x14ac:dyDescent="0.25">
      <c r="B48" s="180"/>
      <c r="C48" s="207" t="s">
        <v>34</v>
      </c>
      <c r="D48" s="101">
        <v>47245.260235873306</v>
      </c>
      <c r="E48" s="101">
        <v>44633.963118999993</v>
      </c>
      <c r="F48" s="109">
        <f t="shared" si="0"/>
        <v>-5.5271091826700453E-2</v>
      </c>
      <c r="G48" s="101">
        <v>153450.56101171681</v>
      </c>
      <c r="H48" s="101">
        <v>193191.01624052538</v>
      </c>
      <c r="I48" s="112">
        <f t="shared" si="1"/>
        <v>0.25897888523049561</v>
      </c>
      <c r="J48" s="111">
        <f>(H48/$H$47)</f>
        <v>0.16301888570934742</v>
      </c>
    </row>
    <row r="49" spans="2:10" x14ac:dyDescent="0.25">
      <c r="B49" s="180"/>
      <c r="C49" s="208" t="s">
        <v>59</v>
      </c>
      <c r="D49" s="101">
        <v>29889.167596297902</v>
      </c>
      <c r="E49" s="101">
        <v>37010.681747999995</v>
      </c>
      <c r="F49" s="112">
        <f t="shared" si="0"/>
        <v>0.23826405097290732</v>
      </c>
      <c r="G49" s="101">
        <v>129172.57306625899</v>
      </c>
      <c r="H49" s="101">
        <v>138852.49862774657</v>
      </c>
      <c r="I49" s="112">
        <f t="shared" si="1"/>
        <v>7.4937932501524612E-2</v>
      </c>
      <c r="J49" s="113">
        <f t="shared" ref="J49:J58" si="5">(H49/$H$47)</f>
        <v>0.11716683334835995</v>
      </c>
    </row>
    <row r="50" spans="2:10" x14ac:dyDescent="0.25">
      <c r="B50" s="180"/>
      <c r="C50" s="208" t="s">
        <v>36</v>
      </c>
      <c r="D50" s="101">
        <v>24393.4787932379</v>
      </c>
      <c r="E50" s="101">
        <v>18587.905823000001</v>
      </c>
      <c r="F50" s="112">
        <f t="shared" si="0"/>
        <v>-0.23799692612302836</v>
      </c>
      <c r="G50" s="101">
        <v>76310.451470175394</v>
      </c>
      <c r="H50" s="101">
        <v>70508.759507798211</v>
      </c>
      <c r="I50" s="112">
        <f t="shared" si="1"/>
        <v>-7.6027488379421693E-2</v>
      </c>
      <c r="J50" s="113">
        <f t="shared" si="5"/>
        <v>5.949686290484188E-2</v>
      </c>
    </row>
    <row r="51" spans="2:10" x14ac:dyDescent="0.25">
      <c r="B51" s="180"/>
      <c r="C51" s="208" t="s">
        <v>33</v>
      </c>
      <c r="D51" s="101">
        <v>14692.9505726767</v>
      </c>
      <c r="E51" s="101">
        <v>13799.022729</v>
      </c>
      <c r="F51" s="112">
        <f t="shared" si="0"/>
        <v>-6.0840594219316695E-2</v>
      </c>
      <c r="G51" s="101">
        <v>47957.481649505899</v>
      </c>
      <c r="H51" s="101">
        <v>59641.823043118799</v>
      </c>
      <c r="I51" s="112">
        <f t="shared" si="1"/>
        <v>0.24363959473533536</v>
      </c>
      <c r="J51" s="113">
        <f t="shared" si="5"/>
        <v>5.0327099693178085E-2</v>
      </c>
    </row>
    <row r="52" spans="2:10" x14ac:dyDescent="0.25">
      <c r="B52" s="180"/>
      <c r="C52" s="208" t="s">
        <v>32</v>
      </c>
      <c r="D52" s="101">
        <v>15342.8970459963</v>
      </c>
      <c r="E52" s="101">
        <v>14871.983125999999</v>
      </c>
      <c r="F52" s="112">
        <f t="shared" si="0"/>
        <v>-3.0692633769525628E-2</v>
      </c>
      <c r="G52" s="101">
        <v>59044.9988313391</v>
      </c>
      <c r="H52" s="101">
        <v>56644.751414611594</v>
      </c>
      <c r="I52" s="112">
        <f t="shared" si="1"/>
        <v>-4.0651155292318102E-2</v>
      </c>
      <c r="J52" s="113">
        <f t="shared" si="5"/>
        <v>4.7798103848660879E-2</v>
      </c>
    </row>
    <row r="53" spans="2:10" x14ac:dyDescent="0.25">
      <c r="B53" s="180"/>
      <c r="C53" s="208" t="s">
        <v>51</v>
      </c>
      <c r="D53" s="101">
        <v>17128.034187645699</v>
      </c>
      <c r="E53" s="101">
        <v>14179.661104999999</v>
      </c>
      <c r="F53" s="112">
        <f t="shared" si="0"/>
        <v>-0.17213727216707303</v>
      </c>
      <c r="G53" s="101">
        <v>68893.534599702296</v>
      </c>
      <c r="H53" s="101">
        <v>53702.097974099896</v>
      </c>
      <c r="I53" s="112">
        <f t="shared" si="1"/>
        <v>-0.22050598381793646</v>
      </c>
      <c r="J53" s="113">
        <f t="shared" si="5"/>
        <v>4.5315027284149455E-2</v>
      </c>
    </row>
    <row r="54" spans="2:10" x14ac:dyDescent="0.25">
      <c r="B54" s="180"/>
      <c r="C54" s="208" t="s">
        <v>46</v>
      </c>
      <c r="D54" s="101">
        <v>16195.1901725883</v>
      </c>
      <c r="E54" s="101">
        <v>12948.838859</v>
      </c>
      <c r="F54" s="112">
        <f t="shared" si="0"/>
        <v>-0.20045157105243622</v>
      </c>
      <c r="G54" s="101">
        <v>61113.529116742298</v>
      </c>
      <c r="H54" s="101">
        <v>50597.6842434422</v>
      </c>
      <c r="I54" s="112">
        <f t="shared" si="1"/>
        <v>-0.17207065318077402</v>
      </c>
      <c r="J54" s="113">
        <f t="shared" si="5"/>
        <v>4.2695453781194527E-2</v>
      </c>
    </row>
    <row r="55" spans="2:10" x14ac:dyDescent="0.25">
      <c r="B55" s="180"/>
      <c r="C55" s="208" t="s">
        <v>60</v>
      </c>
      <c r="D55" s="101">
        <v>10536.357285805299</v>
      </c>
      <c r="E55" s="101">
        <v>10504.839969000001</v>
      </c>
      <c r="F55" s="112">
        <f t="shared" si="0"/>
        <v>-2.9912915773802891E-3</v>
      </c>
      <c r="G55" s="101">
        <v>41314.737840609298</v>
      </c>
      <c r="H55" s="101">
        <v>42101.455437101504</v>
      </c>
      <c r="I55" s="112">
        <f t="shared" si="1"/>
        <v>1.9042057086924601E-2</v>
      </c>
      <c r="J55" s="113">
        <f t="shared" si="5"/>
        <v>3.552614653443871E-2</v>
      </c>
    </row>
    <row r="56" spans="2:10" x14ac:dyDescent="0.25">
      <c r="B56" s="180"/>
      <c r="C56" s="208" t="s">
        <v>119</v>
      </c>
      <c r="D56" s="101">
        <v>11101.701417947899</v>
      </c>
      <c r="E56" s="101">
        <v>9584.5408779999998</v>
      </c>
      <c r="F56" s="112">
        <f t="shared" si="0"/>
        <v>-0.13666018232981264</v>
      </c>
      <c r="G56" s="101">
        <v>38483.366701302803</v>
      </c>
      <c r="H56" s="101">
        <v>40409.676410360204</v>
      </c>
      <c r="I56" s="112">
        <f t="shared" si="1"/>
        <v>5.005564414384224E-2</v>
      </c>
      <c r="J56" s="113">
        <f t="shared" si="5"/>
        <v>3.4098585682113949E-2</v>
      </c>
    </row>
    <row r="57" spans="2:10" x14ac:dyDescent="0.25">
      <c r="B57" s="180"/>
      <c r="C57" s="208" t="s">
        <v>53</v>
      </c>
      <c r="D57" s="101">
        <v>11870.813792026602</v>
      </c>
      <c r="E57" s="101">
        <v>11846.307352</v>
      </c>
      <c r="F57" s="112">
        <f t="shared" si="0"/>
        <v>-2.0644279706470022E-3</v>
      </c>
      <c r="G57" s="101">
        <v>43767.340413261496</v>
      </c>
      <c r="H57" s="101">
        <v>39329.008316664695</v>
      </c>
      <c r="I57" s="112">
        <f t="shared" si="1"/>
        <v>-0.10140739772371427</v>
      </c>
      <c r="J57" s="113">
        <f t="shared" si="5"/>
        <v>3.318669385668583E-2</v>
      </c>
    </row>
    <row r="58" spans="2:10" x14ac:dyDescent="0.2">
      <c r="B58" s="180"/>
      <c r="C58" s="209" t="s">
        <v>141</v>
      </c>
      <c r="D58" s="101">
        <v>119040.63600012337</v>
      </c>
      <c r="E58" s="101">
        <v>117492.08495800004</v>
      </c>
      <c r="F58" s="116">
        <f t="shared" si="0"/>
        <v>-1.3008591806597278E-2</v>
      </c>
      <c r="G58" s="101">
        <v>457764.48430252273</v>
      </c>
      <c r="H58" s="101">
        <v>440104.87967497442</v>
      </c>
      <c r="I58" s="114">
        <f t="shared" si="1"/>
        <v>-3.8577926495227205E-2</v>
      </c>
      <c r="J58" s="123">
        <f t="shared" si="5"/>
        <v>0.37137030735702931</v>
      </c>
    </row>
    <row r="59" spans="2:10" x14ac:dyDescent="0.25">
      <c r="C59" s="75" t="s">
        <v>62</v>
      </c>
      <c r="D59" s="106">
        <f>SUM(D60:D70)</f>
        <v>28750.084194299998</v>
      </c>
      <c r="E59" s="97">
        <f>SUM(E60:E70)</f>
        <v>23631.853858000002</v>
      </c>
      <c r="F59" s="107">
        <f t="shared" si="0"/>
        <v>-0.17802488165633748</v>
      </c>
      <c r="G59" s="106">
        <f>SUM(G60:G70)</f>
        <v>99480.105894389912</v>
      </c>
      <c r="H59" s="97">
        <f>SUM(H60:H70)</f>
        <v>91556.936551916006</v>
      </c>
      <c r="I59" s="107">
        <f t="shared" si="1"/>
        <v>-7.9645767073120155E-2</v>
      </c>
      <c r="J59" s="108">
        <f>SUM(J60:J70)</f>
        <v>1</v>
      </c>
    </row>
    <row r="60" spans="2:10" x14ac:dyDescent="0.25">
      <c r="B60" s="180"/>
      <c r="C60" s="210" t="s">
        <v>51</v>
      </c>
      <c r="D60" s="101">
        <v>2725.6570761040002</v>
      </c>
      <c r="E60" s="101">
        <v>2359.5559950000002</v>
      </c>
      <c r="F60" s="109">
        <f t="shared" si="0"/>
        <v>-0.13431663297398277</v>
      </c>
      <c r="G60" s="101">
        <v>9842.7175330969985</v>
      </c>
      <c r="H60" s="101">
        <v>8620.4773999040008</v>
      </c>
      <c r="I60" s="109">
        <f t="shared" si="1"/>
        <v>-0.12417710140345981</v>
      </c>
      <c r="J60" s="111">
        <f>(H60/$H$59)</f>
        <v>9.4154279561504184E-2</v>
      </c>
    </row>
    <row r="61" spans="2:10" x14ac:dyDescent="0.25">
      <c r="B61" s="180"/>
      <c r="C61" s="211" t="s">
        <v>53</v>
      </c>
      <c r="D61" s="101">
        <v>2717.9364480000004</v>
      </c>
      <c r="E61" s="101">
        <v>2099.8144890000003</v>
      </c>
      <c r="F61" s="112">
        <f t="shared" si="0"/>
        <v>-0.22742325688109685</v>
      </c>
      <c r="G61" s="101">
        <v>8895.2513490000001</v>
      </c>
      <c r="H61" s="101">
        <v>7391.0194879999999</v>
      </c>
      <c r="I61" s="112">
        <f t="shared" si="1"/>
        <v>-0.16910504290236894</v>
      </c>
      <c r="J61" s="113">
        <f t="shared" ref="J61:J70" si="6">(H61/$H$59)</f>
        <v>8.0725936956278915E-2</v>
      </c>
    </row>
    <row r="62" spans="2:10" x14ac:dyDescent="0.25">
      <c r="B62" s="180"/>
      <c r="C62" s="211" t="s">
        <v>59</v>
      </c>
      <c r="D62" s="101">
        <v>1737.2863105999998</v>
      </c>
      <c r="E62" s="101">
        <v>1651.9807020000001</v>
      </c>
      <c r="F62" s="112">
        <f t="shared" si="0"/>
        <v>-4.9102792141692539E-2</v>
      </c>
      <c r="G62" s="101">
        <v>6420.4721337999999</v>
      </c>
      <c r="H62" s="101">
        <v>7276.4568450999996</v>
      </c>
      <c r="I62" s="112">
        <f t="shared" si="1"/>
        <v>0.13332114733334716</v>
      </c>
      <c r="J62" s="190">
        <f t="shared" si="6"/>
        <v>7.9474664827541411E-2</v>
      </c>
    </row>
    <row r="63" spans="2:10" x14ac:dyDescent="0.25">
      <c r="B63" s="180"/>
      <c r="C63" s="211" t="s">
        <v>63</v>
      </c>
      <c r="D63" s="101">
        <v>1918.6534342000002</v>
      </c>
      <c r="E63" s="101">
        <v>2218.2767469999999</v>
      </c>
      <c r="F63" s="112">
        <f t="shared" si="0"/>
        <v>0.15616333177175915</v>
      </c>
      <c r="G63" s="101">
        <v>7316.7641704000007</v>
      </c>
      <c r="H63" s="101">
        <v>7262.9426340999999</v>
      </c>
      <c r="I63" s="112">
        <f t="shared" si="1"/>
        <v>-7.3559206018605997E-3</v>
      </c>
      <c r="J63" s="190">
        <f t="shared" si="6"/>
        <v>7.9327060380418646E-2</v>
      </c>
    </row>
    <row r="64" spans="2:10" x14ac:dyDescent="0.25">
      <c r="B64" s="180"/>
      <c r="C64" s="211" t="s">
        <v>55</v>
      </c>
      <c r="D64" s="101">
        <v>2183.6011016339999</v>
      </c>
      <c r="E64" s="101">
        <v>1615.1802640000003</v>
      </c>
      <c r="F64" s="112">
        <f t="shared" si="0"/>
        <v>-0.26031349645713558</v>
      </c>
      <c r="G64" s="101">
        <v>8566.0047199290002</v>
      </c>
      <c r="H64" s="101">
        <v>6130.6299084720004</v>
      </c>
      <c r="I64" s="112">
        <f t="shared" si="1"/>
        <v>-0.28430696585901316</v>
      </c>
      <c r="J64" s="113">
        <f t="shared" si="6"/>
        <v>6.6959753562699398E-2</v>
      </c>
    </row>
    <row r="65" spans="2:10" x14ac:dyDescent="0.25">
      <c r="B65" s="180"/>
      <c r="C65" s="211" t="s">
        <v>65</v>
      </c>
      <c r="D65" s="101">
        <v>1400.5065080000002</v>
      </c>
      <c r="E65" s="101">
        <v>1252.6449619999999</v>
      </c>
      <c r="F65" s="112">
        <f t="shared" si="0"/>
        <v>-0.10557719307649251</v>
      </c>
      <c r="G65" s="101">
        <v>5461.4619279999997</v>
      </c>
      <c r="H65" s="101">
        <v>4994.6305080000002</v>
      </c>
      <c r="I65" s="112">
        <f t="shared" si="1"/>
        <v>-8.5477373303040546E-2</v>
      </c>
      <c r="J65" s="113">
        <f t="shared" si="6"/>
        <v>5.4552180272740655E-2</v>
      </c>
    </row>
    <row r="66" spans="2:10" x14ac:dyDescent="0.25">
      <c r="B66" s="180"/>
      <c r="C66" s="211" t="s">
        <v>64</v>
      </c>
      <c r="D66" s="101">
        <v>1296.7315642000001</v>
      </c>
      <c r="E66" s="101">
        <v>1299.712293</v>
      </c>
      <c r="F66" s="112">
        <f t="shared" si="0"/>
        <v>2.2986475245081813E-3</v>
      </c>
      <c r="G66" s="101">
        <v>5813.5825934000004</v>
      </c>
      <c r="H66" s="101">
        <v>4506.7974981999996</v>
      </c>
      <c r="I66" s="112">
        <f t="shared" si="1"/>
        <v>-0.22478137606293885</v>
      </c>
      <c r="J66" s="113">
        <f t="shared" si="6"/>
        <v>4.9223987476301009E-2</v>
      </c>
    </row>
    <row r="67" spans="2:10" x14ac:dyDescent="0.25">
      <c r="B67" s="180"/>
      <c r="C67" s="211" t="s">
        <v>121</v>
      </c>
      <c r="D67" s="101">
        <v>1358.4280649</v>
      </c>
      <c r="E67" s="101">
        <v>1010.916139</v>
      </c>
      <c r="F67" s="112">
        <f t="shared" si="0"/>
        <v>-0.25581915957072182</v>
      </c>
      <c r="G67" s="101">
        <v>4878.8441819999998</v>
      </c>
      <c r="H67" s="101">
        <v>4330.2149558999999</v>
      </c>
      <c r="I67" s="112">
        <f t="shared" si="1"/>
        <v>-0.11245065544911471</v>
      </c>
      <c r="J67" s="113">
        <f t="shared" si="6"/>
        <v>4.7295323751298905E-2</v>
      </c>
    </row>
    <row r="68" spans="2:10" x14ac:dyDescent="0.25">
      <c r="B68" s="180"/>
      <c r="C68" s="211" t="s">
        <v>79</v>
      </c>
      <c r="D68" s="101">
        <v>1007.86756</v>
      </c>
      <c r="E68" s="101">
        <v>1185.2664300000001</v>
      </c>
      <c r="F68" s="112">
        <f t="shared" si="0"/>
        <v>0.17601406875323986</v>
      </c>
      <c r="G68" s="101">
        <v>3379.2898</v>
      </c>
      <c r="H68" s="101">
        <v>4254.0950530000009</v>
      </c>
      <c r="I68" s="112">
        <f t="shared" si="1"/>
        <v>0.25887251605352135</v>
      </c>
      <c r="J68" s="113">
        <f t="shared" si="6"/>
        <v>4.6463929585365486E-2</v>
      </c>
    </row>
    <row r="69" spans="2:10" x14ac:dyDescent="0.25">
      <c r="B69" s="180"/>
      <c r="C69" s="211" t="s">
        <v>60</v>
      </c>
      <c r="D69" s="101">
        <v>1113.7701978519999</v>
      </c>
      <c r="E69" s="101">
        <v>1037.7263050000001</v>
      </c>
      <c r="F69" s="112">
        <f t="shared" si="0"/>
        <v>-6.827610668579287E-2</v>
      </c>
      <c r="G69" s="101">
        <v>4816.2114651390002</v>
      </c>
      <c r="H69" s="101">
        <v>4074.93979859</v>
      </c>
      <c r="I69" s="112">
        <f t="shared" si="1"/>
        <v>-0.15391177732010286</v>
      </c>
      <c r="J69" s="113">
        <f t="shared" si="6"/>
        <v>4.4507166273298863E-2</v>
      </c>
    </row>
    <row r="70" spans="2:10" x14ac:dyDescent="0.2">
      <c r="B70" s="180"/>
      <c r="C70" s="212" t="s">
        <v>142</v>
      </c>
      <c r="D70" s="101">
        <v>11289.64592881</v>
      </c>
      <c r="E70" s="101">
        <v>7900.7795319999987</v>
      </c>
      <c r="F70" s="121">
        <f t="shared" si="0"/>
        <v>-0.30017472808088402</v>
      </c>
      <c r="G70" s="101">
        <v>34089.506019624911</v>
      </c>
      <c r="H70" s="101">
        <v>32714.732462650001</v>
      </c>
      <c r="I70" s="114">
        <f t="shared" si="1"/>
        <v>-4.0328350788757954E-2</v>
      </c>
      <c r="J70" s="123">
        <f t="shared" si="6"/>
        <v>0.35731571735255246</v>
      </c>
    </row>
    <row r="71" spans="2:10" x14ac:dyDescent="0.25">
      <c r="C71" s="75" t="s">
        <v>67</v>
      </c>
      <c r="D71" s="106">
        <f>SUM(D72:D73)</f>
        <v>1091388.6164500001</v>
      </c>
      <c r="E71" s="97">
        <f>SUM(E72:E73)</f>
        <v>1114153.7374539999</v>
      </c>
      <c r="F71" s="107">
        <f t="shared" si="0"/>
        <v>2.0858858761097204E-2</v>
      </c>
      <c r="G71" s="97">
        <f>SUM(G72:G73)</f>
        <v>4592961.2292859992</v>
      </c>
      <c r="H71" s="97">
        <f>SUM(H72:H73)</f>
        <v>4683028.426244</v>
      </c>
      <c r="I71" s="107">
        <f t="shared" si="1"/>
        <v>1.9609831753794753E-2</v>
      </c>
      <c r="J71" s="108">
        <f>SUM(J72:J73)</f>
        <v>1</v>
      </c>
    </row>
    <row r="72" spans="2:10" x14ac:dyDescent="0.25">
      <c r="B72" s="180"/>
      <c r="C72" s="210" t="s">
        <v>68</v>
      </c>
      <c r="D72" s="101">
        <v>1075390.3872</v>
      </c>
      <c r="E72" s="101">
        <v>1093400.551</v>
      </c>
      <c r="F72" s="109">
        <f t="shared" si="0"/>
        <v>1.6747558853388252E-2</v>
      </c>
      <c r="G72" s="101">
        <v>4521977.1187799992</v>
      </c>
      <c r="H72" s="101">
        <v>4598796.8162000002</v>
      </c>
      <c r="I72" s="109">
        <f t="shared" si="1"/>
        <v>1.6988077427673162E-2</v>
      </c>
      <c r="J72" s="111">
        <f>(H72/$H$71)</f>
        <v>0.98201343182715695</v>
      </c>
    </row>
    <row r="73" spans="2:10" x14ac:dyDescent="0.25">
      <c r="B73" s="180"/>
      <c r="C73" s="214" t="s">
        <v>54</v>
      </c>
      <c r="D73" s="101">
        <v>15998.22925</v>
      </c>
      <c r="E73" s="101">
        <v>20753.186453999999</v>
      </c>
      <c r="F73" s="114">
        <f t="shared" si="0"/>
        <v>0.29721771889223292</v>
      </c>
      <c r="G73" s="101">
        <v>70984.110505999997</v>
      </c>
      <c r="H73" s="101">
        <v>84231.610044000001</v>
      </c>
      <c r="I73" s="114">
        <f t="shared" si="1"/>
        <v>0.1866262666893635</v>
      </c>
      <c r="J73" s="115">
        <f>(H73/$H$71)</f>
        <v>1.7986568172843134E-2</v>
      </c>
    </row>
    <row r="74" spans="2:10" x14ac:dyDescent="0.25">
      <c r="B74" s="180"/>
      <c r="C74" s="182" t="s">
        <v>69</v>
      </c>
      <c r="D74" s="97">
        <f>SUM(D75:D75)</f>
        <v>2723.0601999999999</v>
      </c>
      <c r="E74" s="97">
        <f>SUM(E75:E75)</f>
        <v>3064.913102</v>
      </c>
      <c r="F74" s="107">
        <f t="shared" si="0"/>
        <v>0.12553997227090319</v>
      </c>
      <c r="G74" s="106">
        <f>SUM(G75:G75)</f>
        <v>10780.76744</v>
      </c>
      <c r="H74" s="97">
        <f>SUM(H75:H75)</f>
        <v>11057.710786</v>
      </c>
      <c r="I74" s="107">
        <f t="shared" si="1"/>
        <v>2.5688648562481192E-2</v>
      </c>
      <c r="J74" s="108">
        <f>SUM(J75:J75)</f>
        <v>1</v>
      </c>
    </row>
    <row r="75" spans="2:10" x14ac:dyDescent="0.25">
      <c r="C75" s="207" t="s">
        <v>70</v>
      </c>
      <c r="D75" s="99">
        <v>2723.0601999999999</v>
      </c>
      <c r="E75" s="99">
        <v>3064.913102</v>
      </c>
      <c r="F75" s="133">
        <f t="shared" ref="F75:F88" si="7">(E75-D75)/D75</f>
        <v>0.12553997227090319</v>
      </c>
      <c r="G75" s="98">
        <v>10780.76744</v>
      </c>
      <c r="H75" s="99">
        <v>11057.710786</v>
      </c>
      <c r="I75" s="109">
        <f t="shared" ref="I75:I88" si="8">(H75-G75)/G75</f>
        <v>2.5688648562481192E-2</v>
      </c>
      <c r="J75" s="111">
        <f>(H75/$H$74)</f>
        <v>1</v>
      </c>
    </row>
    <row r="76" spans="2:10" x14ac:dyDescent="0.25">
      <c r="C76" s="75" t="s">
        <v>71</v>
      </c>
      <c r="D76" s="106">
        <f>SUM(D77:D81)</f>
        <v>3212.9077212199995</v>
      </c>
      <c r="E76" s="97">
        <f>SUM(E77:E81)</f>
        <v>3178.8406869999999</v>
      </c>
      <c r="F76" s="107">
        <f t="shared" si="7"/>
        <v>-1.0603178546025519E-2</v>
      </c>
      <c r="G76" s="106">
        <f>SUM(G77:G81)</f>
        <v>13927.338194324098</v>
      </c>
      <c r="H76" s="97">
        <f>SUM(H77:H81)</f>
        <v>12902.320406512001</v>
      </c>
      <c r="I76" s="107">
        <f t="shared" si="8"/>
        <v>-7.3597536981605718E-2</v>
      </c>
      <c r="J76" s="108">
        <f>SUM(J77:J81)</f>
        <v>0.99999999999999978</v>
      </c>
    </row>
    <row r="77" spans="2:10" x14ac:dyDescent="0.25">
      <c r="B77" s="180"/>
      <c r="C77" s="207" t="s">
        <v>32</v>
      </c>
      <c r="D77" s="99">
        <v>1168.5389591999999</v>
      </c>
      <c r="E77" s="99">
        <v>948.01684699999998</v>
      </c>
      <c r="F77" s="109">
        <f t="shared" si="7"/>
        <v>-0.18871609753685303</v>
      </c>
      <c r="G77" s="98">
        <v>4666.6183922</v>
      </c>
      <c r="H77" s="99">
        <v>4597.6635171999997</v>
      </c>
      <c r="I77" s="109">
        <f t="shared" si="8"/>
        <v>-1.477619749565439E-2</v>
      </c>
      <c r="J77" s="111">
        <f>(H77/$H$76)</f>
        <v>0.35634392670015291</v>
      </c>
    </row>
    <row r="78" spans="2:10" x14ac:dyDescent="0.25">
      <c r="B78" s="180"/>
      <c r="C78" s="208" t="s">
        <v>72</v>
      </c>
      <c r="D78" s="101">
        <v>921.84973260000004</v>
      </c>
      <c r="E78" s="101">
        <v>961.35963300000003</v>
      </c>
      <c r="F78" s="112">
        <f t="shared" si="7"/>
        <v>4.2859371763948585E-2</v>
      </c>
      <c r="G78" s="100">
        <v>3578.5593177000001</v>
      </c>
      <c r="H78" s="101">
        <v>3693.9466335000002</v>
      </c>
      <c r="I78" s="112">
        <f t="shared" si="8"/>
        <v>3.224406962580726E-2</v>
      </c>
      <c r="J78" s="113">
        <f t="shared" ref="J78:J81" si="9">(H78/$H$76)</f>
        <v>0.28630095340335898</v>
      </c>
    </row>
    <row r="79" spans="2:10" x14ac:dyDescent="0.25">
      <c r="B79" s="180"/>
      <c r="C79" s="208" t="s">
        <v>35</v>
      </c>
      <c r="D79" s="101">
        <v>409.539264</v>
      </c>
      <c r="E79" s="101">
        <v>602.18621199999995</v>
      </c>
      <c r="F79" s="112">
        <f t="shared" si="7"/>
        <v>0.47039921427411646</v>
      </c>
      <c r="G79" s="128">
        <v>1653.5072071940999</v>
      </c>
      <c r="H79" s="129">
        <v>2093.2559021819998</v>
      </c>
      <c r="I79" s="112">
        <f t="shared" si="8"/>
        <v>0.26594906455480549</v>
      </c>
      <c r="J79" s="113">
        <f t="shared" si="9"/>
        <v>0.16223871646572202</v>
      </c>
    </row>
    <row r="80" spans="2:10" x14ac:dyDescent="0.25">
      <c r="B80" s="180"/>
      <c r="C80" s="208" t="s">
        <v>33</v>
      </c>
      <c r="D80" s="103">
        <v>249.46112099999999</v>
      </c>
      <c r="E80" s="101">
        <v>308.09692899999999</v>
      </c>
      <c r="F80" s="112">
        <f t="shared" si="7"/>
        <v>0.23504988578961769</v>
      </c>
      <c r="G80" s="128">
        <v>925.23790499999996</v>
      </c>
      <c r="H80" s="129">
        <v>999.81850800000007</v>
      </c>
      <c r="I80" s="112">
        <f t="shared" si="8"/>
        <v>8.060694724780014E-2</v>
      </c>
      <c r="J80" s="113">
        <f t="shared" si="9"/>
        <v>7.7491371822961105E-2</v>
      </c>
    </row>
    <row r="81" spans="2:10" x14ac:dyDescent="0.25">
      <c r="B81" s="180"/>
      <c r="C81" s="208" t="s">
        <v>117</v>
      </c>
      <c r="D81" s="143">
        <v>463.51864441999999</v>
      </c>
      <c r="E81" s="103">
        <v>359.18106599999999</v>
      </c>
      <c r="F81" s="112">
        <f t="shared" si="7"/>
        <v>-0.22509898938489825</v>
      </c>
      <c r="G81" s="100">
        <v>3103.4153722299998</v>
      </c>
      <c r="H81" s="101">
        <v>1517.6358456299999</v>
      </c>
      <c r="I81" s="112">
        <f t="shared" si="8"/>
        <v>-0.5109788205568232</v>
      </c>
      <c r="J81" s="113">
        <f t="shared" si="9"/>
        <v>0.11762503160780488</v>
      </c>
    </row>
    <row r="82" spans="2:10" x14ac:dyDescent="0.25">
      <c r="B82" s="180"/>
      <c r="C82" s="75" t="s">
        <v>73</v>
      </c>
      <c r="D82" s="183">
        <f>SUM(D83:D89)</f>
        <v>2378.2725717000003</v>
      </c>
      <c r="E82" s="97">
        <f>SUM(E83:E89)</f>
        <v>2173.9089790000007</v>
      </c>
      <c r="F82" s="107">
        <f t="shared" si="7"/>
        <v>-8.5929424209740396E-2</v>
      </c>
      <c r="G82" s="106">
        <f>SUM(G83:G89)</f>
        <v>8867.0541042000004</v>
      </c>
      <c r="H82" s="97">
        <f>SUM(H83:H89)</f>
        <v>7873.8033826000001</v>
      </c>
      <c r="I82" s="107">
        <f t="shared" si="8"/>
        <v>-0.11201586343423051</v>
      </c>
      <c r="J82" s="108">
        <f>SUM(J83:J89)</f>
        <v>1</v>
      </c>
    </row>
    <row r="83" spans="2:10" x14ac:dyDescent="0.25">
      <c r="C83" s="208" t="s">
        <v>39</v>
      </c>
      <c r="D83" s="131">
        <v>1467.2400885</v>
      </c>
      <c r="E83" s="132">
        <v>1200.724954</v>
      </c>
      <c r="F83" s="133">
        <f t="shared" si="7"/>
        <v>-0.18164384724006943</v>
      </c>
      <c r="G83" s="98">
        <v>5617.9247964999995</v>
      </c>
      <c r="H83" s="101">
        <v>4671.9892487000006</v>
      </c>
      <c r="I83" s="110">
        <f t="shared" si="8"/>
        <v>-0.16837810794286928</v>
      </c>
      <c r="J83" s="111">
        <f>(H83/$H$82)</f>
        <v>0.59335863771051744</v>
      </c>
    </row>
    <row r="84" spans="2:10" x14ac:dyDescent="0.25">
      <c r="C84" s="208" t="s">
        <v>36</v>
      </c>
      <c r="D84" s="134">
        <v>750.87071600000002</v>
      </c>
      <c r="E84" s="132">
        <v>882.394497</v>
      </c>
      <c r="F84" s="110">
        <f t="shared" si="7"/>
        <v>0.17516168655590503</v>
      </c>
      <c r="G84" s="100">
        <v>2535.8384879999999</v>
      </c>
      <c r="H84" s="101">
        <v>2673.4701409999998</v>
      </c>
      <c r="I84" s="110">
        <f t="shared" si="8"/>
        <v>5.4274613170868444E-2</v>
      </c>
      <c r="J84" s="113">
        <f t="shared" ref="J84:J88" si="10">(H84/$H$82)</f>
        <v>0.3395398654363142</v>
      </c>
    </row>
    <row r="85" spans="2:10" x14ac:dyDescent="0.25">
      <c r="C85" s="208" t="s">
        <v>66</v>
      </c>
      <c r="D85" s="134">
        <v>110.090575</v>
      </c>
      <c r="E85" s="132">
        <v>56.457008999999999</v>
      </c>
      <c r="F85" s="110">
        <f t="shared" si="7"/>
        <v>-0.48717672698139691</v>
      </c>
      <c r="G85" s="100">
        <v>478.91026600000004</v>
      </c>
      <c r="H85" s="101">
        <v>348.61234579999996</v>
      </c>
      <c r="I85" s="110">
        <f t="shared" si="8"/>
        <v>-0.27207167908152563</v>
      </c>
      <c r="J85" s="113">
        <f t="shared" si="10"/>
        <v>4.4274962030469836E-2</v>
      </c>
    </row>
    <row r="86" spans="2:10" x14ac:dyDescent="0.25">
      <c r="C86" s="208" t="s">
        <v>59</v>
      </c>
      <c r="D86" s="134">
        <v>45.812986200000005</v>
      </c>
      <c r="E86" s="132">
        <v>29.780670000000001</v>
      </c>
      <c r="F86" s="110">
        <f t="shared" si="7"/>
        <v>-0.3499513463280855</v>
      </c>
      <c r="G86" s="100">
        <v>220.4467927</v>
      </c>
      <c r="H86" s="101">
        <v>162.81587210000004</v>
      </c>
      <c r="I86" s="110">
        <f t="shared" si="8"/>
        <v>-0.26142780257378617</v>
      </c>
      <c r="J86" s="113">
        <f t="shared" si="10"/>
        <v>2.0678173455512015E-2</v>
      </c>
    </row>
    <row r="87" spans="2:10" x14ac:dyDescent="0.25">
      <c r="C87" s="208" t="s">
        <v>74</v>
      </c>
      <c r="D87" s="222">
        <v>3.676806</v>
      </c>
      <c r="E87" s="135">
        <v>4.1949490000000003</v>
      </c>
      <c r="F87" s="110">
        <f t="shared" si="7"/>
        <v>0.14092203940050149</v>
      </c>
      <c r="G87" s="100">
        <v>7.4194759999999995</v>
      </c>
      <c r="H87" s="101">
        <v>15.250074999999999</v>
      </c>
      <c r="I87" s="110">
        <f t="shared" si="8"/>
        <v>1.0554113255437445</v>
      </c>
      <c r="J87" s="113">
        <f t="shared" si="10"/>
        <v>1.9368117616069159E-3</v>
      </c>
    </row>
    <row r="88" spans="2:10" x14ac:dyDescent="0.25">
      <c r="C88" s="208" t="s">
        <v>75</v>
      </c>
      <c r="D88" s="134">
        <v>0.58140000000000003</v>
      </c>
      <c r="E88" s="135">
        <v>0.3569</v>
      </c>
      <c r="F88" s="110">
        <f t="shared" si="7"/>
        <v>-0.3861369109047128</v>
      </c>
      <c r="G88" s="100">
        <v>3.8363</v>
      </c>
      <c r="H88" s="101">
        <v>1.6657</v>
      </c>
      <c r="I88" s="110">
        <f t="shared" si="8"/>
        <v>-0.56580559393165297</v>
      </c>
      <c r="J88" s="190">
        <f t="shared" si="10"/>
        <v>2.115496055795555E-4</v>
      </c>
    </row>
    <row r="89" spans="2:10" x14ac:dyDescent="0.25">
      <c r="C89" s="208" t="s">
        <v>76</v>
      </c>
      <c r="D89" s="139">
        <v>0</v>
      </c>
      <c r="E89" s="140">
        <v>0</v>
      </c>
      <c r="F89" s="110" t="s">
        <v>43</v>
      </c>
      <c r="G89" s="100">
        <v>2.6779850000000001</v>
      </c>
      <c r="H89" s="101">
        <v>0</v>
      </c>
      <c r="I89" s="110" t="s">
        <v>43</v>
      </c>
      <c r="J89" s="113" t="s">
        <v>43</v>
      </c>
    </row>
    <row r="90" spans="2:10" x14ac:dyDescent="0.25">
      <c r="C90" s="75" t="s">
        <v>77</v>
      </c>
      <c r="D90" s="106">
        <f>SUM(D91:D95)</f>
        <v>22.589573000000001</v>
      </c>
      <c r="E90" s="97">
        <f>SUM(E91:E95)</f>
        <v>25.714176999999999</v>
      </c>
      <c r="F90" s="107">
        <f t="shared" ref="F90:F95" si="11">(E90-D90)/D90</f>
        <v>0.13832063138156697</v>
      </c>
      <c r="G90" s="106">
        <f>SUM(G91:G95)</f>
        <v>84.286572799999988</v>
      </c>
      <c r="H90" s="97">
        <f>SUM(H91:H95)</f>
        <v>86.494365599999995</v>
      </c>
      <c r="I90" s="107">
        <f t="shared" ref="I90:I95" si="12">(H90-G90)/G90</f>
        <v>2.6193885059709147E-2</v>
      </c>
      <c r="J90" s="108">
        <f>SUM(J91:J95)</f>
        <v>1.0000000000000002</v>
      </c>
    </row>
    <row r="91" spans="2:10" x14ac:dyDescent="0.25">
      <c r="B91" s="180"/>
      <c r="C91" s="207" t="s">
        <v>53</v>
      </c>
      <c r="D91" s="132">
        <v>16.227331</v>
      </c>
      <c r="E91" s="136">
        <v>18.361675999999999</v>
      </c>
      <c r="F91" s="110">
        <f t="shared" si="11"/>
        <v>0.13152779098423517</v>
      </c>
      <c r="G91" s="131">
        <v>60.195841000000001</v>
      </c>
      <c r="H91" s="132">
        <v>54.758716000000007</v>
      </c>
      <c r="I91" s="110">
        <f t="shared" si="12"/>
        <v>-9.0323931183219033E-2</v>
      </c>
      <c r="J91" s="111">
        <f>(H91/$H$90)</f>
        <v>0.63308997782856746</v>
      </c>
    </row>
    <row r="92" spans="2:10" x14ac:dyDescent="0.25">
      <c r="B92" s="180"/>
      <c r="C92" s="208" t="s">
        <v>78</v>
      </c>
      <c r="D92" s="132">
        <v>4.1390580000000003</v>
      </c>
      <c r="E92" s="132">
        <v>4.6394279999999997</v>
      </c>
      <c r="F92" s="110">
        <f t="shared" si="11"/>
        <v>0.12088982565598241</v>
      </c>
      <c r="G92" s="134">
        <v>17.670043800000002</v>
      </c>
      <c r="H92" s="132">
        <v>21.034277399999997</v>
      </c>
      <c r="I92" s="110">
        <f t="shared" si="12"/>
        <v>0.1903919219487161</v>
      </c>
      <c r="J92" s="113">
        <f t="shared" ref="J92:J95" si="13">(H92/$H$90)</f>
        <v>0.24318667758400206</v>
      </c>
    </row>
    <row r="93" spans="2:10" x14ac:dyDescent="0.25">
      <c r="B93" s="180"/>
      <c r="C93" s="208" t="s">
        <v>79</v>
      </c>
      <c r="D93" s="135">
        <v>1.8218399999999999</v>
      </c>
      <c r="E93" s="135">
        <v>1.9552499999999999</v>
      </c>
      <c r="F93" s="110">
        <f t="shared" si="11"/>
        <v>7.3228164932156517E-2</v>
      </c>
      <c r="G93" s="134">
        <v>4.4721299999999999</v>
      </c>
      <c r="H93" s="132">
        <v>6.9667829999999995</v>
      </c>
      <c r="I93" s="110">
        <f t="shared" si="12"/>
        <v>0.55782211161124551</v>
      </c>
      <c r="J93" s="113">
        <f t="shared" si="13"/>
        <v>8.0546090507426074E-2</v>
      </c>
    </row>
    <row r="94" spans="2:10" x14ac:dyDescent="0.25">
      <c r="B94" s="180"/>
      <c r="C94" s="208" t="s">
        <v>66</v>
      </c>
      <c r="D94" s="202">
        <v>0.34194400000000003</v>
      </c>
      <c r="E94" s="132">
        <v>0.72342300000000004</v>
      </c>
      <c r="F94" s="110">
        <f t="shared" si="11"/>
        <v>1.1156183468638139</v>
      </c>
      <c r="G94" s="134">
        <v>1.444358</v>
      </c>
      <c r="H94" s="132">
        <v>3.5294892</v>
      </c>
      <c r="I94" s="110">
        <f t="shared" si="12"/>
        <v>1.4436387654584253</v>
      </c>
      <c r="J94" s="113">
        <f t="shared" si="13"/>
        <v>4.0806001356462923E-2</v>
      </c>
    </row>
    <row r="95" spans="2:10" x14ac:dyDescent="0.25">
      <c r="B95" s="180"/>
      <c r="C95" s="208" t="s">
        <v>75</v>
      </c>
      <c r="D95" s="135">
        <v>5.9400000000000001E-2</v>
      </c>
      <c r="E95" s="203">
        <v>3.44E-2</v>
      </c>
      <c r="F95" s="110">
        <f t="shared" si="11"/>
        <v>-0.4208754208754209</v>
      </c>
      <c r="G95" s="134">
        <v>0.50420000000000009</v>
      </c>
      <c r="H95" s="135">
        <v>0.2051</v>
      </c>
      <c r="I95" s="110">
        <f t="shared" si="12"/>
        <v>-0.59321697738992474</v>
      </c>
      <c r="J95" s="113">
        <f t="shared" si="13"/>
        <v>2.3712527235415668E-3</v>
      </c>
    </row>
    <row r="96" spans="2:10" x14ac:dyDescent="0.25">
      <c r="B96" s="180"/>
      <c r="C96" s="75" t="s">
        <v>80</v>
      </c>
      <c r="D96" s="97">
        <f>SUM(D97:D99)</f>
        <v>27.547941999999999</v>
      </c>
      <c r="E96" s="97">
        <f>SUM(E97:E99)</f>
        <v>22.187384000000002</v>
      </c>
      <c r="F96" s="107">
        <f t="shared" ref="F96:F99" si="14">(E96-D96)/D96</f>
        <v>-0.19459014397518326</v>
      </c>
      <c r="G96" s="106">
        <f>SUM(G97:G99)</f>
        <v>113.19871599999999</v>
      </c>
      <c r="H96" s="97">
        <f>SUM(H97:H99)</f>
        <v>93.686686000000009</v>
      </c>
      <c r="I96" s="107">
        <f t="shared" ref="I96:I105" si="15">(H96-G96)/G96</f>
        <v>-0.17236971133135454</v>
      </c>
      <c r="J96" s="108">
        <f>SUM(J97:J99)</f>
        <v>1</v>
      </c>
    </row>
    <row r="97" spans="2:10" x14ac:dyDescent="0.25">
      <c r="B97" s="180"/>
      <c r="C97" s="208" t="s">
        <v>65</v>
      </c>
      <c r="D97" s="136">
        <v>16.793763999999999</v>
      </c>
      <c r="E97" s="136">
        <v>14.036678</v>
      </c>
      <c r="F97" s="109">
        <f t="shared" si="14"/>
        <v>-0.16417320143357972</v>
      </c>
      <c r="G97" s="98">
        <v>66.141111999999993</v>
      </c>
      <c r="H97" s="99">
        <v>55.031427999999998</v>
      </c>
      <c r="I97" s="109">
        <f t="shared" si="15"/>
        <v>-0.16796941666175791</v>
      </c>
      <c r="J97" s="111">
        <f>(H97/$H$96)</f>
        <v>0.58739859791817162</v>
      </c>
    </row>
    <row r="98" spans="2:10" x14ac:dyDescent="0.25">
      <c r="B98" s="180"/>
      <c r="C98" s="208" t="s">
        <v>66</v>
      </c>
      <c r="D98" s="132">
        <v>6.9799499999999997</v>
      </c>
      <c r="E98" s="132">
        <v>3.8404379999999998</v>
      </c>
      <c r="F98" s="112">
        <f t="shared" si="14"/>
        <v>-0.44979004147594182</v>
      </c>
      <c r="G98" s="100">
        <v>31.618590000000001</v>
      </c>
      <c r="H98" s="101">
        <v>20.799990000000001</v>
      </c>
      <c r="I98" s="112">
        <f t="shared" si="15"/>
        <v>-0.34215947010919839</v>
      </c>
      <c r="J98" s="113">
        <f t="shared" ref="J98:J99" si="16">(H98/$H$96)</f>
        <v>0.22201649869438225</v>
      </c>
    </row>
    <row r="99" spans="2:10" x14ac:dyDescent="0.25">
      <c r="B99" s="180"/>
      <c r="C99" s="208" t="s">
        <v>78</v>
      </c>
      <c r="D99" s="251">
        <v>3.7742279999999999</v>
      </c>
      <c r="E99" s="251">
        <v>4.3102679999999998</v>
      </c>
      <c r="F99" s="114">
        <f t="shared" si="14"/>
        <v>0.14202639586161722</v>
      </c>
      <c r="G99" s="124">
        <v>15.439014</v>
      </c>
      <c r="H99" s="125">
        <v>17.855268000000002</v>
      </c>
      <c r="I99" s="114">
        <f t="shared" si="15"/>
        <v>0.15650312902106328</v>
      </c>
      <c r="J99" s="115">
        <f t="shared" si="16"/>
        <v>0.1905849033874461</v>
      </c>
    </row>
    <row r="100" spans="2:10" x14ac:dyDescent="0.25">
      <c r="B100" s="180"/>
      <c r="C100" s="75" t="s">
        <v>81</v>
      </c>
      <c r="D100" s="97">
        <f>SUM(D101:D104)</f>
        <v>1961.1031353999997</v>
      </c>
      <c r="E100" s="97">
        <f>SUM(E101:E104)</f>
        <v>4010.9459770000003</v>
      </c>
      <c r="F100" s="107">
        <f t="shared" ref="F100:F105" si="17">(E100-D100)/D100</f>
        <v>1.0452498925722746</v>
      </c>
      <c r="G100" s="106">
        <f>SUM(G101:G104)</f>
        <v>11082.969501799998</v>
      </c>
      <c r="H100" s="97">
        <f>SUM(H101:H104)</f>
        <v>13998.9651077</v>
      </c>
      <c r="I100" s="107">
        <f t="shared" si="15"/>
        <v>0.26310598485599107</v>
      </c>
      <c r="J100" s="108">
        <f>SUM(J101:J104)</f>
        <v>1</v>
      </c>
    </row>
    <row r="101" spans="2:10" x14ac:dyDescent="0.25">
      <c r="C101" s="208" t="s">
        <v>59</v>
      </c>
      <c r="D101" s="117">
        <v>1865.9869753999999</v>
      </c>
      <c r="E101" s="118">
        <v>3933.6068580000001</v>
      </c>
      <c r="F101" s="109">
        <f t="shared" si="17"/>
        <v>1.108056974597466</v>
      </c>
      <c r="G101" s="98">
        <v>10701.386110799998</v>
      </c>
      <c r="H101" s="99">
        <v>13674.2675227</v>
      </c>
      <c r="I101" s="109">
        <f t="shared" si="15"/>
        <v>0.27780339678611593</v>
      </c>
      <c r="J101" s="111">
        <f>(H101/$H$100)</f>
        <v>0.97680560080677659</v>
      </c>
    </row>
    <row r="102" spans="2:10" x14ac:dyDescent="0.25">
      <c r="C102" s="208" t="s">
        <v>65</v>
      </c>
      <c r="D102" s="102">
        <v>84.361981999999998</v>
      </c>
      <c r="E102" s="103">
        <v>66.116062999999997</v>
      </c>
      <c r="F102" s="112">
        <f t="shared" si="17"/>
        <v>-0.21628129836968507</v>
      </c>
      <c r="G102" s="100">
        <v>333.97699899999998</v>
      </c>
      <c r="H102" s="101">
        <v>265.38033099999996</v>
      </c>
      <c r="I102" s="112">
        <f t="shared" si="15"/>
        <v>-0.20539338998012863</v>
      </c>
      <c r="J102" s="113">
        <f t="shared" ref="J102:J104" si="18">(H102/$H$100)</f>
        <v>1.8957139256960499E-2</v>
      </c>
    </row>
    <row r="103" spans="2:10" x14ac:dyDescent="0.25">
      <c r="C103" s="208" t="s">
        <v>66</v>
      </c>
      <c r="D103" s="223">
        <v>6.9799499999999997</v>
      </c>
      <c r="E103" s="221">
        <v>6.9127879999999999</v>
      </c>
      <c r="F103" s="112">
        <f t="shared" si="17"/>
        <v>-9.6221319636959762E-3</v>
      </c>
      <c r="G103" s="100">
        <v>33.039327</v>
      </c>
      <c r="H103" s="101">
        <v>41.461985999999996</v>
      </c>
      <c r="I103" s="112">
        <f t="shared" si="15"/>
        <v>0.25492828591817246</v>
      </c>
      <c r="J103" s="113">
        <f t="shared" si="18"/>
        <v>2.9617893666435543E-3</v>
      </c>
    </row>
    <row r="104" spans="2:10" x14ac:dyDescent="0.25">
      <c r="C104" s="208" t="s">
        <v>78</v>
      </c>
      <c r="D104" s="177">
        <v>3.7742279999999999</v>
      </c>
      <c r="E104" s="176">
        <v>4.3102679999999998</v>
      </c>
      <c r="F104" s="114">
        <f t="shared" si="17"/>
        <v>0.14202639586161722</v>
      </c>
      <c r="G104" s="124">
        <v>14.567064999999999</v>
      </c>
      <c r="H104" s="125">
        <v>17.855268000000002</v>
      </c>
      <c r="I104" s="114">
        <f t="shared" si="15"/>
        <v>0.2257285870558004</v>
      </c>
      <c r="J104" s="115">
        <f t="shared" si="18"/>
        <v>1.2754705696193841E-3</v>
      </c>
    </row>
    <row r="105" spans="2:10" x14ac:dyDescent="0.25">
      <c r="C105" s="78" t="s">
        <v>82</v>
      </c>
      <c r="D105" s="106">
        <f>SUM(D106:D106)</f>
        <v>2.5161519999999999</v>
      </c>
      <c r="E105" s="97">
        <f>SUM(E106:E106)</f>
        <v>4.3102679999999998</v>
      </c>
      <c r="F105" s="107">
        <f t="shared" si="17"/>
        <v>0.71303959379242587</v>
      </c>
      <c r="G105" s="106">
        <f>SUM(G106:G106)</f>
        <v>10.292676</v>
      </c>
      <c r="H105" s="97">
        <f>SUM(H106:H106)</f>
        <v>17.855268000000002</v>
      </c>
      <c r="I105" s="107">
        <f t="shared" si="15"/>
        <v>0.73475469353159495</v>
      </c>
      <c r="J105" s="108">
        <f>SUM(J106:J106)</f>
        <v>1</v>
      </c>
    </row>
    <row r="106" spans="2:10" x14ac:dyDescent="0.25">
      <c r="C106" s="208" t="s">
        <v>78</v>
      </c>
      <c r="D106" s="117">
        <v>2.5161519999999999</v>
      </c>
      <c r="E106" s="118">
        <v>4.3102679999999998</v>
      </c>
      <c r="F106" s="109">
        <f>(E106-D106)/D106</f>
        <v>0.71303959379242587</v>
      </c>
      <c r="G106" s="98">
        <v>10.292676</v>
      </c>
      <c r="H106" s="99">
        <v>17.855268000000002</v>
      </c>
      <c r="I106" s="109">
        <f>(H106-G106)/G106</f>
        <v>0.73475469353159495</v>
      </c>
      <c r="J106" s="111">
        <f>H106/H105</f>
        <v>1</v>
      </c>
    </row>
    <row r="107" spans="2:10" ht="98.25" customHeight="1" x14ac:dyDescent="0.25">
      <c r="C107" s="248" t="s">
        <v>135</v>
      </c>
      <c r="D107" s="249"/>
      <c r="E107" s="249"/>
      <c r="F107" s="249"/>
      <c r="G107" s="249"/>
      <c r="H107" s="249"/>
      <c r="I107" s="249"/>
      <c r="J107" s="250"/>
    </row>
  </sheetData>
  <mergeCells count="5">
    <mergeCell ref="C3:J3"/>
    <mergeCell ref="B4:K4"/>
    <mergeCell ref="D8:F8"/>
    <mergeCell ref="G8:J8"/>
    <mergeCell ref="C107:J107"/>
  </mergeCells>
  <printOptions horizontalCentered="1" verticalCentered="1"/>
  <pageMargins left="0" right="0" top="0" bottom="0" header="0.31496062992125984" footer="0.31496062992125984"/>
  <pageSetup paperSize="9" scale="47" orientation="portrait" r:id="rId1"/>
  <ignoredErrors>
    <ignoredError sqref="F11 I11:I68 F76:F79 F81:F86 I76:I86 F95 F88 I70:I75 F23:F75 I90:I95 F90:F91 I88 F96:F105 I96:I10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1"/>
  <sheetViews>
    <sheetView showGridLines="0" tabSelected="1" view="pageBreakPreview" zoomScaleNormal="100" zoomScaleSheetLayoutView="100" zoomScalePageLayoutView="70" workbookViewId="0"/>
  </sheetViews>
  <sheetFormatPr baseColWidth="10" defaultColWidth="11.42578125" defaultRowHeight="15" x14ac:dyDescent="0.25"/>
  <cols>
    <col min="1" max="2" width="3.28515625" style="60" customWidth="1"/>
    <col min="3" max="3" width="48.85546875" style="60" customWidth="1"/>
    <col min="4" max="4" width="14.7109375" style="60" customWidth="1"/>
    <col min="5" max="5" width="13" style="60" customWidth="1"/>
    <col min="6" max="6" width="11.140625" style="94" customWidth="1"/>
    <col min="7" max="7" width="12.42578125" style="63" customWidth="1"/>
    <col min="8" max="8" width="11.7109375" style="60" customWidth="1"/>
    <col min="9" max="9" width="9.7109375" style="63" customWidth="1"/>
    <col min="10" max="10" width="9.85546875" style="63" customWidth="1"/>
    <col min="11" max="11" width="3.28515625" style="60" customWidth="1"/>
    <col min="12" max="12" width="15.42578125" style="60" customWidth="1"/>
    <col min="13" max="16384" width="11.42578125" style="60"/>
  </cols>
  <sheetData>
    <row r="1" spans="3:19" ht="10.5" customHeight="1" x14ac:dyDescent="0.25">
      <c r="F1" s="63"/>
      <c r="H1" s="62"/>
    </row>
    <row r="2" spans="3:19" ht="10.5" customHeight="1" x14ac:dyDescent="0.25">
      <c r="F2" s="63"/>
      <c r="H2" s="62"/>
    </row>
    <row r="3" spans="3:19" ht="15.75" x14ac:dyDescent="0.25">
      <c r="C3" s="232" t="s">
        <v>0</v>
      </c>
      <c r="D3" s="232"/>
      <c r="E3" s="232"/>
      <c r="F3" s="232"/>
      <c r="G3" s="232"/>
      <c r="H3" s="232"/>
      <c r="I3" s="232"/>
      <c r="J3" s="232"/>
      <c r="K3" s="1"/>
      <c r="L3" s="1"/>
      <c r="M3" s="4"/>
      <c r="N3" s="4"/>
      <c r="O3" s="4"/>
      <c r="P3" s="4"/>
      <c r="Q3" s="4"/>
      <c r="R3" s="4"/>
      <c r="S3" s="4"/>
    </row>
    <row r="4" spans="3:19" ht="15.75" x14ac:dyDescent="0.25">
      <c r="C4" s="233" t="s">
        <v>1</v>
      </c>
      <c r="D4" s="233"/>
      <c r="E4" s="233"/>
      <c r="F4" s="233"/>
      <c r="G4" s="233"/>
      <c r="H4" s="233"/>
      <c r="I4" s="233"/>
      <c r="J4" s="233"/>
      <c r="K4" s="79"/>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80" t="s">
        <v>83</v>
      </c>
      <c r="D6" s="52"/>
      <c r="E6" s="52"/>
      <c r="F6" s="81"/>
    </row>
    <row r="7" spans="3:19" x14ac:dyDescent="0.25">
      <c r="C7" s="82" t="s">
        <v>84</v>
      </c>
      <c r="D7" s="83"/>
      <c r="E7" s="83"/>
      <c r="F7" s="81"/>
    </row>
    <row r="8" spans="3:19" ht="26.25" customHeight="1" x14ac:dyDescent="0.25">
      <c r="C8" s="84"/>
      <c r="D8" s="243" t="s">
        <v>129</v>
      </c>
      <c r="E8" s="244"/>
      <c r="F8" s="244"/>
      <c r="G8" s="245" t="s">
        <v>130</v>
      </c>
      <c r="H8" s="246"/>
      <c r="I8" s="246"/>
      <c r="J8" s="247"/>
    </row>
    <row r="9" spans="3:19" ht="24" x14ac:dyDescent="0.25">
      <c r="C9" s="85" t="s">
        <v>85</v>
      </c>
      <c r="D9" s="96">
        <v>2025</v>
      </c>
      <c r="E9" s="95">
        <v>2026</v>
      </c>
      <c r="F9" s="107" t="s">
        <v>24</v>
      </c>
      <c r="G9" s="96">
        <v>2025</v>
      </c>
      <c r="H9" s="95">
        <v>2026</v>
      </c>
      <c r="I9" s="161" t="s">
        <v>24</v>
      </c>
      <c r="J9" s="138" t="s">
        <v>30</v>
      </c>
    </row>
    <row r="10" spans="3:19" ht="4.5" customHeight="1" x14ac:dyDescent="0.25">
      <c r="D10" s="215"/>
      <c r="E10" s="215"/>
      <c r="F10" s="63"/>
      <c r="H10" s="215"/>
    </row>
    <row r="11" spans="3:19" x14ac:dyDescent="0.25">
      <c r="C11" s="86" t="s">
        <v>86</v>
      </c>
      <c r="D11" s="141">
        <f>+SUM(D12:D26)</f>
        <v>220272.94308459302</v>
      </c>
      <c r="E11" s="141">
        <f>+SUM(E12:E26)</f>
        <v>230069.71287499997</v>
      </c>
      <c r="F11" s="162">
        <f>(E11-D11)/D11</f>
        <v>4.4475593112880074E-2</v>
      </c>
      <c r="G11" s="145">
        <f>+SUM(G12:G26)</f>
        <v>886773.63975380384</v>
      </c>
      <c r="H11" s="141">
        <f>+SUM(H12:H26)</f>
        <v>918284.09920923645</v>
      </c>
      <c r="I11" s="164">
        <f>(H11-G11)/G11</f>
        <v>3.5533825141871485E-2</v>
      </c>
      <c r="J11" s="164">
        <f>SUM(J12:J26)</f>
        <v>1.0000000000000002</v>
      </c>
    </row>
    <row r="12" spans="3:19" x14ac:dyDescent="0.25">
      <c r="C12" s="87" t="s">
        <v>90</v>
      </c>
      <c r="D12" s="142">
        <v>21543.478180099995</v>
      </c>
      <c r="E12" s="142">
        <v>42963.041120000002</v>
      </c>
      <c r="F12" s="163">
        <f t="shared" ref="F12:F75" si="0">+E12/D12-1</f>
        <v>0.99424813211849639</v>
      </c>
      <c r="G12" s="151">
        <v>121518.18619580999</v>
      </c>
      <c r="H12" s="142">
        <v>184344.70560260001</v>
      </c>
      <c r="I12" s="166">
        <f t="shared" ref="I12:I76" si="1">+H12/G12-1</f>
        <v>0.51701330783158372</v>
      </c>
      <c r="J12" s="166">
        <f t="shared" ref="J12:J26" si="2">(H12/$H$11)</f>
        <v>0.20074909906568683</v>
      </c>
    </row>
    <row r="13" spans="3:19" x14ac:dyDescent="0.25">
      <c r="C13" s="87" t="s">
        <v>87</v>
      </c>
      <c r="D13" s="142">
        <v>36021.57888701</v>
      </c>
      <c r="E13" s="142">
        <v>37707.172782000001</v>
      </c>
      <c r="F13" s="163">
        <f t="shared" si="0"/>
        <v>4.6794003679773599E-2</v>
      </c>
      <c r="G13" s="151">
        <v>158273.50861227291</v>
      </c>
      <c r="H13" s="142">
        <v>148373.472758055</v>
      </c>
      <c r="I13" s="166">
        <f t="shared" si="1"/>
        <v>-6.2550176217236131E-2</v>
      </c>
      <c r="J13" s="166">
        <f t="shared" si="2"/>
        <v>0.16157687243612745</v>
      </c>
    </row>
    <row r="14" spans="3:19" x14ac:dyDescent="0.25">
      <c r="C14" s="87" t="s">
        <v>88</v>
      </c>
      <c r="D14" s="142">
        <v>39600.083445999997</v>
      </c>
      <c r="E14" s="142">
        <v>38357.404763999999</v>
      </c>
      <c r="F14" s="163">
        <f t="shared" si="0"/>
        <v>-3.1380708671853053E-2</v>
      </c>
      <c r="G14" s="151">
        <v>135422.63842599999</v>
      </c>
      <c r="H14" s="142">
        <v>139362.16997399999</v>
      </c>
      <c r="I14" s="166">
        <f t="shared" si="1"/>
        <v>2.9090642405056322E-2</v>
      </c>
      <c r="J14" s="166">
        <f t="shared" si="2"/>
        <v>0.15176367541810773</v>
      </c>
    </row>
    <row r="15" spans="3:19" x14ac:dyDescent="0.25">
      <c r="C15" s="88" t="s">
        <v>89</v>
      </c>
      <c r="D15" s="143">
        <v>35847.882277349992</v>
      </c>
      <c r="E15" s="143">
        <v>32102.436147000004</v>
      </c>
      <c r="F15" s="163">
        <f t="shared" si="0"/>
        <v>-0.10448165672303877</v>
      </c>
      <c r="G15" s="151">
        <v>136586.63249088</v>
      </c>
      <c r="H15" s="142">
        <v>130791.30422846001</v>
      </c>
      <c r="I15" s="166">
        <f t="shared" si="1"/>
        <v>-4.2429688445587477E-2</v>
      </c>
      <c r="J15" s="166">
        <f t="shared" si="2"/>
        <v>0.1424301088748989</v>
      </c>
    </row>
    <row r="16" spans="3:19" x14ac:dyDescent="0.25">
      <c r="C16" s="89" t="s">
        <v>92</v>
      </c>
      <c r="D16" s="143">
        <v>25118.257758873002</v>
      </c>
      <c r="E16" s="143">
        <v>19450.839801000002</v>
      </c>
      <c r="F16" s="163">
        <f t="shared" si="0"/>
        <v>-0.22562942112778461</v>
      </c>
      <c r="G16" s="151">
        <v>81230.643216925004</v>
      </c>
      <c r="H16" s="142">
        <v>77617.164947234007</v>
      </c>
      <c r="I16" s="166">
        <f t="shared" si="1"/>
        <v>-4.448417649533154E-2</v>
      </c>
      <c r="J16" s="166">
        <f t="shared" si="2"/>
        <v>8.4524130401552863E-2</v>
      </c>
    </row>
    <row r="17" spans="3:10" x14ac:dyDescent="0.25">
      <c r="C17" s="89" t="s">
        <v>91</v>
      </c>
      <c r="D17" s="143">
        <v>21311.164336631999</v>
      </c>
      <c r="E17" s="143">
        <v>18762.413948000001</v>
      </c>
      <c r="F17" s="163">
        <f t="shared" si="0"/>
        <v>-0.11959695624189437</v>
      </c>
      <c r="G17" s="151">
        <v>84103.570487860008</v>
      </c>
      <c r="H17" s="142">
        <v>76415.165981623999</v>
      </c>
      <c r="I17" s="166">
        <f t="shared" si="1"/>
        <v>-9.1415910901735065E-2</v>
      </c>
      <c r="J17" s="166">
        <f t="shared" si="2"/>
        <v>8.3215168429277522E-2</v>
      </c>
    </row>
    <row r="18" spans="3:10" x14ac:dyDescent="0.25">
      <c r="C18" s="89" t="s">
        <v>94</v>
      </c>
      <c r="D18" s="143">
        <v>13332.9349365</v>
      </c>
      <c r="E18" s="143">
        <v>14727.718612000001</v>
      </c>
      <c r="F18" s="163">
        <f t="shared" si="0"/>
        <v>0.10461190144126986</v>
      </c>
      <c r="G18" s="151">
        <v>55753.378544750005</v>
      </c>
      <c r="H18" s="142">
        <v>59236.484223339998</v>
      </c>
      <c r="I18" s="166">
        <f t="shared" si="1"/>
        <v>6.2473445905960823E-2</v>
      </c>
      <c r="J18" s="166">
        <f t="shared" si="2"/>
        <v>6.4507796959949987E-2</v>
      </c>
    </row>
    <row r="19" spans="3:10" x14ac:dyDescent="0.25">
      <c r="C19" s="89" t="s">
        <v>93</v>
      </c>
      <c r="D19" s="143">
        <v>15076.914109410001</v>
      </c>
      <c r="E19" s="143">
        <v>14223.036973999999</v>
      </c>
      <c r="F19" s="163">
        <f t="shared" si="0"/>
        <v>-5.663474164630744E-2</v>
      </c>
      <c r="G19" s="151">
        <v>62895.349407360001</v>
      </c>
      <c r="H19" s="142">
        <v>56459.730581950003</v>
      </c>
      <c r="I19" s="166">
        <f t="shared" si="1"/>
        <v>-0.10232265002182983</v>
      </c>
      <c r="J19" s="166">
        <f t="shared" si="2"/>
        <v>6.1483946668105513E-2</v>
      </c>
    </row>
    <row r="20" spans="3:10" x14ac:dyDescent="0.25">
      <c r="C20" s="89" t="s">
        <v>95</v>
      </c>
      <c r="D20" s="143">
        <v>4937.8032008079999</v>
      </c>
      <c r="E20" s="143">
        <v>4758.1423879999993</v>
      </c>
      <c r="F20" s="163">
        <f t="shared" si="0"/>
        <v>-3.638476575546834E-2</v>
      </c>
      <c r="G20" s="151">
        <v>19024.652242487002</v>
      </c>
      <c r="H20" s="142">
        <v>17828.790173062</v>
      </c>
      <c r="I20" s="166">
        <f t="shared" si="1"/>
        <v>-6.285855079938496E-2</v>
      </c>
      <c r="J20" s="166">
        <f t="shared" si="2"/>
        <v>1.9415331473576571E-2</v>
      </c>
    </row>
    <row r="21" spans="3:10" x14ac:dyDescent="0.25">
      <c r="C21" s="89" t="s">
        <v>96</v>
      </c>
      <c r="D21" s="143">
        <v>3898.8971885799997</v>
      </c>
      <c r="E21" s="143">
        <v>3657.1462010000005</v>
      </c>
      <c r="F21" s="163">
        <f t="shared" si="0"/>
        <v>-6.2004965990920646E-2</v>
      </c>
      <c r="G21" s="151">
        <v>17150.710451644001</v>
      </c>
      <c r="H21" s="142">
        <v>14904.977276589998</v>
      </c>
      <c r="I21" s="166">
        <f t="shared" si="1"/>
        <v>-0.13094111648527862</v>
      </c>
      <c r="J21" s="166">
        <f t="shared" si="2"/>
        <v>1.6231335476052725E-2</v>
      </c>
    </row>
    <row r="22" spans="3:10" x14ac:dyDescent="0.25">
      <c r="C22" s="89" t="s">
        <v>97</v>
      </c>
      <c r="D22" s="143">
        <v>2098.773494</v>
      </c>
      <c r="E22" s="143">
        <v>1692.7772480000001</v>
      </c>
      <c r="F22" s="163">
        <f t="shared" si="0"/>
        <v>-0.19344452708244464</v>
      </c>
      <c r="G22" s="151">
        <v>7994.4472149999992</v>
      </c>
      <c r="H22" s="142">
        <v>6319.2124629000009</v>
      </c>
      <c r="I22" s="166">
        <f t="shared" si="1"/>
        <v>-0.20954979213031155</v>
      </c>
      <c r="J22" s="166">
        <f t="shared" si="2"/>
        <v>6.8815440323334301E-3</v>
      </c>
    </row>
    <row r="23" spans="3:10" x14ac:dyDescent="0.25">
      <c r="C23" s="89" t="s">
        <v>98</v>
      </c>
      <c r="D23" s="143">
        <v>1317.4391029899998</v>
      </c>
      <c r="E23" s="143">
        <v>1504.200147</v>
      </c>
      <c r="F23" s="163">
        <f t="shared" si="0"/>
        <v>0.14176066551094157</v>
      </c>
      <c r="G23" s="151">
        <v>5811.9505401850001</v>
      </c>
      <c r="H23" s="142">
        <v>5751.3866552999989</v>
      </c>
      <c r="I23" s="166">
        <f t="shared" si="1"/>
        <v>-1.0420578163260363E-2</v>
      </c>
      <c r="J23" s="166">
        <f t="shared" si="2"/>
        <v>6.2631887672373945E-3</v>
      </c>
    </row>
    <row r="24" spans="3:10" x14ac:dyDescent="0.25">
      <c r="C24" s="89" t="s">
        <v>99</v>
      </c>
      <c r="D24" s="143">
        <v>132.90740099999999</v>
      </c>
      <c r="E24" s="143">
        <v>163.382743</v>
      </c>
      <c r="F24" s="163">
        <f t="shared" si="0"/>
        <v>0.22929755431753573</v>
      </c>
      <c r="G24" s="151">
        <v>560.83508219999999</v>
      </c>
      <c r="H24" s="142">
        <v>685.63174829999991</v>
      </c>
      <c r="I24" s="166">
        <f t="shared" si="1"/>
        <v>0.22251936453485999</v>
      </c>
      <c r="J24" s="166">
        <f t="shared" si="2"/>
        <v>7.4664447406899367E-4</v>
      </c>
    </row>
    <row r="25" spans="3:10" x14ac:dyDescent="0.25">
      <c r="C25" s="89" t="s">
        <v>101</v>
      </c>
      <c r="D25" s="143">
        <v>34.828765339999997</v>
      </c>
      <c r="E25" s="143">
        <v>0</v>
      </c>
      <c r="F25" s="163" t="s">
        <v>43</v>
      </c>
      <c r="G25" s="151">
        <v>118.85476122999998</v>
      </c>
      <c r="H25" s="142">
        <v>114.91147240000001</v>
      </c>
      <c r="I25" s="166">
        <f t="shared" si="1"/>
        <v>-3.3177373705451929E-2</v>
      </c>
      <c r="J25" s="225">
        <f t="shared" si="2"/>
        <v>1.2513716887720686E-4</v>
      </c>
    </row>
    <row r="26" spans="3:10" x14ac:dyDescent="0.25">
      <c r="C26" s="74" t="s">
        <v>100</v>
      </c>
      <c r="D26" s="144">
        <v>0</v>
      </c>
      <c r="E26" s="144">
        <v>0</v>
      </c>
      <c r="F26" s="163" t="s">
        <v>43</v>
      </c>
      <c r="G26" s="156">
        <v>328.2820792</v>
      </c>
      <c r="H26" s="157">
        <v>78.991123421500006</v>
      </c>
      <c r="I26" s="166">
        <f t="shared" si="1"/>
        <v>-0.75938033652645387</v>
      </c>
      <c r="J26" s="225">
        <f t="shared" si="2"/>
        <v>8.6020354146959283E-5</v>
      </c>
    </row>
    <row r="27" spans="3:10" x14ac:dyDescent="0.25">
      <c r="C27" s="86" t="s">
        <v>102</v>
      </c>
      <c r="D27" s="145">
        <f>+SUM(D28:D43)</f>
        <v>9041270.9746690243</v>
      </c>
      <c r="E27" s="141">
        <f>+SUM(E28:E43)</f>
        <v>8490035.788110001</v>
      </c>
      <c r="F27" s="164">
        <f>+E27/D27-1</f>
        <v>-6.0968771769303487E-2</v>
      </c>
      <c r="G27" s="145">
        <f>+SUM(G28:G43)</f>
        <v>34655941.45531676</v>
      </c>
      <c r="H27" s="141">
        <f>+SUM(H28:H43)</f>
        <v>33242733.483660191</v>
      </c>
      <c r="I27" s="164">
        <f>+H27/G27-1</f>
        <v>-4.0778230580712171E-2</v>
      </c>
      <c r="J27" s="171">
        <f>SUM(J28:J43)</f>
        <v>0.99999999999999978</v>
      </c>
    </row>
    <row r="28" spans="3:10" x14ac:dyDescent="0.25">
      <c r="C28" s="90" t="s">
        <v>97</v>
      </c>
      <c r="D28" s="142">
        <v>2004568.6467199998</v>
      </c>
      <c r="E28" s="146">
        <v>2021166.639397</v>
      </c>
      <c r="F28" s="163">
        <f t="shared" si="0"/>
        <v>8.2800819538701997E-3</v>
      </c>
      <c r="G28" s="149">
        <v>7595783.1024409998</v>
      </c>
      <c r="H28" s="150">
        <v>8695581.4434350003</v>
      </c>
      <c r="I28" s="165">
        <f t="shared" si="1"/>
        <v>0.14479064583091716</v>
      </c>
      <c r="J28" s="172">
        <f t="shared" ref="J28:J42" si="3">(H28/$H$27)</f>
        <v>0.26157841224787187</v>
      </c>
    </row>
    <row r="29" spans="3:10" x14ac:dyDescent="0.25">
      <c r="C29" s="87" t="s">
        <v>103</v>
      </c>
      <c r="D29" s="142">
        <v>2595651.6095491941</v>
      </c>
      <c r="E29" s="146">
        <v>2388337.571337</v>
      </c>
      <c r="F29" s="163">
        <f t="shared" si="0"/>
        <v>-7.9869747330305163E-2</v>
      </c>
      <c r="G29" s="151">
        <v>10265104.017978208</v>
      </c>
      <c r="H29" s="142">
        <v>8552894.4003630988</v>
      </c>
      <c r="I29" s="166">
        <f t="shared" si="1"/>
        <v>-0.16679905187676236</v>
      </c>
      <c r="J29" s="173">
        <f t="shared" si="3"/>
        <v>0.25728613456432831</v>
      </c>
    </row>
    <row r="30" spans="3:10" x14ac:dyDescent="0.25">
      <c r="C30" s="87" t="s">
        <v>89</v>
      </c>
      <c r="D30" s="142">
        <v>2003129.265619495</v>
      </c>
      <c r="E30" s="146">
        <v>1814951.5212459997</v>
      </c>
      <c r="F30" s="163">
        <f t="shared" si="0"/>
        <v>-9.3941887627156606E-2</v>
      </c>
      <c r="G30" s="151">
        <v>7758518.9583074739</v>
      </c>
      <c r="H30" s="143">
        <v>7281722.4892150145</v>
      </c>
      <c r="I30" s="166">
        <f t="shared" si="1"/>
        <v>-6.1454572922313599E-2</v>
      </c>
      <c r="J30" s="173">
        <f t="shared" si="3"/>
        <v>0.21904704355296778</v>
      </c>
    </row>
    <row r="31" spans="3:10" x14ac:dyDescent="0.25">
      <c r="C31" s="87" t="s">
        <v>101</v>
      </c>
      <c r="D31" s="143">
        <v>727529.29907736799</v>
      </c>
      <c r="E31" s="147">
        <v>753097.89547600003</v>
      </c>
      <c r="F31" s="163">
        <f t="shared" si="0"/>
        <v>3.5144421580075802E-2</v>
      </c>
      <c r="G31" s="151">
        <v>2809664.379647288</v>
      </c>
      <c r="H31" s="142">
        <v>2674790.661817207</v>
      </c>
      <c r="I31" s="166">
        <f t="shared" si="1"/>
        <v>-4.8003497786811233E-2</v>
      </c>
      <c r="J31" s="173">
        <f t="shared" si="3"/>
        <v>8.0462416339256437E-2</v>
      </c>
    </row>
    <row r="32" spans="3:10" x14ac:dyDescent="0.25">
      <c r="C32" s="87" t="s">
        <v>96</v>
      </c>
      <c r="D32" s="143">
        <v>487378.12154353695</v>
      </c>
      <c r="E32" s="147">
        <v>398496.22845999995</v>
      </c>
      <c r="F32" s="163">
        <f t="shared" si="0"/>
        <v>-0.18236742511552662</v>
      </c>
      <c r="G32" s="151">
        <v>1753249.2504494479</v>
      </c>
      <c r="H32" s="143">
        <v>1783115.426209338</v>
      </c>
      <c r="I32" s="166">
        <f t="shared" si="1"/>
        <v>1.7034757466591666E-2</v>
      </c>
      <c r="J32" s="173">
        <f t="shared" si="3"/>
        <v>5.363925403684968E-2</v>
      </c>
    </row>
    <row r="33" spans="3:10" x14ac:dyDescent="0.25">
      <c r="C33" s="87" t="s">
        <v>88</v>
      </c>
      <c r="D33" s="143">
        <v>295243.33100000001</v>
      </c>
      <c r="E33" s="147">
        <v>231250.4088</v>
      </c>
      <c r="F33" s="163">
        <f t="shared" si="0"/>
        <v>-0.21674637656760487</v>
      </c>
      <c r="G33" s="151">
        <v>892727.44339999999</v>
      </c>
      <c r="H33" s="142">
        <v>995206.82900800009</v>
      </c>
      <c r="I33" s="166">
        <f t="shared" si="1"/>
        <v>0.11479358718681465</v>
      </c>
      <c r="J33" s="173">
        <f t="shared" si="3"/>
        <v>2.993757506425199E-2</v>
      </c>
    </row>
    <row r="34" spans="3:10" x14ac:dyDescent="0.25">
      <c r="C34" s="87" t="s">
        <v>100</v>
      </c>
      <c r="D34" s="143">
        <v>281159.23630972946</v>
      </c>
      <c r="E34" s="147">
        <v>176775.32406800002</v>
      </c>
      <c r="F34" s="163">
        <f t="shared" si="0"/>
        <v>-0.37126261122269688</v>
      </c>
      <c r="G34" s="151">
        <v>990297.35548277269</v>
      </c>
      <c r="H34" s="142">
        <v>794181.15864229714</v>
      </c>
      <c r="I34" s="166">
        <f t="shared" si="1"/>
        <v>-0.19803768610981332</v>
      </c>
      <c r="J34" s="173">
        <f t="shared" si="3"/>
        <v>2.3890368673582792E-2</v>
      </c>
    </row>
    <row r="35" spans="3:10" x14ac:dyDescent="0.25">
      <c r="C35" s="87" t="s">
        <v>94</v>
      </c>
      <c r="D35" s="143">
        <v>108611.09791</v>
      </c>
      <c r="E35" s="147">
        <v>260668.09903399998</v>
      </c>
      <c r="F35" s="163">
        <f t="shared" si="0"/>
        <v>1.4000134797458839</v>
      </c>
      <c r="G35" s="151">
        <v>527985.88104899996</v>
      </c>
      <c r="H35" s="142">
        <v>752429.14321199991</v>
      </c>
      <c r="I35" s="166">
        <f t="shared" si="1"/>
        <v>0.42509330309567583</v>
      </c>
      <c r="J35" s="173">
        <f t="shared" si="3"/>
        <v>2.2634394478475772E-2</v>
      </c>
    </row>
    <row r="36" spans="3:10" x14ac:dyDescent="0.25">
      <c r="C36" s="87" t="s">
        <v>95</v>
      </c>
      <c r="D36" s="143">
        <v>123930.38557410002</v>
      </c>
      <c r="E36" s="147">
        <v>119720.06210900001</v>
      </c>
      <c r="F36" s="163">
        <f t="shared" si="0"/>
        <v>-3.3973294326455461E-2</v>
      </c>
      <c r="G36" s="151">
        <v>464809.2172215</v>
      </c>
      <c r="H36" s="142">
        <v>465491.45699169999</v>
      </c>
      <c r="I36" s="166">
        <f t="shared" si="1"/>
        <v>1.4677845122741395E-3</v>
      </c>
      <c r="J36" s="174">
        <f t="shared" si="3"/>
        <v>1.4002803265877732E-2</v>
      </c>
    </row>
    <row r="37" spans="3:10" x14ac:dyDescent="0.25">
      <c r="C37" s="87" t="s">
        <v>91</v>
      </c>
      <c r="D37" s="143">
        <v>126831.265738983</v>
      </c>
      <c r="E37" s="147">
        <v>109355.064862</v>
      </c>
      <c r="F37" s="163">
        <f t="shared" si="0"/>
        <v>-0.13779095221637838</v>
      </c>
      <c r="G37" s="151">
        <v>559019.26350348094</v>
      </c>
      <c r="H37" s="142">
        <v>461049.26365698723</v>
      </c>
      <c r="I37" s="166">
        <f t="shared" si="1"/>
        <v>-0.17525335215194005</v>
      </c>
      <c r="J37" s="174">
        <f t="shared" si="3"/>
        <v>1.386917426280865E-2</v>
      </c>
    </row>
    <row r="38" spans="3:10" x14ac:dyDescent="0.25">
      <c r="C38" s="87" t="s">
        <v>104</v>
      </c>
      <c r="D38" s="143">
        <v>113124.5247859854</v>
      </c>
      <c r="E38" s="147">
        <v>116736.10452300003</v>
      </c>
      <c r="F38" s="163">
        <f t="shared" si="0"/>
        <v>3.1925700849105842E-2</v>
      </c>
      <c r="G38" s="151">
        <v>411950.88406274206</v>
      </c>
      <c r="H38" s="142">
        <v>422946.64694155846</v>
      </c>
      <c r="I38" s="166">
        <f t="shared" si="1"/>
        <v>2.6691926887919326E-2</v>
      </c>
      <c r="J38" s="173">
        <f t="shared" si="3"/>
        <v>1.2722980411627387E-2</v>
      </c>
    </row>
    <row r="39" spans="3:10" x14ac:dyDescent="0.25">
      <c r="C39" s="87" t="s">
        <v>93</v>
      </c>
      <c r="D39" s="143">
        <v>37499.008800000003</v>
      </c>
      <c r="E39" s="147">
        <v>47200.986400000002</v>
      </c>
      <c r="F39" s="163">
        <f t="shared" si="0"/>
        <v>0.25872624131867705</v>
      </c>
      <c r="G39" s="151">
        <v>140879.08964000002</v>
      </c>
      <c r="H39" s="142">
        <v>177074.31075</v>
      </c>
      <c r="I39" s="166">
        <f t="shared" si="1"/>
        <v>0.25692401336843274</v>
      </c>
      <c r="J39" s="173">
        <f t="shared" si="3"/>
        <v>5.3267072888887844E-3</v>
      </c>
    </row>
    <row r="40" spans="3:10" x14ac:dyDescent="0.25">
      <c r="C40" s="87" t="s">
        <v>98</v>
      </c>
      <c r="D40" s="143">
        <v>54076.73861</v>
      </c>
      <c r="E40" s="147">
        <v>26991.909099999997</v>
      </c>
      <c r="F40" s="163">
        <f t="shared" si="0"/>
        <v>-0.50085915323657137</v>
      </c>
      <c r="G40" s="151">
        <v>228021.96614385297</v>
      </c>
      <c r="H40" s="142">
        <v>104301.79631999999</v>
      </c>
      <c r="I40" s="166">
        <f t="shared" si="1"/>
        <v>-0.54258005014219213</v>
      </c>
      <c r="J40" s="173">
        <f t="shared" si="3"/>
        <v>3.1375818228446071E-3</v>
      </c>
    </row>
    <row r="41" spans="3:10" x14ac:dyDescent="0.25">
      <c r="C41" s="87" t="s">
        <v>87</v>
      </c>
      <c r="D41" s="143">
        <v>12133.098</v>
      </c>
      <c r="E41" s="147">
        <v>11341.391310000001</v>
      </c>
      <c r="F41" s="163">
        <f t="shared" si="0"/>
        <v>-6.5251816972054399E-2</v>
      </c>
      <c r="G41" s="151">
        <v>48694.42555</v>
      </c>
      <c r="H41" s="142">
        <v>42959.776169999997</v>
      </c>
      <c r="I41" s="166">
        <f t="shared" si="1"/>
        <v>-0.1177680877272409</v>
      </c>
      <c r="J41" s="174">
        <f t="shared" si="3"/>
        <v>1.2923057663448774E-3</v>
      </c>
    </row>
    <row r="42" spans="3:10" x14ac:dyDescent="0.25">
      <c r="C42" s="87" t="s">
        <v>105</v>
      </c>
      <c r="D42" s="143">
        <v>69191.892590632197</v>
      </c>
      <c r="E42" s="147">
        <v>13199.044888</v>
      </c>
      <c r="F42" s="163">
        <f t="shared" si="0"/>
        <v>-0.80924000784180017</v>
      </c>
      <c r="G42" s="151">
        <v>203930.66458999069</v>
      </c>
      <c r="H42" s="142">
        <v>35341.542087988899</v>
      </c>
      <c r="I42" s="166">
        <f t="shared" si="1"/>
        <v>-0.82669824492042809</v>
      </c>
      <c r="J42" s="174">
        <f t="shared" si="3"/>
        <v>1.063135861115643E-3</v>
      </c>
    </row>
    <row r="43" spans="3:10" x14ac:dyDescent="0.25">
      <c r="C43" s="87" t="s">
        <v>90</v>
      </c>
      <c r="D43" s="143">
        <v>1213.4528399999999</v>
      </c>
      <c r="E43" s="147">
        <v>747.53710000000001</v>
      </c>
      <c r="F43" s="163">
        <f t="shared" si="0"/>
        <v>-0.38395867119153959</v>
      </c>
      <c r="G43" s="151">
        <v>5305.5558500000006</v>
      </c>
      <c r="H43" s="142">
        <v>3647.1388400000001</v>
      </c>
      <c r="I43" s="166">
        <f t="shared" si="1"/>
        <v>-0.3125811991970644</v>
      </c>
      <c r="J43" s="174">
        <f>(H43/$H$27)</f>
        <v>1.0971236290760141E-4</v>
      </c>
    </row>
    <row r="44" spans="3:10" x14ac:dyDescent="0.25">
      <c r="C44" s="86" t="s">
        <v>106</v>
      </c>
      <c r="D44" s="145">
        <f>+SUM(D45:D55)</f>
        <v>137794.98817215199</v>
      </c>
      <c r="E44" s="141">
        <f>+SUM(E45:E55)</f>
        <v>109969.57995600002</v>
      </c>
      <c r="F44" s="164">
        <f t="shared" si="0"/>
        <v>-0.20193338368293001</v>
      </c>
      <c r="G44" s="145">
        <f>+SUM(G45:G55)</f>
        <v>459140.96422939806</v>
      </c>
      <c r="H44" s="141">
        <f>+SUM(H45:H55)</f>
        <v>437816.68053100194</v>
      </c>
      <c r="I44" s="164">
        <f t="shared" si="1"/>
        <v>-4.6443870967134981E-2</v>
      </c>
      <c r="J44" s="171">
        <f>SUM(J45:J55)</f>
        <v>1</v>
      </c>
    </row>
    <row r="45" spans="3:10" x14ac:dyDescent="0.25">
      <c r="C45" s="90" t="s">
        <v>90</v>
      </c>
      <c r="D45" s="149">
        <v>57452.5957939</v>
      </c>
      <c r="E45" s="150">
        <v>35029.526586000007</v>
      </c>
      <c r="F45" s="165">
        <f t="shared" si="0"/>
        <v>-0.39028818277138233</v>
      </c>
      <c r="G45" s="142">
        <v>178007.34611605</v>
      </c>
      <c r="H45" s="146">
        <v>133071.66166165</v>
      </c>
      <c r="I45" s="163">
        <f t="shared" si="1"/>
        <v>-0.25243724730947148</v>
      </c>
      <c r="J45" s="172">
        <f t="shared" ref="J45:J55" si="4">(H45/$H$44)</f>
        <v>0.30394379104116193</v>
      </c>
    </row>
    <row r="46" spans="3:10" x14ac:dyDescent="0.25">
      <c r="C46" s="89" t="s">
        <v>92</v>
      </c>
      <c r="D46" s="151">
        <v>20545.418538625996</v>
      </c>
      <c r="E46" s="142">
        <v>24250.969483000001</v>
      </c>
      <c r="F46" s="166">
        <f t="shared" si="0"/>
        <v>0.18035899037089265</v>
      </c>
      <c r="G46" s="142">
        <v>73096.757489873999</v>
      </c>
      <c r="H46" s="146">
        <v>92454.845087441005</v>
      </c>
      <c r="I46" s="163">
        <f t="shared" si="1"/>
        <v>0.26482826683863037</v>
      </c>
      <c r="J46" s="173">
        <f t="shared" si="4"/>
        <v>0.21117250483765945</v>
      </c>
    </row>
    <row r="47" spans="3:10" x14ac:dyDescent="0.25">
      <c r="C47" s="87" t="s">
        <v>96</v>
      </c>
      <c r="D47" s="151">
        <v>17974.980304480006</v>
      </c>
      <c r="E47" s="142">
        <v>13722.266319999999</v>
      </c>
      <c r="F47" s="166">
        <f t="shared" si="0"/>
        <v>-0.23659074516037604</v>
      </c>
      <c r="G47" s="142">
        <v>61474.329928800013</v>
      </c>
      <c r="H47" s="146">
        <v>58302.922463569994</v>
      </c>
      <c r="I47" s="163">
        <f t="shared" si="1"/>
        <v>-5.1589134341165854E-2</v>
      </c>
      <c r="J47" s="173">
        <f t="shared" si="4"/>
        <v>0.13316743069920917</v>
      </c>
    </row>
    <row r="48" spans="3:10" x14ac:dyDescent="0.25">
      <c r="C48" s="89" t="s">
        <v>93</v>
      </c>
      <c r="D48" s="130">
        <v>14689.8431</v>
      </c>
      <c r="E48" s="143">
        <v>10682.088648000001</v>
      </c>
      <c r="F48" s="166">
        <f t="shared" si="0"/>
        <v>-0.272824864412609</v>
      </c>
      <c r="G48" s="142">
        <v>45494.200647999998</v>
      </c>
      <c r="H48" s="146">
        <v>54132.731414000009</v>
      </c>
      <c r="I48" s="163">
        <f t="shared" si="1"/>
        <v>0.18988202106986085</v>
      </c>
      <c r="J48" s="173">
        <f t="shared" si="4"/>
        <v>0.12364246000939394</v>
      </c>
    </row>
    <row r="49" spans="3:10" x14ac:dyDescent="0.25">
      <c r="C49" s="89" t="s">
        <v>95</v>
      </c>
      <c r="D49" s="130">
        <v>14300.900766636001</v>
      </c>
      <c r="E49" s="143">
        <v>12441.998787999999</v>
      </c>
      <c r="F49" s="166">
        <f t="shared" si="0"/>
        <v>-0.129984957519097</v>
      </c>
      <c r="G49" s="142">
        <v>54657.914215376994</v>
      </c>
      <c r="H49" s="146">
        <v>47784.611217680998</v>
      </c>
      <c r="I49" s="163">
        <f t="shared" si="1"/>
        <v>-0.12575128590915596</v>
      </c>
      <c r="J49" s="173">
        <f t="shared" si="4"/>
        <v>0.10914296632034638</v>
      </c>
    </row>
    <row r="50" spans="3:10" x14ac:dyDescent="0.25">
      <c r="C50" s="89" t="s">
        <v>99</v>
      </c>
      <c r="D50" s="130">
        <v>4167.9170565000004</v>
      </c>
      <c r="E50" s="143">
        <v>4707.564969</v>
      </c>
      <c r="F50" s="166">
        <f t="shared" si="0"/>
        <v>0.12947664389299729</v>
      </c>
      <c r="G50" s="142">
        <v>16024.874030100002</v>
      </c>
      <c r="H50" s="146">
        <v>19541.0725031</v>
      </c>
      <c r="I50" s="163">
        <f t="shared" si="1"/>
        <v>0.21942128633244895</v>
      </c>
      <c r="J50" s="173">
        <f t="shared" si="4"/>
        <v>4.4633001372628815E-2</v>
      </c>
    </row>
    <row r="51" spans="3:10" x14ac:dyDescent="0.25">
      <c r="C51" s="89" t="s">
        <v>101</v>
      </c>
      <c r="D51" s="130">
        <v>3573.09842901</v>
      </c>
      <c r="E51" s="143">
        <v>4980.5297599999994</v>
      </c>
      <c r="F51" s="166">
        <f t="shared" si="0"/>
        <v>0.39389660233344226</v>
      </c>
      <c r="G51" s="142">
        <v>13985.65660717</v>
      </c>
      <c r="H51" s="146">
        <v>17673.359321099997</v>
      </c>
      <c r="I51" s="163">
        <f t="shared" si="1"/>
        <v>0.26367748168787664</v>
      </c>
      <c r="J51" s="173">
        <f t="shared" si="4"/>
        <v>4.0367030556407821E-2</v>
      </c>
    </row>
    <row r="52" spans="3:10" x14ac:dyDescent="0.25">
      <c r="C52" s="89" t="s">
        <v>89</v>
      </c>
      <c r="D52" s="130">
        <v>2612.6450482999999</v>
      </c>
      <c r="E52" s="143">
        <v>2065.0944100000002</v>
      </c>
      <c r="F52" s="166">
        <f t="shared" si="0"/>
        <v>-0.20957712516527294</v>
      </c>
      <c r="G52" s="142">
        <v>9773.6367099999989</v>
      </c>
      <c r="H52" s="146">
        <v>8124.9030602999992</v>
      </c>
      <c r="I52" s="163">
        <f t="shared" si="1"/>
        <v>-0.16869193102021895</v>
      </c>
      <c r="J52" s="173">
        <f t="shared" si="4"/>
        <v>1.8557774113233387E-2</v>
      </c>
    </row>
    <row r="53" spans="3:10" x14ac:dyDescent="0.25">
      <c r="C53" s="89" t="s">
        <v>98</v>
      </c>
      <c r="D53" s="130">
        <v>1627.0601102000003</v>
      </c>
      <c r="E53" s="143">
        <v>1789.867923</v>
      </c>
      <c r="F53" s="166">
        <f t="shared" si="0"/>
        <v>0.10006256792810642</v>
      </c>
      <c r="G53" s="142">
        <v>5028.6251689270002</v>
      </c>
      <c r="H53" s="146">
        <v>5228.1325935599998</v>
      </c>
      <c r="I53" s="163">
        <f t="shared" si="1"/>
        <v>3.9674347944205657E-2</v>
      </c>
      <c r="J53" s="173">
        <f t="shared" si="4"/>
        <v>1.194137369827734E-2</v>
      </c>
    </row>
    <row r="54" spans="3:10" x14ac:dyDescent="0.25">
      <c r="C54" s="89" t="s">
        <v>100</v>
      </c>
      <c r="D54" s="152">
        <v>849.40087449999999</v>
      </c>
      <c r="E54" s="148">
        <v>298.71416900000003</v>
      </c>
      <c r="F54" s="166">
        <f t="shared" si="0"/>
        <v>-0.64832368559093112</v>
      </c>
      <c r="G54" s="142">
        <v>1594.1321650999998</v>
      </c>
      <c r="H54" s="146">
        <v>1488.1025086000002</v>
      </c>
      <c r="I54" s="163">
        <f t="shared" si="1"/>
        <v>-6.6512462906956227E-2</v>
      </c>
      <c r="J54" s="173">
        <f t="shared" si="4"/>
        <v>3.3989168863899125E-3</v>
      </c>
    </row>
    <row r="55" spans="3:10" x14ac:dyDescent="0.25">
      <c r="C55" s="89" t="s">
        <v>94</v>
      </c>
      <c r="D55" s="226">
        <v>1.12815</v>
      </c>
      <c r="E55" s="227">
        <v>0.95889999999999997</v>
      </c>
      <c r="F55" s="166">
        <f t="shared" si="0"/>
        <v>-0.15002437619110931</v>
      </c>
      <c r="G55" s="158">
        <v>3.4911500000000002</v>
      </c>
      <c r="H55" s="146">
        <v>14.338699999999999</v>
      </c>
      <c r="I55" s="163">
        <f t="shared" si="1"/>
        <v>3.1071566675737214</v>
      </c>
      <c r="J55" s="184">
        <f t="shared" si="4"/>
        <v>3.2750465292024592E-5</v>
      </c>
    </row>
    <row r="56" spans="3:10" x14ac:dyDescent="0.25">
      <c r="C56" s="86" t="s">
        <v>107</v>
      </c>
      <c r="D56" s="145">
        <f>+SUM(D57:D73)</f>
        <v>317436.48710021924</v>
      </c>
      <c r="E56" s="141">
        <f>+SUM(E57:E73)</f>
        <v>305459.82966599992</v>
      </c>
      <c r="F56" s="164">
        <f t="shared" si="0"/>
        <v>-3.7729303091859512E-2</v>
      </c>
      <c r="G56" s="145">
        <f>+SUM(G57:G73)</f>
        <v>1177273.0590031371</v>
      </c>
      <c r="H56" s="141">
        <f>+SUM(H57:H73)</f>
        <v>1185083.6508904437</v>
      </c>
      <c r="I56" s="164">
        <f t="shared" si="1"/>
        <v>6.634477725940835E-3</v>
      </c>
      <c r="J56" s="171">
        <f>SUM(J57:J73)</f>
        <v>0.99999999999999978</v>
      </c>
    </row>
    <row r="57" spans="3:10" x14ac:dyDescent="0.25">
      <c r="C57" s="90" t="s">
        <v>90</v>
      </c>
      <c r="D57" s="149">
        <v>61725.657464129108</v>
      </c>
      <c r="E57" s="150">
        <v>55597.119042999984</v>
      </c>
      <c r="F57" s="165">
        <f t="shared" si="0"/>
        <v>-9.9286725697342759E-2</v>
      </c>
      <c r="G57" s="149">
        <v>209146.09477826761</v>
      </c>
      <c r="H57" s="150">
        <v>241540.16754062241</v>
      </c>
      <c r="I57" s="165">
        <f t="shared" si="1"/>
        <v>0.15488729443740423</v>
      </c>
      <c r="J57" s="172">
        <f t="shared" ref="J57:J73" si="5">(H57/$H$56)</f>
        <v>0.20381697727340586</v>
      </c>
    </row>
    <row r="58" spans="3:10" x14ac:dyDescent="0.25">
      <c r="C58" s="87" t="s">
        <v>96</v>
      </c>
      <c r="D58" s="151">
        <v>65290.361395410997</v>
      </c>
      <c r="E58" s="142">
        <v>56901.717350999999</v>
      </c>
      <c r="F58" s="166">
        <f t="shared" si="0"/>
        <v>-0.12848211995041281</v>
      </c>
      <c r="G58" s="151">
        <v>251920.119322265</v>
      </c>
      <c r="H58" s="142">
        <v>214238.2666940974</v>
      </c>
      <c r="I58" s="166">
        <f t="shared" si="1"/>
        <v>-0.14957857565938848</v>
      </c>
      <c r="J58" s="173">
        <f t="shared" si="5"/>
        <v>0.18077902478286983</v>
      </c>
    </row>
    <row r="59" spans="3:10" ht="15" customHeight="1" x14ac:dyDescent="0.25">
      <c r="C59" s="87" t="s">
        <v>92</v>
      </c>
      <c r="D59" s="151">
        <v>45432.985383814899</v>
      </c>
      <c r="E59" s="142">
        <v>45575.039843000006</v>
      </c>
      <c r="F59" s="166">
        <f t="shared" si="0"/>
        <v>3.1266811543428918E-3</v>
      </c>
      <c r="G59" s="151">
        <v>156359.79006653</v>
      </c>
      <c r="H59" s="142">
        <v>170054.10352415781</v>
      </c>
      <c r="I59" s="166">
        <f t="shared" si="1"/>
        <v>8.7582066027339645E-2</v>
      </c>
      <c r="J59" s="173">
        <f t="shared" si="5"/>
        <v>0.14349544304014589</v>
      </c>
    </row>
    <row r="60" spans="3:10" x14ac:dyDescent="0.25">
      <c r="C60" s="87" t="s">
        <v>95</v>
      </c>
      <c r="D60" s="151">
        <v>41989.014704781002</v>
      </c>
      <c r="E60" s="142">
        <v>41340.198919000002</v>
      </c>
      <c r="F60" s="166">
        <f t="shared" si="0"/>
        <v>-1.5452036451503726E-2</v>
      </c>
      <c r="G60" s="151">
        <v>164843.644629927</v>
      </c>
      <c r="H60" s="142">
        <v>161023.1600560245</v>
      </c>
      <c r="I60" s="166">
        <f t="shared" si="1"/>
        <v>-2.3176414125515521E-2</v>
      </c>
      <c r="J60" s="173">
        <f t="shared" si="5"/>
        <v>0.13587493164304099</v>
      </c>
    </row>
    <row r="61" spans="3:10" x14ac:dyDescent="0.25">
      <c r="C61" s="89" t="s">
        <v>88</v>
      </c>
      <c r="D61" s="130">
        <v>14692.9505726767</v>
      </c>
      <c r="E61" s="143">
        <v>13799.022729</v>
      </c>
      <c r="F61" s="166">
        <f t="shared" si="0"/>
        <v>-6.0840594219316646E-2</v>
      </c>
      <c r="G61" s="151">
        <v>47957.481649505899</v>
      </c>
      <c r="H61" s="142">
        <v>59672.822998256801</v>
      </c>
      <c r="I61" s="166">
        <f t="shared" si="1"/>
        <v>0.24428599971891152</v>
      </c>
      <c r="J61" s="174">
        <f t="shared" si="5"/>
        <v>5.0353258146308963E-2</v>
      </c>
    </row>
    <row r="62" spans="3:10" x14ac:dyDescent="0.25">
      <c r="C62" s="89" t="s">
        <v>101</v>
      </c>
      <c r="D62" s="130">
        <v>17997.114765714901</v>
      </c>
      <c r="E62" s="143">
        <v>15165.748482999999</v>
      </c>
      <c r="F62" s="166">
        <f t="shared" si="0"/>
        <v>-0.15732334430120698</v>
      </c>
      <c r="G62" s="151">
        <v>68306.124022101198</v>
      </c>
      <c r="H62" s="142">
        <v>59250.161587770795</v>
      </c>
      <c r="I62" s="166">
        <f t="shared" si="1"/>
        <v>-0.13257907052960938</v>
      </c>
      <c r="J62" s="174">
        <f t="shared" si="5"/>
        <v>4.9996607027066514E-2</v>
      </c>
    </row>
    <row r="63" spans="3:10" ht="15" customHeight="1" x14ac:dyDescent="0.25">
      <c r="C63" s="89" t="s">
        <v>93</v>
      </c>
      <c r="D63" s="130">
        <v>16558.333933561</v>
      </c>
      <c r="E63" s="143">
        <v>15961.614870000001</v>
      </c>
      <c r="F63" s="166">
        <f t="shared" si="0"/>
        <v>-3.6037385521712872E-2</v>
      </c>
      <c r="G63" s="151">
        <v>75144.204199705913</v>
      </c>
      <c r="H63" s="142">
        <v>54164.893060625298</v>
      </c>
      <c r="I63" s="166">
        <f t="shared" si="1"/>
        <v>-0.27918734867861861</v>
      </c>
      <c r="J63" s="173">
        <f t="shared" si="5"/>
        <v>4.5705544093808975E-2</v>
      </c>
    </row>
    <row r="64" spans="3:10" x14ac:dyDescent="0.25">
      <c r="C64" s="89" t="s">
        <v>98</v>
      </c>
      <c r="D64" s="130">
        <v>11006.978955829698</v>
      </c>
      <c r="E64" s="143">
        <v>10679.917039000002</v>
      </c>
      <c r="F64" s="166">
        <f t="shared" si="0"/>
        <v>-2.971404943556033E-2</v>
      </c>
      <c r="G64" s="151">
        <v>46340.491240491996</v>
      </c>
      <c r="H64" s="142">
        <v>43184.195508451863</v>
      </c>
      <c r="I64" s="166">
        <f t="shared" si="1"/>
        <v>-6.8110968346450806E-2</v>
      </c>
      <c r="J64" s="173">
        <f t="shared" si="5"/>
        <v>3.6439786740796135E-2</v>
      </c>
    </row>
    <row r="65" spans="3:10" x14ac:dyDescent="0.25">
      <c r="C65" s="89" t="s">
        <v>89</v>
      </c>
      <c r="D65" s="130">
        <v>6569.4989380249017</v>
      </c>
      <c r="E65" s="143">
        <v>9618.5683340000014</v>
      </c>
      <c r="F65" s="166">
        <f t="shared" si="0"/>
        <v>0.46412510676069796</v>
      </c>
      <c r="G65" s="151">
        <v>26039.070542029105</v>
      </c>
      <c r="H65" s="142">
        <v>38652.673521769306</v>
      </c>
      <c r="I65" s="166">
        <f t="shared" si="1"/>
        <v>0.48441064589386373</v>
      </c>
      <c r="J65" s="173">
        <f t="shared" si="5"/>
        <v>3.2615987481328094E-2</v>
      </c>
    </row>
    <row r="66" spans="3:10" x14ac:dyDescent="0.25">
      <c r="C66" s="89" t="s">
        <v>94</v>
      </c>
      <c r="D66" s="130">
        <v>7110.247004249899</v>
      </c>
      <c r="E66" s="143">
        <v>9336.2164769999999</v>
      </c>
      <c r="F66" s="166">
        <f>+E66/D66-1</f>
        <v>0.31306499920742636</v>
      </c>
      <c r="G66" s="151">
        <v>28901.270550048896</v>
      </c>
      <c r="H66" s="142">
        <v>31720.094305632701</v>
      </c>
      <c r="I66" s="166">
        <f t="shared" si="1"/>
        <v>9.7532866269750773E-2</v>
      </c>
      <c r="J66" s="173">
        <f t="shared" si="5"/>
        <v>2.6766122612356499E-2</v>
      </c>
    </row>
    <row r="67" spans="3:10" x14ac:dyDescent="0.25">
      <c r="C67" s="89" t="s">
        <v>91</v>
      </c>
      <c r="D67" s="130">
        <v>8227.1285773696</v>
      </c>
      <c r="E67" s="143">
        <v>7752.0283009999994</v>
      </c>
      <c r="F67" s="166">
        <f t="shared" si="0"/>
        <v>-5.7748006719678724E-2</v>
      </c>
      <c r="G67" s="151">
        <v>31695.695323853699</v>
      </c>
      <c r="H67" s="142">
        <v>30869.5185076466</v>
      </c>
      <c r="I67" s="166">
        <f t="shared" si="1"/>
        <v>-2.6065899730722486E-2</v>
      </c>
      <c r="J67" s="173">
        <f t="shared" si="5"/>
        <v>2.6048387794778857E-2</v>
      </c>
    </row>
    <row r="68" spans="3:10" x14ac:dyDescent="0.25">
      <c r="C68" s="89" t="s">
        <v>87</v>
      </c>
      <c r="D68" s="130">
        <v>7285.1043692330004</v>
      </c>
      <c r="E68" s="143">
        <v>7300.5300049999996</v>
      </c>
      <c r="F68" s="166">
        <f t="shared" si="0"/>
        <v>2.1174213827526156E-3</v>
      </c>
      <c r="G68" s="151">
        <v>28007.694674707302</v>
      </c>
      <c r="H68" s="142">
        <v>26451.142871408902</v>
      </c>
      <c r="I68" s="166">
        <f t="shared" si="1"/>
        <v>-5.5575863039668993E-2</v>
      </c>
      <c r="J68" s="173">
        <f t="shared" si="5"/>
        <v>2.2320063947835363E-2</v>
      </c>
    </row>
    <row r="69" spans="3:10" x14ac:dyDescent="0.25">
      <c r="C69" s="89" t="s">
        <v>100</v>
      </c>
      <c r="D69" s="130">
        <v>4749.4947465815994</v>
      </c>
      <c r="E69" s="143">
        <v>8586.7981999999993</v>
      </c>
      <c r="F69" s="166">
        <f t="shared" si="0"/>
        <v>0.80793929842332379</v>
      </c>
      <c r="G69" s="151">
        <v>9286.1524536192992</v>
      </c>
      <c r="H69" s="142">
        <v>19513.631083706197</v>
      </c>
      <c r="I69" s="166">
        <f t="shared" si="1"/>
        <v>1.1013688049134616</v>
      </c>
      <c r="J69" s="173">
        <f t="shared" si="5"/>
        <v>1.6466036865029839E-2</v>
      </c>
    </row>
    <row r="70" spans="3:10" x14ac:dyDescent="0.25">
      <c r="C70" s="89" t="s">
        <v>99</v>
      </c>
      <c r="D70" s="130">
        <v>4959.0919923029996</v>
      </c>
      <c r="E70" s="143">
        <v>3836.6576759999998</v>
      </c>
      <c r="F70" s="166">
        <f t="shared" si="0"/>
        <v>-0.22633867612158209</v>
      </c>
      <c r="G70" s="151">
        <v>17906.862712238602</v>
      </c>
      <c r="H70" s="142">
        <v>17530.200353039399</v>
      </c>
      <c r="I70" s="166">
        <f t="shared" si="1"/>
        <v>-2.1034525435981055E-2</v>
      </c>
      <c r="J70" s="173">
        <f t="shared" si="5"/>
        <v>1.4792373804049717E-2</v>
      </c>
    </row>
    <row r="71" spans="3:10" x14ac:dyDescent="0.25">
      <c r="C71" s="89" t="s">
        <v>97</v>
      </c>
      <c r="D71" s="130">
        <v>2029.1540466920001</v>
      </c>
      <c r="E71" s="148">
        <v>2474.6451200000001</v>
      </c>
      <c r="F71" s="166">
        <f t="shared" si="0"/>
        <v>0.21954522084425077</v>
      </c>
      <c r="G71" s="151">
        <v>8620.9452335054011</v>
      </c>
      <c r="H71" s="142">
        <v>10765.074557115</v>
      </c>
      <c r="I71" s="166">
        <f t="shared" si="1"/>
        <v>0.24871162796353419</v>
      </c>
      <c r="J71" s="173">
        <f t="shared" si="5"/>
        <v>9.0838098635707097E-3</v>
      </c>
    </row>
    <row r="72" spans="3:10" x14ac:dyDescent="0.25">
      <c r="C72" s="89" t="s">
        <v>103</v>
      </c>
      <c r="D72" s="130">
        <v>1804.4714020189999</v>
      </c>
      <c r="E72" s="143">
        <v>1526.7378550000001</v>
      </c>
      <c r="F72" s="166">
        <f t="shared" si="0"/>
        <v>-0.15391407517361999</v>
      </c>
      <c r="G72" s="151">
        <v>6765.1623175984005</v>
      </c>
      <c r="H72" s="142">
        <v>6435.7102343318011</v>
      </c>
      <c r="I72" s="166">
        <f t="shared" si="1"/>
        <v>-4.8698326485025589E-2</v>
      </c>
      <c r="J72" s="173">
        <f t="shared" si="5"/>
        <v>5.43059574697209E-3</v>
      </c>
    </row>
    <row r="73" spans="3:10" x14ac:dyDescent="0.25">
      <c r="C73" s="89" t="s">
        <v>105</v>
      </c>
      <c r="D73" s="152">
        <v>8.8988478278999992</v>
      </c>
      <c r="E73" s="148">
        <v>7.2694210000000004</v>
      </c>
      <c r="F73" s="166">
        <f t="shared" si="0"/>
        <v>-0.18310537042687247</v>
      </c>
      <c r="G73" s="151">
        <v>32.255286741799999</v>
      </c>
      <c r="H73" s="142">
        <v>17.8344857867</v>
      </c>
      <c r="I73" s="166">
        <f t="shared" si="1"/>
        <v>-0.44708332840246978</v>
      </c>
      <c r="J73" s="184">
        <f t="shared" si="5"/>
        <v>1.5049136635459944E-5</v>
      </c>
    </row>
    <row r="74" spans="3:10" x14ac:dyDescent="0.25">
      <c r="C74" s="86" t="s">
        <v>108</v>
      </c>
      <c r="D74" s="145">
        <f>+SUM(D75:D85)</f>
        <v>28750.084194300005</v>
      </c>
      <c r="E74" s="141">
        <f>+SUM(E75:E85)</f>
        <v>23631.853858000002</v>
      </c>
      <c r="F74" s="164">
        <f t="shared" si="0"/>
        <v>-0.17802488165633767</v>
      </c>
      <c r="G74" s="145">
        <f>+SUM(G75:G85)</f>
        <v>99480.105894389882</v>
      </c>
      <c r="H74" s="141">
        <f>+SUM(H75:H85)</f>
        <v>91556.936551915991</v>
      </c>
      <c r="I74" s="164">
        <f t="shared" si="1"/>
        <v>-7.9645767073119988E-2</v>
      </c>
      <c r="J74" s="171">
        <f>SUM(J75:J85)</f>
        <v>1.0000000000000002</v>
      </c>
    </row>
    <row r="75" spans="3:10" x14ac:dyDescent="0.25">
      <c r="C75" s="90" t="s">
        <v>95</v>
      </c>
      <c r="D75" s="142">
        <v>8082.6447177060008</v>
      </c>
      <c r="E75" s="146">
        <v>7217.8849179999997</v>
      </c>
      <c r="F75" s="163">
        <f t="shared" si="0"/>
        <v>-0.10698970818445619</v>
      </c>
      <c r="G75" s="149">
        <v>30038.978929643999</v>
      </c>
      <c r="H75" s="150">
        <v>26428.973162398001</v>
      </c>
      <c r="I75" s="165">
        <f t="shared" si="1"/>
        <v>-0.12017737938766826</v>
      </c>
      <c r="J75" s="172">
        <f t="shared" ref="J75:J85" si="6">(H75/$H$74)</f>
        <v>0.28866161492211839</v>
      </c>
    </row>
    <row r="76" spans="3:10" x14ac:dyDescent="0.25">
      <c r="C76" s="87" t="s">
        <v>92</v>
      </c>
      <c r="D76" s="142">
        <v>3264.7781204839998</v>
      </c>
      <c r="E76" s="146">
        <v>4065.430816000001</v>
      </c>
      <c r="F76" s="163">
        <f t="shared" ref="F76:F89" si="7">+E76/D76-1</f>
        <v>0.2452395433835195</v>
      </c>
      <c r="G76" s="151">
        <v>11634.933978821</v>
      </c>
      <c r="H76" s="142">
        <v>15412.321332468</v>
      </c>
      <c r="I76" s="166">
        <f t="shared" si="1"/>
        <v>0.32465911371073997</v>
      </c>
      <c r="J76" s="173">
        <f t="shared" si="6"/>
        <v>0.16833592202736788</v>
      </c>
    </row>
    <row r="77" spans="3:10" x14ac:dyDescent="0.25">
      <c r="C77" s="87" t="s">
        <v>96</v>
      </c>
      <c r="D77" s="142">
        <v>5782.0980152399998</v>
      </c>
      <c r="E77" s="146">
        <v>3387.4200369999999</v>
      </c>
      <c r="F77" s="163">
        <f t="shared" si="7"/>
        <v>-0.41415381958733588</v>
      </c>
      <c r="G77" s="151">
        <v>19608.715191579999</v>
      </c>
      <c r="H77" s="142">
        <v>15224.333084559999</v>
      </c>
      <c r="I77" s="166">
        <f t="shared" ref="I77:I90" si="8">+H77/G77-1</f>
        <v>-0.22359354318648361</v>
      </c>
      <c r="J77" s="173">
        <f t="shared" si="6"/>
        <v>0.16628268329977675</v>
      </c>
    </row>
    <row r="78" spans="3:10" x14ac:dyDescent="0.25">
      <c r="C78" s="87" t="s">
        <v>98</v>
      </c>
      <c r="D78" s="142">
        <v>2229.0576177000007</v>
      </c>
      <c r="E78" s="146">
        <v>2564.3633</v>
      </c>
      <c r="F78" s="163">
        <f t="shared" si="7"/>
        <v>0.15042486099842334</v>
      </c>
      <c r="G78" s="151">
        <v>8682.1741401249019</v>
      </c>
      <c r="H78" s="142">
        <v>8128.2009648399999</v>
      </c>
      <c r="I78" s="166">
        <f t="shared" si="8"/>
        <v>-6.3805812500891901E-2</v>
      </c>
      <c r="J78" s="173">
        <f t="shared" si="6"/>
        <v>8.8777554939608816E-2</v>
      </c>
    </row>
    <row r="79" spans="3:10" x14ac:dyDescent="0.25">
      <c r="C79" s="89" t="s">
        <v>90</v>
      </c>
      <c r="D79" s="143">
        <v>3788.8424527000006</v>
      </c>
      <c r="E79" s="147">
        <v>1703.7249220000003</v>
      </c>
      <c r="F79" s="163">
        <f t="shared" si="7"/>
        <v>-0.55033101975884646</v>
      </c>
      <c r="G79" s="151">
        <v>10634.162126000001</v>
      </c>
      <c r="H79" s="142">
        <v>7037.7434662000005</v>
      </c>
      <c r="I79" s="166">
        <f t="shared" si="8"/>
        <v>-0.33819483069633993</v>
      </c>
      <c r="J79" s="173">
        <f t="shared" si="6"/>
        <v>7.6867397831832801E-2</v>
      </c>
    </row>
    <row r="80" spans="3:10" x14ac:dyDescent="0.25">
      <c r="C80" s="89" t="s">
        <v>93</v>
      </c>
      <c r="D80" s="143">
        <v>1996.8439799999999</v>
      </c>
      <c r="E80" s="147">
        <v>1301.852693</v>
      </c>
      <c r="F80" s="163">
        <f t="shared" si="7"/>
        <v>-0.3480448617723253</v>
      </c>
      <c r="G80" s="151">
        <v>6597.4564609999998</v>
      </c>
      <c r="H80" s="142">
        <v>6229.892327999999</v>
      </c>
      <c r="I80" s="166">
        <f t="shared" si="8"/>
        <v>-5.5713006243058638E-2</v>
      </c>
      <c r="J80" s="173">
        <f t="shared" si="6"/>
        <v>6.8043914121869206E-2</v>
      </c>
    </row>
    <row r="81" spans="3:10" x14ac:dyDescent="0.25">
      <c r="C81" s="89" t="s">
        <v>89</v>
      </c>
      <c r="D81" s="143">
        <v>1599.9493110999999</v>
      </c>
      <c r="E81" s="147">
        <v>1368.546034</v>
      </c>
      <c r="F81" s="163">
        <f t="shared" si="7"/>
        <v>-0.14463163019890002</v>
      </c>
      <c r="G81" s="151">
        <v>6216.0572035000005</v>
      </c>
      <c r="H81" s="142">
        <v>5652.3148510000001</v>
      </c>
      <c r="I81" s="166">
        <f t="shared" si="8"/>
        <v>-9.0691307052737646E-2</v>
      </c>
      <c r="J81" s="173">
        <f t="shared" si="6"/>
        <v>6.1735517415383807E-2</v>
      </c>
    </row>
    <row r="82" spans="3:10" x14ac:dyDescent="0.25">
      <c r="C82" s="89" t="s">
        <v>99</v>
      </c>
      <c r="D82" s="143">
        <v>580.59110470000007</v>
      </c>
      <c r="E82" s="147">
        <v>1036.0539269999999</v>
      </c>
      <c r="F82" s="163">
        <f t="shared" si="7"/>
        <v>0.7844812271716497</v>
      </c>
      <c r="G82" s="151">
        <v>2540.6423850000001</v>
      </c>
      <c r="H82" s="142">
        <v>3669.2221468999996</v>
      </c>
      <c r="I82" s="166">
        <f t="shared" si="8"/>
        <v>0.44421039677333396</v>
      </c>
      <c r="J82" s="173">
        <f t="shared" si="6"/>
        <v>4.0075850995947446E-2</v>
      </c>
    </row>
    <row r="83" spans="3:10" x14ac:dyDescent="0.25">
      <c r="C83" s="89" t="s">
        <v>101</v>
      </c>
      <c r="D83" s="143">
        <v>567.95630106999999</v>
      </c>
      <c r="E83" s="147">
        <v>610.78896399999996</v>
      </c>
      <c r="F83" s="163">
        <f t="shared" si="7"/>
        <v>7.5415419899920844E-2</v>
      </c>
      <c r="G83" s="151">
        <v>1835.20293262</v>
      </c>
      <c r="H83" s="142">
        <v>2103.8358841499999</v>
      </c>
      <c r="I83" s="166">
        <f t="shared" si="8"/>
        <v>0.14637779111789562</v>
      </c>
      <c r="J83" s="173">
        <f t="shared" si="6"/>
        <v>2.2978443396880707E-2</v>
      </c>
    </row>
    <row r="84" spans="3:10" x14ac:dyDescent="0.25">
      <c r="C84" s="89" t="s">
        <v>100</v>
      </c>
      <c r="D84" s="148">
        <v>849.14270759999999</v>
      </c>
      <c r="E84" s="153">
        <v>364.40882699999997</v>
      </c>
      <c r="F84" s="163">
        <f t="shared" si="7"/>
        <v>-0.57085090204689171</v>
      </c>
      <c r="G84" s="151">
        <v>1661.8683301000001</v>
      </c>
      <c r="H84" s="142">
        <v>1598.7629434</v>
      </c>
      <c r="I84" s="166">
        <f t="shared" si="8"/>
        <v>-3.7972555079741399E-2</v>
      </c>
      <c r="J84" s="173">
        <f t="shared" si="6"/>
        <v>1.7461953223974959E-2</v>
      </c>
    </row>
    <row r="85" spans="3:10" x14ac:dyDescent="0.25">
      <c r="C85" s="89" t="s">
        <v>94</v>
      </c>
      <c r="D85" s="143">
        <v>8.1798660000000005</v>
      </c>
      <c r="E85" s="147">
        <v>11.379420000000001</v>
      </c>
      <c r="F85" s="163">
        <f t="shared" si="7"/>
        <v>0.39114992837290985</v>
      </c>
      <c r="G85" s="151">
        <v>29.914216</v>
      </c>
      <c r="H85" s="142">
        <v>71.336387999999999</v>
      </c>
      <c r="I85" s="166">
        <f t="shared" si="8"/>
        <v>1.3846985660596953</v>
      </c>
      <c r="J85" s="173">
        <f t="shared" si="6"/>
        <v>7.7914782523932273E-4</v>
      </c>
    </row>
    <row r="86" spans="3:10" x14ac:dyDescent="0.25">
      <c r="C86" s="86" t="s">
        <v>109</v>
      </c>
      <c r="D86" s="145">
        <f>+D87</f>
        <v>1091388.6164500001</v>
      </c>
      <c r="E86" s="141">
        <f>+E87</f>
        <v>1114153.7374539999</v>
      </c>
      <c r="F86" s="164">
        <f t="shared" si="7"/>
        <v>2.0858858761097165E-2</v>
      </c>
      <c r="G86" s="145">
        <f>+G87</f>
        <v>4592961.2292860001</v>
      </c>
      <c r="H86" s="141">
        <f>+H87</f>
        <v>4683028.426244</v>
      </c>
      <c r="I86" s="164">
        <f t="shared" si="8"/>
        <v>1.9609831753794493E-2</v>
      </c>
      <c r="J86" s="171">
        <f>SUM(J87)</f>
        <v>1</v>
      </c>
    </row>
    <row r="87" spans="3:10" x14ac:dyDescent="0.25">
      <c r="C87" s="91" t="s">
        <v>93</v>
      </c>
      <c r="D87" s="154">
        <v>1091388.6164500001</v>
      </c>
      <c r="E87" s="155">
        <v>1114153.7374539999</v>
      </c>
      <c r="F87" s="167">
        <f t="shared" si="7"/>
        <v>2.0858858761097165E-2</v>
      </c>
      <c r="G87" s="159">
        <v>4592961.2292860001</v>
      </c>
      <c r="H87" s="160">
        <v>4683028.426244</v>
      </c>
      <c r="I87" s="167">
        <f t="shared" si="8"/>
        <v>1.9609831753794493E-2</v>
      </c>
      <c r="J87" s="175">
        <f>(H87/$H$86)</f>
        <v>1</v>
      </c>
    </row>
    <row r="88" spans="3:10" x14ac:dyDescent="0.25">
      <c r="C88" s="86" t="s">
        <v>110</v>
      </c>
      <c r="D88" s="145">
        <f>SUM(D89:D89)</f>
        <v>2723.0601999999999</v>
      </c>
      <c r="E88" s="141">
        <f>SUM(E89:E89)</f>
        <v>3064.913102</v>
      </c>
      <c r="F88" s="164">
        <f t="shared" si="7"/>
        <v>0.12553997227090319</v>
      </c>
      <c r="G88" s="145">
        <f>SUM(G89:G89)</f>
        <v>10780.76744</v>
      </c>
      <c r="H88" s="141">
        <f>SUM(H89:H89)</f>
        <v>11057.710786</v>
      </c>
      <c r="I88" s="164">
        <f t="shared" si="8"/>
        <v>2.5688648562481209E-2</v>
      </c>
      <c r="J88" s="171">
        <f>SUM(J89:J89)</f>
        <v>1</v>
      </c>
    </row>
    <row r="89" spans="3:10" x14ac:dyDescent="0.25">
      <c r="C89" s="187" t="s">
        <v>100</v>
      </c>
      <c r="D89" s="188">
        <v>2723.0601999999999</v>
      </c>
      <c r="E89" s="189">
        <v>3064.913102</v>
      </c>
      <c r="F89" s="165">
        <f t="shared" si="7"/>
        <v>0.12553997227090319</v>
      </c>
      <c r="G89" s="149">
        <v>10780.76744</v>
      </c>
      <c r="H89" s="150">
        <v>11057.710786</v>
      </c>
      <c r="I89" s="165">
        <f t="shared" si="8"/>
        <v>2.5688648562481209E-2</v>
      </c>
      <c r="J89" s="172">
        <f>(H89/$H$88)</f>
        <v>1</v>
      </c>
    </row>
    <row r="90" spans="3:10" x14ac:dyDescent="0.25">
      <c r="C90" s="86" t="s">
        <v>111</v>
      </c>
      <c r="D90" s="145">
        <f>SUM(D91:D95)</f>
        <v>3212.9077212199995</v>
      </c>
      <c r="E90" s="141">
        <f>SUM(E91:E95)</f>
        <v>3178.8406869999999</v>
      </c>
      <c r="F90" s="164">
        <f t="shared" ref="F90:F109" si="9">(E90-D90)/D90</f>
        <v>-1.0603178546025519E-2</v>
      </c>
      <c r="G90" s="145">
        <f>SUM(G91:G95)</f>
        <v>13927.338194324098</v>
      </c>
      <c r="H90" s="141">
        <f>SUM(H91:H95)</f>
        <v>12902.320406512001</v>
      </c>
      <c r="I90" s="164">
        <f t="shared" si="8"/>
        <v>-7.359753698160576E-2</v>
      </c>
      <c r="J90" s="171">
        <f>SUM(J91:J95)</f>
        <v>0.99999999999999989</v>
      </c>
    </row>
    <row r="91" spans="3:10" x14ac:dyDescent="0.25">
      <c r="C91" s="90" t="s">
        <v>89</v>
      </c>
      <c r="D91" s="98">
        <v>921.84973260000004</v>
      </c>
      <c r="E91" s="99">
        <v>961.35963300000003</v>
      </c>
      <c r="F91" s="165">
        <f t="shared" si="9"/>
        <v>4.2859371763948585E-2</v>
      </c>
      <c r="G91" s="98">
        <v>3578.5593177000001</v>
      </c>
      <c r="H91" s="99">
        <v>3693.9466335000002</v>
      </c>
      <c r="I91" s="165">
        <f t="shared" ref="I91:I102" si="10">(H91-G91)/G91</f>
        <v>3.224406962580726E-2</v>
      </c>
      <c r="J91" s="172">
        <f>(H91/$H$90)</f>
        <v>0.28630095340335898</v>
      </c>
    </row>
    <row r="92" spans="3:10" x14ac:dyDescent="0.25">
      <c r="C92" s="87" t="s">
        <v>87</v>
      </c>
      <c r="D92" s="151">
        <v>764.30687519999992</v>
      </c>
      <c r="E92" s="142">
        <v>949.10525199999995</v>
      </c>
      <c r="F92" s="166">
        <f t="shared" si="9"/>
        <v>0.24178557435014952</v>
      </c>
      <c r="G92" s="151">
        <v>2991.0299577940996</v>
      </c>
      <c r="H92" s="142">
        <v>3433.1945538819996</v>
      </c>
      <c r="I92" s="166">
        <f t="shared" si="10"/>
        <v>0.14783021311294345</v>
      </c>
      <c r="J92" s="173">
        <f>(H92/$H$90)</f>
        <v>0.26609124914842552</v>
      </c>
    </row>
    <row r="93" spans="3:10" x14ac:dyDescent="0.25">
      <c r="C93" s="87" t="s">
        <v>91</v>
      </c>
      <c r="D93" s="151">
        <v>813.77134799999999</v>
      </c>
      <c r="E93" s="142">
        <v>601.09780699999999</v>
      </c>
      <c r="F93" s="166">
        <f t="shared" si="9"/>
        <v>-0.26134311747726957</v>
      </c>
      <c r="G93" s="151">
        <v>3329.0956415999999</v>
      </c>
      <c r="H93" s="142">
        <v>3257.7248655000003</v>
      </c>
      <c r="I93" s="166">
        <f t="shared" si="10"/>
        <v>-2.1438487740682039E-2</v>
      </c>
      <c r="J93" s="173">
        <f>(H93/$H$90)</f>
        <v>0.25249139401744947</v>
      </c>
    </row>
    <row r="94" spans="3:10" x14ac:dyDescent="0.25">
      <c r="C94" s="87" t="s">
        <v>88</v>
      </c>
      <c r="D94" s="151">
        <v>249.46112099999999</v>
      </c>
      <c r="E94" s="142">
        <v>308.09692899999999</v>
      </c>
      <c r="F94" s="166">
        <f t="shared" si="9"/>
        <v>0.23504988578961769</v>
      </c>
      <c r="G94" s="151">
        <v>925.23790499999996</v>
      </c>
      <c r="H94" s="142">
        <v>999.81850800000007</v>
      </c>
      <c r="I94" s="166">
        <f t="shared" si="10"/>
        <v>8.060694724780014E-2</v>
      </c>
      <c r="J94" s="173">
        <f>(H94/$H$90)</f>
        <v>7.7491371822961105E-2</v>
      </c>
    </row>
    <row r="95" spans="3:10" x14ac:dyDescent="0.25">
      <c r="C95" s="89" t="s">
        <v>118</v>
      </c>
      <c r="D95" s="130">
        <v>463.51864441999999</v>
      </c>
      <c r="E95" s="143">
        <v>359.18106599999999</v>
      </c>
      <c r="F95" s="166">
        <f t="shared" si="9"/>
        <v>-0.22509898938489825</v>
      </c>
      <c r="G95" s="151">
        <v>3103.4153722299998</v>
      </c>
      <c r="H95" s="142">
        <v>1517.6358456299999</v>
      </c>
      <c r="I95" s="166">
        <f t="shared" si="10"/>
        <v>-0.5109788205568232</v>
      </c>
      <c r="J95" s="192">
        <f t="shared" ref="J95" si="11">(H95/$H$90)</f>
        <v>0.11762503160780488</v>
      </c>
    </row>
    <row r="96" spans="3:10" x14ac:dyDescent="0.25">
      <c r="C96" s="86" t="s">
        <v>112</v>
      </c>
      <c r="D96" s="145">
        <f>SUM(D97:D102)</f>
        <v>2378.2725717000003</v>
      </c>
      <c r="E96" s="141">
        <f>SUM(E97:E102)</f>
        <v>2173.9089790000007</v>
      </c>
      <c r="F96" s="164">
        <f t="shared" si="9"/>
        <v>-8.5929424209740396E-2</v>
      </c>
      <c r="G96" s="145">
        <f>SUM(G97:G102)</f>
        <v>8867.0541041999986</v>
      </c>
      <c r="H96" s="141">
        <f>SUM(H97:H102)</f>
        <v>7873.8033826000001</v>
      </c>
      <c r="I96" s="164">
        <f t="shared" si="10"/>
        <v>-0.11201586343423033</v>
      </c>
      <c r="J96" s="171">
        <f>SUM(J97:J102)</f>
        <v>1</v>
      </c>
    </row>
    <row r="97" spans="3:10" x14ac:dyDescent="0.25">
      <c r="C97" s="77" t="s">
        <v>95</v>
      </c>
      <c r="D97" s="117">
        <v>1467.2400885</v>
      </c>
      <c r="E97" s="118">
        <v>1200.724954</v>
      </c>
      <c r="F97" s="109">
        <f t="shared" si="9"/>
        <v>-0.18164384724006943</v>
      </c>
      <c r="G97" s="98">
        <v>5617.9247964999995</v>
      </c>
      <c r="H97" s="99">
        <v>4671.9892487000006</v>
      </c>
      <c r="I97" s="133">
        <f t="shared" si="10"/>
        <v>-0.16837810794286928</v>
      </c>
      <c r="J97" s="172">
        <f>(H97/$H$96)</f>
        <v>0.59335863771051744</v>
      </c>
    </row>
    <row r="98" spans="3:10" x14ac:dyDescent="0.25">
      <c r="C98" s="73" t="s">
        <v>92</v>
      </c>
      <c r="D98" s="102">
        <v>750.87071600000002</v>
      </c>
      <c r="E98" s="103">
        <v>882.394497</v>
      </c>
      <c r="F98" s="112">
        <f t="shared" si="9"/>
        <v>0.17516168655590503</v>
      </c>
      <c r="G98" s="100">
        <v>2535.8384879999999</v>
      </c>
      <c r="H98" s="101">
        <v>2673.4701409999998</v>
      </c>
      <c r="I98" s="110">
        <f t="shared" si="10"/>
        <v>5.4274613170868444E-2</v>
      </c>
      <c r="J98" s="173">
        <f t="shared" ref="J98:J102" si="12">(H98/$H$96)</f>
        <v>0.3395398654363142</v>
      </c>
    </row>
    <row r="99" spans="3:10" x14ac:dyDescent="0.25">
      <c r="C99" s="73" t="s">
        <v>90</v>
      </c>
      <c r="D99" s="102">
        <v>110.090575</v>
      </c>
      <c r="E99" s="103">
        <v>56.457008999999999</v>
      </c>
      <c r="F99" s="112">
        <f t="shared" si="9"/>
        <v>-0.48717672698139691</v>
      </c>
      <c r="G99" s="100">
        <v>481.58825100000001</v>
      </c>
      <c r="H99" s="101">
        <v>348.61234579999996</v>
      </c>
      <c r="I99" s="110">
        <f t="shared" si="10"/>
        <v>-0.27611949611287351</v>
      </c>
      <c r="J99" s="173">
        <f t="shared" si="12"/>
        <v>4.4274962030469836E-2</v>
      </c>
    </row>
    <row r="100" spans="3:10" x14ac:dyDescent="0.25">
      <c r="C100" s="73" t="s">
        <v>98</v>
      </c>
      <c r="D100" s="102">
        <v>45.812986200000005</v>
      </c>
      <c r="E100" s="103">
        <v>29.780670000000001</v>
      </c>
      <c r="F100" s="112">
        <f t="shared" si="9"/>
        <v>-0.3499513463280855</v>
      </c>
      <c r="G100" s="100">
        <v>220.4467927</v>
      </c>
      <c r="H100" s="101">
        <v>162.81587210000004</v>
      </c>
      <c r="I100" s="110">
        <f t="shared" si="10"/>
        <v>-0.26142780257378617</v>
      </c>
      <c r="J100" s="173">
        <f t="shared" si="12"/>
        <v>2.0678173455512015E-2</v>
      </c>
    </row>
    <row r="101" spans="3:10" x14ac:dyDescent="0.25">
      <c r="C101" s="73" t="s">
        <v>96</v>
      </c>
      <c r="D101" s="228">
        <v>3.676806</v>
      </c>
      <c r="E101" s="221">
        <v>4.1949490000000003</v>
      </c>
      <c r="F101" s="112">
        <f t="shared" si="9"/>
        <v>0.14092203940050149</v>
      </c>
      <c r="G101" s="100">
        <v>7.4194759999999995</v>
      </c>
      <c r="H101" s="101">
        <v>15.250074999999999</v>
      </c>
      <c r="I101" s="110">
        <f t="shared" si="10"/>
        <v>1.0554113255437445</v>
      </c>
      <c r="J101" s="173">
        <f t="shared" si="12"/>
        <v>1.9368117616069159E-3</v>
      </c>
    </row>
    <row r="102" spans="3:10" x14ac:dyDescent="0.25">
      <c r="C102" s="76" t="s">
        <v>94</v>
      </c>
      <c r="D102" s="104">
        <v>0.58140000000000003</v>
      </c>
      <c r="E102" s="176">
        <v>0.3569</v>
      </c>
      <c r="F102" s="114">
        <f t="shared" si="9"/>
        <v>-0.3861369109047128</v>
      </c>
      <c r="G102" s="124">
        <v>3.8363</v>
      </c>
      <c r="H102" s="125">
        <v>1.6657</v>
      </c>
      <c r="I102" s="110">
        <f t="shared" si="10"/>
        <v>-0.56580559393165297</v>
      </c>
      <c r="J102" s="193">
        <f t="shared" si="12"/>
        <v>2.115496055795555E-4</v>
      </c>
    </row>
    <row r="103" spans="3:10" x14ac:dyDescent="0.25">
      <c r="C103" s="86" t="s">
        <v>113</v>
      </c>
      <c r="D103" s="145">
        <f>SUM(D104:D106)</f>
        <v>22.589573000000001</v>
      </c>
      <c r="E103" s="141">
        <f>SUM(E104:E106)</f>
        <v>25.714176999999999</v>
      </c>
      <c r="F103" s="164">
        <f t="shared" si="9"/>
        <v>0.13832063138156697</v>
      </c>
      <c r="G103" s="145">
        <f>SUM(G104:G106)</f>
        <v>84.286572799999988</v>
      </c>
      <c r="H103" s="141">
        <f>SUM(H104:H106)</f>
        <v>86.494365599999995</v>
      </c>
      <c r="I103" s="164">
        <f>(H103-G103)/G103</f>
        <v>2.6193885059709147E-2</v>
      </c>
      <c r="J103" s="171">
        <f>SUM(J104:J106)</f>
        <v>1</v>
      </c>
    </row>
    <row r="104" spans="3:10" x14ac:dyDescent="0.25">
      <c r="C104" s="77" t="s">
        <v>95</v>
      </c>
      <c r="D104" s="117">
        <v>18.049171000000001</v>
      </c>
      <c r="E104" s="118">
        <v>20.316925999999999</v>
      </c>
      <c r="F104" s="109">
        <f t="shared" si="9"/>
        <v>0.12564316665845746</v>
      </c>
      <c r="G104" s="98">
        <v>64.667970999999994</v>
      </c>
      <c r="H104" s="99">
        <v>61.725498999999999</v>
      </c>
      <c r="I104" s="109">
        <f>(H104-G104)/G104</f>
        <v>-4.5501226565466159E-2</v>
      </c>
      <c r="J104" s="172">
        <f>(H104/$H$103)</f>
        <v>0.71363606833599347</v>
      </c>
    </row>
    <row r="105" spans="3:10" x14ac:dyDescent="0.25">
      <c r="C105" s="73" t="s">
        <v>90</v>
      </c>
      <c r="D105" s="102">
        <v>4.4810020000000002</v>
      </c>
      <c r="E105" s="103">
        <v>5.362851</v>
      </c>
      <c r="F105" s="112">
        <f t="shared" si="9"/>
        <v>0.1967972788229061</v>
      </c>
      <c r="G105" s="100">
        <v>19.1144018</v>
      </c>
      <c r="H105" s="101">
        <v>24.563766600000001</v>
      </c>
      <c r="I105" s="112">
        <f>(H105-G105)/G105</f>
        <v>0.28509209218360165</v>
      </c>
      <c r="J105" s="173">
        <f>(H105/$H$103)</f>
        <v>0.28399267894046504</v>
      </c>
    </row>
    <row r="106" spans="3:10" x14ac:dyDescent="0.25">
      <c r="C106" s="76" t="s">
        <v>94</v>
      </c>
      <c r="D106" s="177">
        <v>5.9400000000000001E-2</v>
      </c>
      <c r="E106" s="204">
        <v>3.44E-2</v>
      </c>
      <c r="F106" s="114">
        <f t="shared" si="9"/>
        <v>-0.4208754208754209</v>
      </c>
      <c r="G106" s="124">
        <v>0.50420000000000009</v>
      </c>
      <c r="H106" s="178">
        <v>0.2051</v>
      </c>
      <c r="I106" s="114">
        <f>(H106-G106)/G106</f>
        <v>-0.59321697738992474</v>
      </c>
      <c r="J106" s="191">
        <f>(H106/$H$103)</f>
        <v>2.3712527235415668E-3</v>
      </c>
    </row>
    <row r="107" spans="3:10" x14ac:dyDescent="0.25">
      <c r="C107" s="86" t="s">
        <v>114</v>
      </c>
      <c r="D107" s="145">
        <f>SUM(D108:D109)</f>
        <v>27.547941999999999</v>
      </c>
      <c r="E107" s="141">
        <f>SUM(E108:E109)</f>
        <v>22.187384000000002</v>
      </c>
      <c r="F107" s="164">
        <f t="shared" si="9"/>
        <v>-0.19459014397518326</v>
      </c>
      <c r="G107" s="145">
        <f>SUM(G108:G109)</f>
        <v>113.19871599999999</v>
      </c>
      <c r="H107" s="141">
        <f>SUM(H108:H109)</f>
        <v>93.686686000000009</v>
      </c>
      <c r="I107" s="164">
        <f t="shared" ref="I107:I115" si="13">(H107-G107)/G107</f>
        <v>-0.17236971133135454</v>
      </c>
      <c r="J107" s="171">
        <f>SUM(J108:J109)</f>
        <v>1</v>
      </c>
    </row>
    <row r="108" spans="3:10" x14ac:dyDescent="0.25">
      <c r="C108" s="77" t="s">
        <v>89</v>
      </c>
      <c r="D108" s="117">
        <v>16.793763999999999</v>
      </c>
      <c r="E108" s="118">
        <v>14.036678</v>
      </c>
      <c r="F108" s="109">
        <f t="shared" si="9"/>
        <v>-0.16417320143357972</v>
      </c>
      <c r="G108" s="98">
        <v>66.141111999999993</v>
      </c>
      <c r="H108" s="99">
        <v>55.031427999999998</v>
      </c>
      <c r="I108" s="109">
        <f t="shared" si="13"/>
        <v>-0.16796941666175791</v>
      </c>
      <c r="J108" s="172">
        <f>(H108/$H$107)</f>
        <v>0.58739859791817162</v>
      </c>
    </row>
    <row r="109" spans="3:10" x14ac:dyDescent="0.25">
      <c r="C109" s="76" t="s">
        <v>90</v>
      </c>
      <c r="D109" s="104">
        <v>10.754178</v>
      </c>
      <c r="E109" s="105">
        <v>8.1507059999999996</v>
      </c>
      <c r="F109" s="114">
        <f t="shared" si="9"/>
        <v>-0.24208935355170802</v>
      </c>
      <c r="G109" s="124">
        <v>47.057603999999998</v>
      </c>
      <c r="H109" s="125">
        <v>38.655258000000003</v>
      </c>
      <c r="I109" s="114">
        <f t="shared" si="13"/>
        <v>-0.17855447973934233</v>
      </c>
      <c r="J109" s="191">
        <f>(H109/$H$107)</f>
        <v>0.41260140208182838</v>
      </c>
    </row>
    <row r="110" spans="3:10" x14ac:dyDescent="0.25">
      <c r="C110" s="86" t="s">
        <v>115</v>
      </c>
      <c r="D110" s="145">
        <f>SUM(D111:D113)</f>
        <v>1961.1031353999997</v>
      </c>
      <c r="E110" s="141">
        <f>SUM(E111:E113)</f>
        <v>4010.9459769999999</v>
      </c>
      <c r="F110" s="164">
        <f>(E110-D110)/D110</f>
        <v>1.0452498925722744</v>
      </c>
      <c r="G110" s="145">
        <f>SUM(G111:G113)</f>
        <v>11082.969501799998</v>
      </c>
      <c r="H110" s="141">
        <f>SUM(H111:H113)</f>
        <v>13998.9651077</v>
      </c>
      <c r="I110" s="164">
        <f t="shared" si="13"/>
        <v>0.26310598485599107</v>
      </c>
      <c r="J110" s="171">
        <f>SUM(J111:J113)</f>
        <v>1</v>
      </c>
    </row>
    <row r="111" spans="3:10" x14ac:dyDescent="0.25">
      <c r="C111" s="77" t="s">
        <v>96</v>
      </c>
      <c r="D111" s="117">
        <v>1865.9869753999999</v>
      </c>
      <c r="E111" s="118">
        <v>3933.6068580000001</v>
      </c>
      <c r="F111" s="109">
        <f>(E111-D111)/D111</f>
        <v>1.108056974597466</v>
      </c>
      <c r="G111" s="98">
        <v>10701.386110799998</v>
      </c>
      <c r="H111" s="99">
        <v>13674.2675227</v>
      </c>
      <c r="I111" s="109">
        <f t="shared" si="13"/>
        <v>0.27780339678611593</v>
      </c>
      <c r="J111" s="172">
        <f>(H111/$H$110)</f>
        <v>0.97680560080677659</v>
      </c>
    </row>
    <row r="112" spans="3:10" x14ac:dyDescent="0.25">
      <c r="C112" s="73" t="s">
        <v>89</v>
      </c>
      <c r="D112" s="102">
        <v>84.361981999999998</v>
      </c>
      <c r="E112" s="103">
        <v>66.116062999999997</v>
      </c>
      <c r="F112" s="112">
        <f>(E112-D112)/D112</f>
        <v>-0.21628129836968507</v>
      </c>
      <c r="G112" s="100">
        <v>333.97699899999998</v>
      </c>
      <c r="H112" s="101">
        <v>265.38033099999996</v>
      </c>
      <c r="I112" s="112">
        <f t="shared" si="13"/>
        <v>-0.20539338998012863</v>
      </c>
      <c r="J112" s="173">
        <f>(H112/$H$110)</f>
        <v>1.8957139256960499E-2</v>
      </c>
    </row>
    <row r="113" spans="3:10" x14ac:dyDescent="0.25">
      <c r="C113" s="76" t="s">
        <v>90</v>
      </c>
      <c r="D113" s="104">
        <v>10.754178</v>
      </c>
      <c r="E113" s="105">
        <v>11.223056</v>
      </c>
      <c r="F113" s="114">
        <f>(E113-D113)/D113</f>
        <v>4.3599613099206666E-2</v>
      </c>
      <c r="G113" s="124">
        <v>47.606392</v>
      </c>
      <c r="H113" s="125">
        <v>59.317253999999998</v>
      </c>
      <c r="I113" s="114">
        <f t="shared" si="13"/>
        <v>0.24599347919497866</v>
      </c>
      <c r="J113" s="191">
        <f>(H113/$H$110)</f>
        <v>4.237259936262938E-3</v>
      </c>
    </row>
    <row r="114" spans="3:10" x14ac:dyDescent="0.25">
      <c r="C114" s="86" t="s">
        <v>116</v>
      </c>
      <c r="D114" s="145">
        <f>SUM(D115)</f>
        <v>2.5161519999999999</v>
      </c>
      <c r="E114" s="141">
        <f>SUM(E115)</f>
        <v>4.3102679999999998</v>
      </c>
      <c r="F114" s="164">
        <f t="shared" ref="F114:F115" si="14">(E114-D114)/D114</f>
        <v>0.71303959379242587</v>
      </c>
      <c r="G114" s="185">
        <f>SUM(G115)</f>
        <v>10.292676</v>
      </c>
      <c r="H114" s="185">
        <f>SUM(H115)</f>
        <v>17.855268000000002</v>
      </c>
      <c r="I114" s="170">
        <f t="shared" si="13"/>
        <v>0.73475469353159495</v>
      </c>
      <c r="J114" s="171">
        <f>SUM(J115)</f>
        <v>1</v>
      </c>
    </row>
    <row r="115" spans="3:10" x14ac:dyDescent="0.25">
      <c r="C115" s="92" t="s">
        <v>90</v>
      </c>
      <c r="D115" s="205">
        <v>2.5161519999999999</v>
      </c>
      <c r="E115" s="206">
        <v>4.3102679999999998</v>
      </c>
      <c r="F115" s="168">
        <f t="shared" si="14"/>
        <v>0.71303959379242587</v>
      </c>
      <c r="G115" s="186">
        <v>10.292676</v>
      </c>
      <c r="H115" s="126">
        <v>17.855268000000002</v>
      </c>
      <c r="I115" s="127">
        <f t="shared" si="13"/>
        <v>0.73475469353159495</v>
      </c>
      <c r="J115" s="175">
        <f>(H115/$H$114)</f>
        <v>1</v>
      </c>
    </row>
    <row r="116" spans="3:10" ht="156" customHeight="1" x14ac:dyDescent="0.25">
      <c r="C116" s="248" t="s">
        <v>136</v>
      </c>
      <c r="D116" s="249"/>
      <c r="E116" s="249"/>
      <c r="F116" s="249"/>
      <c r="G116" s="249"/>
      <c r="H116" s="249"/>
      <c r="I116" s="249"/>
      <c r="J116" s="250"/>
    </row>
    <row r="117" spans="3:10" x14ac:dyDescent="0.25">
      <c r="D117" s="93"/>
      <c r="E117" s="93"/>
      <c r="F117" s="169"/>
    </row>
    <row r="118" spans="3:10" x14ac:dyDescent="0.25">
      <c r="F118" s="63"/>
    </row>
    <row r="119" spans="3:10" x14ac:dyDescent="0.25">
      <c r="F119" s="63"/>
    </row>
    <row r="120" spans="3:10" x14ac:dyDescent="0.25">
      <c r="F120" s="63"/>
    </row>
    <row r="121" spans="3:10" x14ac:dyDescent="0.25">
      <c r="F121" s="63"/>
    </row>
  </sheetData>
  <mergeCells count="5">
    <mergeCell ref="C3:J3"/>
    <mergeCell ref="C4:J4"/>
    <mergeCell ref="D8:F8"/>
    <mergeCell ref="G8:J8"/>
    <mergeCell ref="C116:J116"/>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Victor Carranza</cp:lastModifiedBy>
  <dcterms:created xsi:type="dcterms:W3CDTF">2025-08-15T20:36:18Z</dcterms:created>
  <dcterms:modified xsi:type="dcterms:W3CDTF">2026-06-01T22:11:35Z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