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MINISTERIO DE ENERGIA Y MINAS - MINEM\MINEM 2025\BEM 2025\12. BEM diciembre 2025\Cuadros estadisticos - Diciembre 2025\"/>
    </mc:Choice>
  </mc:AlternateContent>
  <bookViews>
    <workbookView xWindow="-120" yWindow="-120" windowWidth="29040" windowHeight="15720"/>
  </bookViews>
  <sheets>
    <sheet name="S01.C01" sheetId="1" r:id="rId1"/>
    <sheet name="S01.C02" sheetId="2" r:id="rId2"/>
    <sheet name="S01.C03" sheetId="3" r:id="rId3"/>
  </sheets>
  <definedNames>
    <definedName name="_xlnm._FilterDatabase" localSheetId="1" hidden="1">'S01.C02'!$C$9:$G$109</definedName>
    <definedName name="_xlnm._FilterDatabase" localSheetId="2" hidden="1">'S01.C03'!$C$11:$G$120</definedName>
    <definedName name="_xlnm.Print_Area" localSheetId="0">'S01.C01'!$B$2:$Q$77</definedName>
    <definedName name="_xlnm.Print_Area" localSheetId="1">'S01.C02'!$B$2:$K$110</definedName>
    <definedName name="_xlnm.Print_Area" localSheetId="2">'S01.C03'!$B$2:$K$121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7" i="3" l="1"/>
  <c r="F72" i="3"/>
  <c r="F55" i="3"/>
  <c r="I44" i="3"/>
  <c r="F44" i="3"/>
  <c r="J97" i="2"/>
  <c r="I97" i="2"/>
  <c r="J90" i="2"/>
  <c r="F89" i="2"/>
  <c r="I90" i="2"/>
  <c r="E36" i="1" l="1"/>
  <c r="F36" i="1"/>
  <c r="G36" i="1"/>
  <c r="H36" i="1"/>
  <c r="I36" i="1"/>
  <c r="J36" i="1"/>
  <c r="K36" i="1"/>
  <c r="L36" i="1"/>
  <c r="M36" i="1"/>
  <c r="N36" i="1"/>
  <c r="O36" i="1"/>
  <c r="P36" i="1"/>
  <c r="D36" i="1"/>
  <c r="D100" i="3"/>
  <c r="E100" i="3"/>
  <c r="I75" i="3" l="1"/>
  <c r="F94" i="2" l="1"/>
  <c r="H74" i="2" l="1"/>
  <c r="G74" i="2"/>
  <c r="E74" i="2"/>
  <c r="D74" i="2"/>
  <c r="F48" i="2"/>
  <c r="F49" i="2"/>
  <c r="F50" i="2"/>
  <c r="F51" i="2"/>
  <c r="F52" i="2"/>
  <c r="F53" i="2"/>
  <c r="F54" i="2"/>
  <c r="F55" i="2"/>
  <c r="F56" i="2"/>
  <c r="F57" i="2"/>
  <c r="F58" i="2"/>
  <c r="D92" i="3" l="1"/>
  <c r="E92" i="3"/>
  <c r="G92" i="3"/>
  <c r="H92" i="3"/>
  <c r="F98" i="3"/>
  <c r="D107" i="2" l="1"/>
  <c r="E107" i="2"/>
  <c r="F108" i="2"/>
  <c r="F93" i="2"/>
  <c r="F80" i="2"/>
  <c r="F107" i="2" l="1"/>
  <c r="F73" i="3" l="1"/>
  <c r="L62" i="1" l="1"/>
  <c r="I69" i="2"/>
  <c r="H107" i="2" l="1"/>
  <c r="J108" i="2" s="1"/>
  <c r="G107" i="2"/>
  <c r="I62" i="1"/>
  <c r="I87" i="2" l="1"/>
  <c r="F25" i="2"/>
  <c r="I105" i="3"/>
  <c r="F74" i="3"/>
  <c r="I74" i="3"/>
  <c r="D45" i="3"/>
  <c r="E45" i="3"/>
  <c r="F45" i="3" s="1"/>
  <c r="I96" i="2"/>
  <c r="I95" i="2"/>
  <c r="I94" i="2"/>
  <c r="I93" i="2"/>
  <c r="I92" i="2"/>
  <c r="F96" i="2"/>
  <c r="F92" i="2"/>
  <c r="Q36" i="1"/>
  <c r="I119" i="3"/>
  <c r="F119" i="3"/>
  <c r="H118" i="3"/>
  <c r="J119" i="3" s="1"/>
  <c r="J118" i="3" s="1"/>
  <c r="G118" i="3"/>
  <c r="E118" i="3"/>
  <c r="D118" i="3"/>
  <c r="I117" i="3"/>
  <c r="F117" i="3"/>
  <c r="I116" i="3"/>
  <c r="F116" i="3"/>
  <c r="I115" i="3"/>
  <c r="F115" i="3"/>
  <c r="H114" i="3"/>
  <c r="J117" i="3" s="1"/>
  <c r="G114" i="3"/>
  <c r="E114" i="3"/>
  <c r="D114" i="3"/>
  <c r="I113" i="3"/>
  <c r="F113" i="3"/>
  <c r="I112" i="3"/>
  <c r="F112" i="3"/>
  <c r="H111" i="3"/>
  <c r="J113" i="3" s="1"/>
  <c r="G111" i="3"/>
  <c r="E111" i="3"/>
  <c r="D111" i="3"/>
  <c r="I110" i="3"/>
  <c r="F110" i="3"/>
  <c r="I109" i="3"/>
  <c r="F109" i="3"/>
  <c r="I108" i="3"/>
  <c r="F108" i="3"/>
  <c r="H107" i="3"/>
  <c r="J110" i="3" s="1"/>
  <c r="G107" i="3"/>
  <c r="E107" i="3"/>
  <c r="D107" i="3"/>
  <c r="I106" i="3"/>
  <c r="F106" i="3"/>
  <c r="I104" i="3"/>
  <c r="F104" i="3"/>
  <c r="I103" i="3"/>
  <c r="F103" i="3"/>
  <c r="I102" i="3"/>
  <c r="F102" i="3"/>
  <c r="I101" i="3"/>
  <c r="F101" i="3"/>
  <c r="H100" i="3"/>
  <c r="J105" i="3" s="1"/>
  <c r="G100" i="3"/>
  <c r="I99" i="3"/>
  <c r="F99" i="3"/>
  <c r="I98" i="3"/>
  <c r="I97" i="3"/>
  <c r="F97" i="3"/>
  <c r="I96" i="3"/>
  <c r="F96" i="3"/>
  <c r="I95" i="3"/>
  <c r="F95" i="3"/>
  <c r="H94" i="3"/>
  <c r="J98" i="3" s="1"/>
  <c r="G94" i="3"/>
  <c r="E94" i="3"/>
  <c r="D94" i="3"/>
  <c r="I93" i="3"/>
  <c r="F93" i="3"/>
  <c r="J93" i="3"/>
  <c r="J92" i="3" s="1"/>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3" i="3"/>
  <c r="I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8" i="2"/>
  <c r="I106" i="2"/>
  <c r="F106" i="2"/>
  <c r="I105" i="2"/>
  <c r="F105" i="2"/>
  <c r="I104" i="2"/>
  <c r="F104" i="2"/>
  <c r="I103" i="2"/>
  <c r="F103" i="2"/>
  <c r="H102" i="2"/>
  <c r="J106" i="2" s="1"/>
  <c r="G102" i="2"/>
  <c r="E102" i="2"/>
  <c r="D102" i="2"/>
  <c r="I101" i="2"/>
  <c r="F101" i="2"/>
  <c r="I100" i="2"/>
  <c r="F100" i="2"/>
  <c r="I99" i="2"/>
  <c r="F99" i="2"/>
  <c r="H98" i="2"/>
  <c r="J101" i="2" s="1"/>
  <c r="G98" i="2"/>
  <c r="E98" i="2"/>
  <c r="D98" i="2"/>
  <c r="H91" i="2"/>
  <c r="J96" i="2" s="1"/>
  <c r="G91" i="2"/>
  <c r="E91" i="2"/>
  <c r="D91" i="2"/>
  <c r="I89" i="2"/>
  <c r="I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62" i="1"/>
  <c r="O62" i="1"/>
  <c r="N62" i="1"/>
  <c r="M62" i="1"/>
  <c r="K62" i="1"/>
  <c r="J62" i="1"/>
  <c r="H62" i="1"/>
  <c r="G62" i="1"/>
  <c r="F62" i="1"/>
  <c r="E62" i="1"/>
  <c r="D62" i="1"/>
  <c r="P57" i="1"/>
  <c r="O57" i="1"/>
  <c r="N57" i="1"/>
  <c r="M57" i="1"/>
  <c r="L57" i="1"/>
  <c r="K57" i="1"/>
  <c r="J57" i="1"/>
  <c r="I57" i="1"/>
  <c r="H57" i="1"/>
  <c r="G57" i="1"/>
  <c r="F57" i="1"/>
  <c r="E57" i="1"/>
  <c r="D57" i="1"/>
  <c r="P52" i="1"/>
  <c r="O52" i="1"/>
  <c r="N52" i="1"/>
  <c r="M52" i="1"/>
  <c r="L52" i="1"/>
  <c r="K52" i="1"/>
  <c r="J52" i="1"/>
  <c r="I52" i="1"/>
  <c r="H52" i="1"/>
  <c r="G52" i="1"/>
  <c r="F52" i="1"/>
  <c r="E52" i="1"/>
  <c r="D52" i="1"/>
  <c r="Q34" i="1"/>
  <c r="Q33" i="1"/>
  <c r="Q32" i="1"/>
  <c r="Q31" i="1"/>
  <c r="Q30" i="1"/>
  <c r="Q29" i="1"/>
  <c r="Q28" i="1"/>
  <c r="Q27" i="1"/>
  <c r="Q26" i="1"/>
  <c r="Q25" i="1"/>
  <c r="Q24" i="1"/>
  <c r="Q23" i="1"/>
  <c r="Q22" i="1"/>
  <c r="I91" i="2" l="1"/>
  <c r="I11" i="2"/>
  <c r="I45" i="3"/>
  <c r="I98" i="2"/>
  <c r="J43" i="2"/>
  <c r="J103" i="2"/>
  <c r="J65" i="3"/>
  <c r="J75" i="3"/>
  <c r="I58" i="3"/>
  <c r="J74" i="3"/>
  <c r="J43" i="3"/>
  <c r="J39" i="2"/>
  <c r="J62" i="2"/>
  <c r="J53" i="2"/>
  <c r="J18" i="2"/>
  <c r="F100" i="3"/>
  <c r="I92" i="3"/>
  <c r="F90" i="3"/>
  <c r="F58" i="3"/>
  <c r="J50" i="3"/>
  <c r="F111" i="3"/>
  <c r="J51" i="3"/>
  <c r="J87" i="3"/>
  <c r="J52" i="3"/>
  <c r="I118" i="3"/>
  <c r="J46" i="3"/>
  <c r="J69" i="3"/>
  <c r="I27" i="3"/>
  <c r="J80" i="3"/>
  <c r="I90" i="3"/>
  <c r="F77" i="3"/>
  <c r="F94" i="3"/>
  <c r="J53" i="3"/>
  <c r="J70" i="3"/>
  <c r="J59" i="3"/>
  <c r="F118" i="3"/>
  <c r="J47" i="3"/>
  <c r="J54" i="3"/>
  <c r="J63" i="3"/>
  <c r="J91" i="3"/>
  <c r="J90" i="3" s="1"/>
  <c r="J48" i="3"/>
  <c r="J55" i="3"/>
  <c r="F114" i="3"/>
  <c r="F92" i="3"/>
  <c r="F107" i="3"/>
  <c r="J64" i="3"/>
  <c r="J49" i="3"/>
  <c r="I102" i="2"/>
  <c r="F102" i="2"/>
  <c r="J99" i="2"/>
  <c r="F98" i="2"/>
  <c r="F82" i="2"/>
  <c r="J79" i="2"/>
  <c r="J80" i="2"/>
  <c r="F74" i="2"/>
  <c r="J72" i="2"/>
  <c r="J71" i="2" s="1"/>
  <c r="J58" i="2"/>
  <c r="J38" i="2"/>
  <c r="F35" i="2"/>
  <c r="J30" i="2"/>
  <c r="F23" i="2"/>
  <c r="J15" i="2"/>
  <c r="J16" i="2"/>
  <c r="J13" i="3"/>
  <c r="I23" i="2"/>
  <c r="I47" i="2"/>
  <c r="J63" i="2"/>
  <c r="I107" i="2"/>
  <c r="J16" i="3"/>
  <c r="J23" i="3"/>
  <c r="J54" i="2"/>
  <c r="F76" i="2"/>
  <c r="J22" i="3"/>
  <c r="F71" i="2"/>
  <c r="J92" i="2"/>
  <c r="I94" i="3"/>
  <c r="I100" i="3"/>
  <c r="I114" i="3"/>
  <c r="F11" i="2"/>
  <c r="J24" i="2"/>
  <c r="J48" i="2"/>
  <c r="I71" i="2"/>
  <c r="J93" i="2"/>
  <c r="J81" i="3"/>
  <c r="J101" i="3"/>
  <c r="J49" i="2"/>
  <c r="J94" i="2"/>
  <c r="F11" i="3"/>
  <c r="J102" i="3"/>
  <c r="F47" i="2"/>
  <c r="J34" i="2"/>
  <c r="J17" i="3"/>
  <c r="J24" i="3"/>
  <c r="J19" i="2"/>
  <c r="J32" i="3"/>
  <c r="J18" i="3"/>
  <c r="I11" i="3"/>
  <c r="J103" i="3"/>
  <c r="J13" i="2"/>
  <c r="J20" i="2"/>
  <c r="F59" i="2"/>
  <c r="J44" i="3"/>
  <c r="J44" i="2"/>
  <c r="J67" i="2"/>
  <c r="J19" i="3"/>
  <c r="J26" i="3"/>
  <c r="J99" i="3"/>
  <c r="J25" i="3"/>
  <c r="J12" i="3"/>
  <c r="J14" i="2"/>
  <c r="J29" i="2"/>
  <c r="J52" i="2"/>
  <c r="F27" i="3"/>
  <c r="J68" i="2"/>
  <c r="I74" i="2"/>
  <c r="F91" i="2"/>
  <c r="J20" i="3"/>
  <c r="J86" i="3"/>
  <c r="J106" i="3"/>
  <c r="I107" i="3"/>
  <c r="J25" i="2"/>
  <c r="I76" i="2"/>
  <c r="J39" i="3"/>
  <c r="I77" i="3"/>
  <c r="J115" i="3"/>
  <c r="J21" i="2"/>
  <c r="I35" i="2"/>
  <c r="J40" i="2"/>
  <c r="I59" i="2"/>
  <c r="J64" i="2"/>
  <c r="J95" i="2"/>
  <c r="J100" i="2"/>
  <c r="J104" i="2"/>
  <c r="J107" i="2"/>
  <c r="J14" i="3"/>
  <c r="J34" i="3"/>
  <c r="J56" i="3"/>
  <c r="J60" i="3"/>
  <c r="J88" i="3"/>
  <c r="J81" i="2"/>
  <c r="J89" i="2"/>
  <c r="J28" i="3"/>
  <c r="J45" i="2"/>
  <c r="J95" i="3"/>
  <c r="J29" i="3"/>
  <c r="J71" i="3"/>
  <c r="J26" i="2"/>
  <c r="J46" i="2"/>
  <c r="J50" i="2"/>
  <c r="J70" i="2"/>
  <c r="J84" i="2"/>
  <c r="J40" i="3"/>
  <c r="J66" i="3"/>
  <c r="J83" i="3"/>
  <c r="J96" i="3"/>
  <c r="J108" i="3"/>
  <c r="J112" i="3"/>
  <c r="J111" i="3" s="1"/>
  <c r="J116" i="3"/>
  <c r="I111" i="3"/>
  <c r="J82" i="3"/>
  <c r="J55" i="2"/>
  <c r="J22" i="2"/>
  <c r="J41" i="2"/>
  <c r="J65" i="2"/>
  <c r="J77" i="2"/>
  <c r="J105" i="2"/>
  <c r="J15" i="3"/>
  <c r="J35" i="3"/>
  <c r="J61" i="3"/>
  <c r="J78" i="3"/>
  <c r="J83" i="2"/>
  <c r="J31" i="2"/>
  <c r="J89" i="3"/>
  <c r="J17" i="2"/>
  <c r="J32" i="2"/>
  <c r="J36" i="2"/>
  <c r="J56" i="2"/>
  <c r="J60" i="2"/>
  <c r="J30" i="3"/>
  <c r="J72" i="3"/>
  <c r="J104" i="3"/>
  <c r="J69" i="2"/>
  <c r="J27" i="2"/>
  <c r="J51" i="2"/>
  <c r="J85" i="2"/>
  <c r="J41" i="3"/>
  <c r="J67" i="3"/>
  <c r="J84" i="3"/>
  <c r="J97" i="3"/>
  <c r="J109" i="3"/>
  <c r="J88" i="2"/>
  <c r="J42" i="2"/>
  <c r="J66" i="2"/>
  <c r="J36" i="3"/>
  <c r="J62" i="3"/>
  <c r="J73" i="3"/>
  <c r="J79" i="3"/>
  <c r="I82" i="2"/>
  <c r="J33" i="3"/>
  <c r="J33" i="2"/>
  <c r="J31" i="3"/>
  <c r="J38" i="3"/>
  <c r="J86" i="2"/>
  <c r="J42" i="3"/>
  <c r="J98" i="2" l="1"/>
  <c r="J100" i="3"/>
  <c r="J45" i="3"/>
  <c r="J11" i="2"/>
  <c r="J11" i="3"/>
  <c r="J35" i="2"/>
  <c r="J91" i="2"/>
  <c r="J94" i="3"/>
  <c r="J82" i="2"/>
  <c r="J58" i="3"/>
  <c r="J27" i="3"/>
  <c r="J23" i="2"/>
  <c r="J107" i="3"/>
  <c r="J76" i="2"/>
  <c r="J114" i="3"/>
  <c r="J77" i="3"/>
  <c r="J47" i="2"/>
  <c r="J102" i="2"/>
  <c r="J59" i="2"/>
</calcChain>
</file>

<file path=xl/sharedStrings.xml><?xml version="1.0" encoding="utf-8"?>
<sst xmlns="http://schemas.openxmlformats.org/spreadsheetml/2006/main" count="396" uniqueCount="155">
  <si>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</si>
  <si>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</si>
  <si>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</si>
  <si>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</si>
  <si>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</si>
  <si>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</si>
  <si>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</si>
  <si>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</si>
  <si>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</si>
  <si>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</si>
  <si>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</si>
  <si>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</si>
  <si>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</si>
  <si>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</si>
  <si>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</si>
  <si>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</si>
  <si>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</si>
  <si>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</si>
  <si>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</si>
  <si>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</si>
  <si>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</si>
  <si>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</si>
  <si>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</si>
  <si>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</si>
  <si>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</si>
  <si>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</si>
  <si>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</si>
  <si>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</si>
  <si>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</si>
  <si>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</si>
  <si>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</si>
  <si>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</si>
  <si>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</si>
  <si>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</si>
  <si>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</si>
  <si>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</si>
  <si>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</si>
  <si>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</si>
  <si>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</si>
  <si>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</si>
  <si>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</si>
  <si>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</si>
  <si>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</si>
  <si>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</si>
  <si>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</si>
  <si>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</si>
  <si>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</si>
  <si>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</si>
  <si>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</si>
  <si>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</si>
  <si>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</si>
  <si>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</si>
  <si>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</si>
  <si>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</si>
  <si>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</si>
  <si>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</si>
  <si>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</si>
  <si>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</si>
  <si>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</si>
  <si>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</si>
  <si>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</si>
  <si>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</si>
  <si>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</si>
  <si>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</si>
  <si>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</si>
  <si>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</si>
  <si>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</si>
  <si>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</si>
  <si>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</si>
  <si>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</si>
  <si>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</si>
  <si>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</si>
  <si>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</si>
  <si>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</si>
  <si>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</si>
  <si>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</si>
  <si>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</si>
  <si>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</si>
  <si>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</si>
  <si>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</si>
  <si>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</si>
  <si>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</si>
  <si>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</si>
  <si>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</si>
  <si>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</si>
  <si>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</si>
  <si>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</si>
  <si>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</si>
  <si>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</si>
  <si>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</si>
  <si>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</si>
  <si>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</si>
  <si>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</si>
  <si>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</si>
  <si>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</si>
  <si>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</si>
  <si>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</si>
  <si>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</si>
  <si>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</si>
  <si>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</si>
  <si>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</si>
  <si>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</si>
  <si>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</si>
  <si>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</si>
  <si>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</si>
  <si>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</si>
  <si>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</si>
  <si>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</si>
  <si>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</si>
  <si>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</si>
  <si>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</si>
  <si>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</si>
  <si>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</si>
  <si>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</si>
  <si>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</si>
  <si>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</si>
  <si>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</si>
  <si>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</si>
  <si>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</si>
  <si>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</si>
  <si>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</si>
  <si>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</si>
  <si>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</si>
  <si>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(2024: 3 titulares mineros, 2025: 3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</si>
  <si>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</si>
  <si>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</si>
  <si>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t>OTROS** (2024: 3 departamentos, 2025: 3 departamentos)</t>
  </si>
  <si>
    <t>Jul. / Jul.</t>
  </si>
  <si>
    <r>
      <t>Ago. /</t>
    </r>
    <r>
      <rPr>
        <i/>
        <sz val="10"/>
        <color rgb="FF000000"/>
        <rFont val="Calibri Light"/>
        <family val="2"/>
        <scheme val="major"/>
      </rPr>
      <t xml:space="preserve"> Aug.</t>
    </r>
  </si>
  <si>
    <r>
      <t>Set. /</t>
    </r>
    <r>
      <rPr>
        <i/>
        <sz val="10"/>
        <color rgb="FF000000"/>
        <rFont val="Calibri Light"/>
        <family val="2"/>
        <scheme val="major"/>
      </rPr>
      <t xml:space="preserve"> Sept.</t>
    </r>
  </si>
  <si>
    <r>
      <t>Oct. /</t>
    </r>
    <r>
      <rPr>
        <i/>
        <sz val="10"/>
        <color rgb="FF000000"/>
        <rFont val="Calibri Light"/>
        <family val="2"/>
        <scheme val="major"/>
      </rPr>
      <t xml:space="preserve"> Oct.</t>
    </r>
  </si>
  <si>
    <r>
      <t>Nov. /</t>
    </r>
    <r>
      <rPr>
        <i/>
        <sz val="10"/>
        <color rgb="FF000000"/>
        <rFont val="Calibri Light"/>
        <family val="2"/>
        <scheme val="major"/>
      </rPr>
      <t xml:space="preserve"> Nov.</t>
    </r>
  </si>
  <si>
    <r>
      <t xml:space="preserve">Nov. 2025
</t>
    </r>
    <r>
      <rPr>
        <i/>
        <sz val="8"/>
        <color rgb="FF000000"/>
        <rFont val="Calibri Light"/>
        <family val="2"/>
        <scheme val="major"/>
      </rPr>
      <t>(Nov. 2025)</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</si>
  <si>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26 de enero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January 26,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</si>
  <si>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26 de enero de 2026. / </t>
    </r>
    <r>
      <rPr>
        <i/>
        <u/>
        <sz val="10"/>
        <color theme="1"/>
        <rFont val="Calibri Light"/>
        <family val="2"/>
        <scheme val="major"/>
      </rPr>
      <t>Date of consultation</t>
    </r>
    <r>
      <rPr>
        <i/>
        <sz val="10"/>
        <color theme="1"/>
        <rFont val="Calibri Light"/>
        <family val="2"/>
        <scheme val="major"/>
      </rPr>
      <t>: January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</si>
  <si>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26 de enero de 2026. / </t>
    </r>
    <r>
      <rPr>
        <i/>
        <u/>
        <sz val="10"/>
        <color theme="1"/>
        <rFont val="Calibri Light"/>
        <family val="2"/>
        <scheme val="major"/>
      </rPr>
      <t>Date of consultation</t>
    </r>
    <r>
      <rPr>
        <i/>
        <sz val="10"/>
        <color theme="1"/>
        <rFont val="Calibri Light"/>
        <family val="2"/>
        <scheme val="major"/>
      </rPr>
      <t>: January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</si>
  <si>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26 de enero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January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</si>
  <si>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t>OTROS (2024: 50 titulares mineros, 2025: 48 titulares mineros)</t>
  </si>
  <si>
    <t>OTROS (2024: 273 titulares mineros, 2025: 278 titulares mineros)</t>
  </si>
  <si>
    <t>EMPRESA MINERA LOS QUENUALES S.A.C.</t>
  </si>
  <si>
    <t>OTROS (2024: 35 titulares mineros, 2025: 31 titulares mineros)</t>
  </si>
  <si>
    <t>OTROS (2024: 90 titulares mineros, 2025: 84 titulares mineros)</t>
  </si>
  <si>
    <t>OTROS (2024: 34 titulares mineros, 2025: 31 titulares mineros)</t>
  </si>
  <si>
    <r>
      <t xml:space="preserve">VARIACIÓN INTERANUAL ACUMULADA ENERO-DICIEMBRE / </t>
    </r>
    <r>
      <rPr>
        <sz val="8"/>
        <color rgb="FF000000"/>
        <rFont val="Calibri Light"/>
        <family val="2"/>
        <scheme val="major"/>
      </rPr>
      <t>CUMULATIVE YEAR-OVER-YEAR VARIATION, JANUARY–DECEMBER</t>
    </r>
  </si>
  <si>
    <r>
      <t xml:space="preserve">VARIACIÓN INTERANUAL, DICIEMBRE / </t>
    </r>
    <r>
      <rPr>
        <i/>
        <sz val="8"/>
        <color rgb="FF000000"/>
        <rFont val="Calibri Light"/>
        <family val="2"/>
        <scheme val="major"/>
      </rPr>
      <t>YEAR-OVER-YEAR VARIATION, DECEMBER</t>
    </r>
  </si>
  <si>
    <r>
      <t xml:space="preserve">2025
(Ene-Dic)
</t>
    </r>
    <r>
      <rPr>
        <i/>
        <sz val="10"/>
        <color rgb="FF000000"/>
        <rFont val="Calibri Light"/>
        <family val="2"/>
        <scheme val="major"/>
      </rPr>
      <t>(Jan-Dec.)</t>
    </r>
  </si>
  <si>
    <r>
      <t>Dic. /</t>
    </r>
    <r>
      <rPr>
        <i/>
        <sz val="10"/>
        <color rgb="FF000000"/>
        <rFont val="Calibri Light"/>
        <family val="2"/>
        <scheme val="major"/>
      </rPr>
      <t xml:space="preserve"> Dec.</t>
    </r>
  </si>
  <si>
    <r>
      <t xml:space="preserve">Ene-Dic.2024
</t>
    </r>
    <r>
      <rPr>
        <i/>
        <sz val="8"/>
        <color theme="1"/>
        <rFont val="Calibri Light"/>
        <family val="2"/>
        <scheme val="major"/>
      </rPr>
      <t>(Jan-Dec. 2024)</t>
    </r>
  </si>
  <si>
    <r>
      <t xml:space="preserve">Ene-Dic.2025
</t>
    </r>
    <r>
      <rPr>
        <i/>
        <sz val="8"/>
        <color theme="1"/>
        <rFont val="Calibri Light"/>
        <family val="2"/>
        <scheme val="major"/>
      </rPr>
      <t>(Jan-Dec. 2025)</t>
    </r>
  </si>
  <si>
    <r>
      <t xml:space="preserve">Dic. 2025
</t>
    </r>
    <r>
      <rPr>
        <i/>
        <sz val="8"/>
        <color rgb="FF000000"/>
        <rFont val="Calibri Light"/>
        <family val="2"/>
        <scheme val="major"/>
      </rPr>
      <t>(Dec. 2025)</t>
    </r>
  </si>
  <si>
    <r>
      <t xml:space="preserve">DICIEMBRE
</t>
    </r>
    <r>
      <rPr>
        <i/>
        <sz val="10"/>
        <color theme="1"/>
        <rFont val="Calibri Light"/>
        <family val="2"/>
        <scheme val="major"/>
      </rPr>
      <t>December</t>
    </r>
  </si>
  <si>
    <r>
      <t xml:space="preserve">ENERO - DICIEMBRE
</t>
    </r>
    <r>
      <rPr>
        <i/>
        <sz val="9"/>
        <color theme="1"/>
        <rFont val="Calibri Light"/>
        <family val="2"/>
        <scheme val="major"/>
      </rPr>
      <t>January - December</t>
    </r>
  </si>
  <si>
    <r>
      <t xml:space="preserve">DICIEMBRE
</t>
    </r>
    <r>
      <rPr>
        <i/>
        <sz val="8"/>
        <color theme="1"/>
        <rFont val="Calibri Light"/>
        <family val="2"/>
        <scheme val="major"/>
      </rPr>
      <t>December</t>
    </r>
  </si>
  <si>
    <r>
      <t xml:space="preserve">ENERO - DICIEMBRE
</t>
    </r>
    <r>
      <rPr>
        <i/>
        <sz val="8"/>
        <color theme="1"/>
        <rFont val="Calibri Light"/>
        <family val="2"/>
        <scheme val="major"/>
      </rPr>
      <t>January - December</t>
    </r>
  </si>
  <si>
    <r>
      <t xml:space="preserve">Dic. 2024
</t>
    </r>
    <r>
      <rPr>
        <i/>
        <sz val="8"/>
        <color rgb="FF000000"/>
        <rFont val="Calibri Light"/>
        <family val="2"/>
        <scheme val="major"/>
      </rPr>
      <t>(Dec.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</si>
</sst>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 numFmtId="170" formatCode="#,##0.000"/>
  </numFmts>
  <fonts count="34"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285">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3"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9"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0" fontId="6" fillId="5" borderId="4" xfId="3" applyFont="1" applyFill="1" applyBorder="1" applyAlignment="1">
      <alignment horizontal="left" vertical="center"/>
    </xf>
    <xf numFmtId="2" fontId="7" fillId="0" borderId="17" xfId="3" applyNumberFormat="1" applyFont="1" applyBorder="1" applyAlignment="1">
      <alignment horizontal="center" vertical="center"/>
    </xf>
    <xf numFmtId="0" fontId="23" fillId="4" borderId="11" xfId="0" applyFont="1" applyFill="1" applyBorder="1" applyAlignment="1">
      <alignment vertical="center"/>
    </xf>
    <xf numFmtId="0" fontId="23" fillId="0" borderId="8" xfId="0" applyFont="1" applyBorder="1" applyAlignment="1">
      <alignment vertical="center"/>
    </xf>
    <xf numFmtId="0" fontId="29" fillId="4" borderId="11" xfId="0" applyFont="1" applyFill="1" applyBorder="1" applyAlignment="1">
      <alignment vertical="center"/>
    </xf>
    <xf numFmtId="3" fontId="11" fillId="4" borderId="2" xfId="5"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0" fontId="7" fillId="5" borderId="5" xfId="3" applyFont="1" applyFill="1" applyBorder="1" applyAlignment="1">
      <alignment horizontal="center" vertical="center"/>
    </xf>
    <xf numFmtId="3" fontId="7" fillId="5" borderId="5" xfId="3" applyNumberFormat="1" applyFont="1" applyFill="1" applyBorder="1" applyAlignment="1">
      <alignment horizontal="center" vertical="center"/>
    </xf>
    <xf numFmtId="0" fontId="7" fillId="5" borderId="6" xfId="3" applyFont="1" applyFill="1" applyBorder="1" applyAlignment="1">
      <alignment horizontal="center" vertical="center"/>
    </xf>
    <xf numFmtId="3" fontId="4" fillId="3" borderId="9" xfId="5" applyNumberFormat="1" applyFont="1" applyFill="1" applyBorder="1" applyAlignment="1">
      <alignment horizontal="center" vertical="center"/>
    </xf>
    <xf numFmtId="3" fontId="9" fillId="2" borderId="7" xfId="3"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0" fontId="15" fillId="0" borderId="6" xfId="2" applyNumberFormat="1" applyFont="1" applyFill="1" applyBorder="1" applyAlignment="1">
      <alignment horizontal="center" vertical="center"/>
    </xf>
    <xf numFmtId="169" fontId="15" fillId="0" borderId="15"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0"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0" fontId="4" fillId="3" borderId="8" xfId="0" applyFont="1" applyFill="1" applyBorder="1" applyAlignment="1">
      <alignment vertical="center"/>
    </xf>
    <xf numFmtId="10" fontId="4" fillId="3" borderId="13" xfId="2" applyNumberFormat="1" applyFont="1" applyFill="1" applyBorder="1" applyAlignment="1">
      <alignment horizontal="center" vertical="center"/>
    </xf>
    <xf numFmtId="169" fontId="4" fillId="3" borderId="14" xfId="2" applyNumberFormat="1" applyFont="1" applyFill="1" applyBorder="1" applyAlignment="1">
      <alignment horizontal="center" vertical="center"/>
    </xf>
    <xf numFmtId="0" fontId="3" fillId="2" borderId="0" xfId="3" applyFont="1" applyFill="1" applyAlignment="1">
      <alignment horizontal="left" vertical="center" wrapText="1"/>
    </xf>
    <xf numFmtId="164" fontId="15" fillId="0" borderId="7" xfId="1" applyNumberFormat="1" applyFont="1" applyFill="1" applyBorder="1" applyAlignment="1">
      <alignment horizontal="center" vertical="center"/>
    </xf>
    <xf numFmtId="164" fontId="15" fillId="0" borderId="7" xfId="5" applyNumberFormat="1" applyFont="1" applyFill="1" applyBorder="1" applyAlignment="1">
      <alignment horizontal="center" vertical="center"/>
    </xf>
    <xf numFmtId="4" fontId="15" fillId="0" borderId="4" xfId="5" applyNumberFormat="1" applyFont="1" applyFill="1" applyBorder="1" applyAlignment="1">
      <alignment horizontal="center" vertical="center"/>
    </xf>
    <xf numFmtId="4" fontId="15" fillId="0" borderId="5" xfId="5"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0" fontId="4" fillId="0" borderId="13" xfId="4" applyFont="1" applyFill="1" applyBorder="1" applyAlignment="1">
      <alignment horizontal="left" vertical="center" indent="1"/>
    </xf>
    <xf numFmtId="37" fontId="4" fillId="3" borderId="0" xfId="5" applyNumberFormat="1" applyFont="1" applyFill="1" applyBorder="1" applyAlignment="1">
      <alignment horizontal="center" vertical="center"/>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37" fontId="4" fillId="3" borderId="5" xfId="5" applyNumberFormat="1" applyFont="1" applyFill="1" applyBorder="1" applyAlignment="1">
      <alignment horizontal="center" vertical="center"/>
    </xf>
    <xf numFmtId="0" fontId="4" fillId="3" borderId="8" xfId="4" applyFont="1" applyBorder="1" applyAlignment="1">
      <alignment horizontal="left" vertical="center" indent="1"/>
    </xf>
    <xf numFmtId="37" fontId="4" fillId="3" borderId="2" xfId="5" applyNumberFormat="1" applyFont="1" applyFill="1" applyBorder="1" applyAlignment="1">
      <alignment horizontal="center" vertical="center"/>
    </xf>
    <xf numFmtId="37" fontId="4" fillId="3" borderId="1" xfId="5" applyNumberFormat="1" applyFont="1" applyFill="1" applyBorder="1" applyAlignment="1">
      <alignment horizontal="center" vertical="center"/>
    </xf>
    <xf numFmtId="0" fontId="23" fillId="0" borderId="0" xfId="0" applyFont="1" applyAlignment="1">
      <alignment horizontal="right" vertical="center"/>
    </xf>
    <xf numFmtId="3" fontId="9" fillId="0" borderId="7" xfId="3" applyNumberFormat="1" applyFont="1" applyBorder="1" applyAlignment="1">
      <alignment horizontal="center" vertical="center"/>
    </xf>
    <xf numFmtId="3" fontId="15" fillId="0" borderId="0" xfId="4" applyNumberFormat="1" applyFont="1" applyFill="1" applyAlignment="1">
      <alignment horizontal="center" vertical="center"/>
    </xf>
    <xf numFmtId="164" fontId="15" fillId="0" borderId="3" xfId="4" applyNumberFormat="1" applyFont="1" applyFill="1" applyBorder="1" applyAlignment="1">
      <alignment horizontal="center" vertical="center"/>
    </xf>
    <xf numFmtId="3" fontId="7" fillId="0" borderId="5" xfId="3" applyNumberFormat="1" applyFont="1" applyBorder="1" applyAlignment="1">
      <alignment horizontal="center" vertical="center"/>
    </xf>
    <xf numFmtId="164" fontId="15" fillId="0" borderId="6" xfId="4" applyNumberFormat="1" applyFont="1" applyFill="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170" fontId="7" fillId="0" borderId="8" xfId="3" applyNumberFormat="1" applyFont="1" applyBorder="1" applyAlignment="1">
      <alignment horizontal="center" vertical="center"/>
    </xf>
    <xf numFmtId="3" fontId="7" fillId="0" borderId="16" xfId="3" applyNumberFormat="1" applyFont="1" applyBorder="1" applyAlignment="1">
      <alignment horizontal="center" vertical="center"/>
    </xf>
    <xf numFmtId="164" fontId="7" fillId="0" borderId="16" xfId="3" applyNumberFormat="1" applyFont="1" applyBorder="1" applyAlignment="1">
      <alignment horizontal="center" vertical="center"/>
    </xf>
    <xf numFmtId="3" fontId="15" fillId="0" borderId="0" xfId="3" applyNumberFormat="1" applyFont="1" applyAlignment="1">
      <alignment horizontal="center" vertical="center"/>
    </xf>
    <xf numFmtId="3" fontId="15" fillId="0" borderId="3" xfId="3" applyNumberFormat="1" applyFont="1" applyBorder="1" applyAlignment="1">
      <alignment horizontal="center" vertical="center"/>
    </xf>
    <xf numFmtId="3" fontId="15" fillId="0" borderId="5" xfId="3" applyNumberFormat="1" applyFont="1" applyBorder="1" applyAlignment="1">
      <alignment horizontal="center" vertical="center"/>
    </xf>
    <xf numFmtId="3" fontId="7" fillId="0" borderId="6" xfId="3" applyNumberFormat="1" applyFont="1" applyBorder="1" applyAlignment="1">
      <alignment horizontal="center" vertical="center"/>
    </xf>
    <xf numFmtId="3" fontId="15" fillId="0" borderId="6" xfId="3" applyNumberFormat="1" applyFont="1" applyBorder="1" applyAlignment="1">
      <alignment horizontal="center" vertical="center"/>
    </xf>
    <xf numFmtId="3" fontId="15" fillId="0" borderId="8" xfId="3" applyNumberFormat="1" applyFont="1" applyBorder="1" applyAlignment="1">
      <alignment horizontal="center" vertical="center"/>
    </xf>
    <xf numFmtId="4" fontId="7" fillId="0" borderId="18" xfId="3" applyNumberFormat="1" applyFont="1" applyBorder="1" applyAlignment="1">
      <alignment horizontal="center" vertical="center"/>
    </xf>
    <xf numFmtId="166" fontId="11" fillId="4" borderId="6" xfId="2" applyNumberFormat="1" applyFont="1" applyFill="1" applyBorder="1" applyAlignment="1">
      <alignment horizontal="center" vertical="center"/>
    </xf>
    <xf numFmtId="10" fontId="4" fillId="0" borderId="14" xfId="2" applyNumberFormat="1" applyFont="1" applyFill="1" applyBorder="1" applyAlignment="1">
      <alignment horizontal="center" vertical="center"/>
    </xf>
    <xf numFmtId="164" fontId="4" fillId="3" borderId="7" xfId="1" applyNumberFormat="1" applyFont="1" applyFill="1" applyBorder="1" applyAlignment="1">
      <alignment horizontal="center" vertical="center"/>
    </xf>
    <xf numFmtId="164" fontId="4" fillId="3" borderId="0" xfId="5" applyNumberFormat="1" applyFont="1" applyFill="1" applyBorder="1" applyAlignment="1">
      <alignment horizontal="center" vertical="center"/>
    </xf>
    <xf numFmtId="164" fontId="4" fillId="3" borderId="0" xfId="1" applyNumberFormat="1" applyFont="1" applyFill="1" applyBorder="1" applyAlignment="1">
      <alignment horizontal="center" vertical="center"/>
    </xf>
    <xf numFmtId="10" fontId="16" fillId="4" borderId="12" xfId="2"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169" fontId="4" fillId="3" borderId="8" xfId="2"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cellXfs>
  <cellStyles count="6">
    <cellStyle name="Millares" xfId="1" builtinId="3"/>
    <cellStyle name="Millares 2 3" xfId="5"/>
    <cellStyle name="Normal" xfId="0" builtinId="0"/>
    <cellStyle name="Normal 4 3" xfId="3"/>
    <cellStyle name="Porcentaje" xfId="2" builtinId="5"/>
    <cellStyle name="TEXTO NORMAL" xfId="4"/>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(Ene-Dic)
(Jan-Dec.)</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2769.7937213370205</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67</xdr:row>
      <xdr:rowOff>19050</xdr:rowOff>
    </xdr:from>
    <xdr:to>
      <xdr:col>15</xdr:col>
      <xdr:colOff>542924</xdr:colOff>
      <xdr:row>74</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3:AJ76"/>
  <sheetViews>
    <sheetView showGridLines="0" tabSelected="1" view="pageBreakPreview" topLeftCell="A40" zoomScaleNormal="100" zoomScaleSheetLayoutView="100" workbookViewId="0">
      <selection activeCell="C61" sqref="C61"/>
    </sheetView>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66" t="s">
        <v>0</v>
      </c>
      <c r="D3" s="266"/>
      <c r="E3" s="266"/>
      <c r="F3" s="266"/>
      <c r="G3" s="266"/>
      <c r="H3" s="266"/>
      <c r="I3" s="266"/>
      <c r="J3" s="266"/>
      <c r="K3" s="266"/>
      <c r="L3" s="266"/>
      <c r="M3" s="266"/>
      <c r="N3" s="266"/>
      <c r="O3" s="266"/>
      <c r="P3" s="266"/>
      <c r="Q3" s="1"/>
    </row>
    <row r="4" spans="3:17" ht="14.25" customHeight="1" x14ac:dyDescent="0.25">
      <c r="C4" s="267" t="s">
        <v>1</v>
      </c>
      <c r="D4" s="267"/>
      <c r="E4" s="267"/>
      <c r="F4" s="267"/>
      <c r="G4" s="267"/>
      <c r="H4" s="267"/>
      <c r="I4" s="267"/>
      <c r="J4" s="267"/>
      <c r="K4" s="267"/>
      <c r="L4" s="267"/>
      <c r="M4" s="267"/>
      <c r="N4" s="267"/>
      <c r="O4" s="267"/>
      <c r="P4" s="267"/>
      <c r="Q4" s="3"/>
    </row>
    <row r="5" spans="3:17" ht="9" customHeight="1" x14ac:dyDescent="0.25">
      <c r="C5" s="4"/>
      <c r="D5" s="5"/>
      <c r="E5" s="5"/>
      <c r="F5" s="5"/>
      <c r="G5" s="5"/>
      <c r="H5" s="6"/>
      <c r="I5" s="7"/>
      <c r="J5" s="6"/>
      <c r="K5" s="5"/>
      <c r="L5" s="5"/>
      <c r="M5" s="5"/>
      <c r="N5" s="5"/>
      <c r="O5" s="5"/>
      <c r="P5" s="5"/>
    </row>
    <row r="6" spans="3:17" ht="14.45" customHeight="1" x14ac:dyDescent="0.25">
      <c r="C6" s="268" t="s">
        <v>2</v>
      </c>
      <c r="D6" s="268"/>
      <c r="E6" s="268"/>
      <c r="F6" s="268"/>
      <c r="G6" s="268"/>
      <c r="H6" s="268"/>
      <c r="I6" s="268"/>
      <c r="J6" s="268"/>
      <c r="K6" s="268"/>
      <c r="L6" s="218"/>
      <c r="M6" s="218"/>
      <c r="N6" s="218"/>
      <c r="O6" s="218"/>
      <c r="P6" s="218"/>
    </row>
    <row r="7" spans="3:17" ht="14.45" customHeight="1" x14ac:dyDescent="0.25">
      <c r="C7" s="9" t="s">
        <v>3</v>
      </c>
      <c r="D7" s="218"/>
      <c r="E7" s="218"/>
      <c r="F7" s="218"/>
      <c r="G7" s="218"/>
      <c r="H7" s="218"/>
      <c r="I7" s="218"/>
      <c r="J7" s="218"/>
      <c r="K7" s="218"/>
      <c r="L7" s="218"/>
      <c r="M7" s="218"/>
      <c r="N7" s="218"/>
      <c r="O7" s="218"/>
      <c r="P7" s="218"/>
    </row>
    <row r="8" spans="3:17" x14ac:dyDescent="0.25">
      <c r="C8" s="5"/>
      <c r="D8" s="5"/>
      <c r="E8" s="5"/>
      <c r="F8" s="5"/>
      <c r="G8" s="5"/>
      <c r="H8" s="5"/>
      <c r="I8" s="5"/>
      <c r="J8" s="5"/>
      <c r="K8" s="5"/>
      <c r="L8" s="5"/>
      <c r="M8" s="5"/>
      <c r="N8" s="5"/>
      <c r="O8" s="5"/>
      <c r="P8" s="5"/>
    </row>
    <row r="9" spans="3:17" s="14" customFormat="1" ht="29.25" customHeight="1" x14ac:dyDescent="0.25">
      <c r="C9" s="10" t="s">
        <v>4</v>
      </c>
      <c r="D9" s="11" t="s">
        <v>5</v>
      </c>
      <c r="E9" s="11" t="s">
        <v>6</v>
      </c>
      <c r="F9" s="11" t="s">
        <v>7</v>
      </c>
      <c r="G9" s="11" t="s">
        <v>8</v>
      </c>
      <c r="H9" s="11" t="s">
        <v>9</v>
      </c>
      <c r="I9" s="11" t="s">
        <v>10</v>
      </c>
      <c r="J9" s="11" t="s">
        <v>11</v>
      </c>
      <c r="K9" s="11" t="s">
        <v>12</v>
      </c>
      <c r="L9" s="11" t="s">
        <v>13</v>
      </c>
      <c r="M9" s="11" t="s">
        <v>14</v>
      </c>
      <c r="N9" s="11" t="s">
        <v>15</v>
      </c>
      <c r="O9" s="11" t="s">
        <v>16</v>
      </c>
      <c r="P9" s="12" t="s">
        <v>17</v>
      </c>
      <c r="Q9" s="13"/>
    </row>
    <row r="10" spans="3:17" ht="24" x14ac:dyDescent="0.25">
      <c r="C10" s="15"/>
      <c r="D10" s="16" t="s">
        <v>18</v>
      </c>
      <c r="E10" s="16" t="s">
        <v>19</v>
      </c>
      <c r="F10" s="16" t="s">
        <v>18</v>
      </c>
      <c r="G10" s="16" t="s">
        <v>20</v>
      </c>
      <c r="H10" s="16" t="s">
        <v>18</v>
      </c>
      <c r="I10" s="16" t="s">
        <v>18</v>
      </c>
      <c r="J10" s="16" t="s">
        <v>18</v>
      </c>
      <c r="K10" s="16" t="s">
        <v>18</v>
      </c>
      <c r="L10" s="16" t="s">
        <v>18</v>
      </c>
      <c r="M10" s="16" t="s">
        <v>18</v>
      </c>
      <c r="N10" s="16" t="s">
        <v>18</v>
      </c>
      <c r="O10" s="16" t="s">
        <v>18</v>
      </c>
      <c r="P10" s="17" t="s">
        <v>18</v>
      </c>
    </row>
    <row r="11" spans="3:17" x14ac:dyDescent="0.25">
      <c r="C11" s="18">
        <v>2000</v>
      </c>
      <c r="D11" s="19">
        <v>553924</v>
      </c>
      <c r="E11" s="19">
        <v>132585078.00000001</v>
      </c>
      <c r="F11" s="19">
        <v>910303</v>
      </c>
      <c r="G11" s="19">
        <v>2437706</v>
      </c>
      <c r="H11" s="19">
        <v>270576</v>
      </c>
      <c r="I11" s="19">
        <v>2812784.7804642497</v>
      </c>
      <c r="J11" s="19">
        <v>37410</v>
      </c>
      <c r="K11" s="19">
        <v>7193</v>
      </c>
      <c r="L11" s="19" t="s">
        <v>21</v>
      </c>
      <c r="M11" s="19" t="s">
        <v>21</v>
      </c>
      <c r="N11" s="19" t="s">
        <v>21</v>
      </c>
      <c r="O11" s="19" t="s">
        <v>21</v>
      </c>
      <c r="P11" s="20" t="s">
        <v>21</v>
      </c>
    </row>
    <row r="12" spans="3:17" x14ac:dyDescent="0.25">
      <c r="C12" s="18">
        <v>2001</v>
      </c>
      <c r="D12" s="19">
        <v>722355.34555900015</v>
      </c>
      <c r="E12" s="19">
        <v>138522109.261338</v>
      </c>
      <c r="F12" s="19">
        <v>1056629.375614</v>
      </c>
      <c r="G12" s="19">
        <v>2571113.7884550001</v>
      </c>
      <c r="H12" s="19">
        <v>289546.06610700005</v>
      </c>
      <c r="I12" s="19">
        <v>3038401.494655</v>
      </c>
      <c r="J12" s="19">
        <v>38182.076774000001</v>
      </c>
      <c r="K12" s="19">
        <v>9499.2289039999996</v>
      </c>
      <c r="L12" s="19" t="s">
        <v>21</v>
      </c>
      <c r="M12" s="19" t="s">
        <v>21</v>
      </c>
      <c r="N12" s="19" t="s">
        <v>21</v>
      </c>
      <c r="O12" s="19" t="s">
        <v>21</v>
      </c>
      <c r="P12" s="20" t="s">
        <v>21</v>
      </c>
    </row>
    <row r="13" spans="3:17" x14ac:dyDescent="0.25">
      <c r="C13" s="18">
        <v>2002</v>
      </c>
      <c r="D13" s="19">
        <v>844552.87496099994</v>
      </c>
      <c r="E13" s="19">
        <v>157529918.53579301</v>
      </c>
      <c r="F13" s="19">
        <v>1232996.9204689998</v>
      </c>
      <c r="G13" s="19">
        <v>2869638.9847490001</v>
      </c>
      <c r="H13" s="19">
        <v>305650.71951300005</v>
      </c>
      <c r="I13" s="19">
        <v>3056055.2522</v>
      </c>
      <c r="J13" s="19">
        <v>38815.044966000001</v>
      </c>
      <c r="K13" s="19">
        <v>8612.8507310000005</v>
      </c>
      <c r="L13" s="19" t="s">
        <v>21</v>
      </c>
      <c r="M13" s="19" t="s">
        <v>21</v>
      </c>
      <c r="N13" s="19" t="s">
        <v>21</v>
      </c>
      <c r="O13" s="19" t="s">
        <v>21</v>
      </c>
      <c r="P13" s="20" t="s">
        <v>21</v>
      </c>
    </row>
    <row r="14" spans="3:17" x14ac:dyDescent="0.25">
      <c r="C14" s="18">
        <v>2003</v>
      </c>
      <c r="D14" s="19">
        <v>842605.07863000024</v>
      </c>
      <c r="E14" s="19">
        <v>172624629.84419996</v>
      </c>
      <c r="F14" s="19">
        <v>1373792.267121</v>
      </c>
      <c r="G14" s="19">
        <v>2923686.4022500003</v>
      </c>
      <c r="H14" s="19">
        <v>309163.88219000009</v>
      </c>
      <c r="I14" s="19">
        <v>3484900.3702520002</v>
      </c>
      <c r="J14" s="19">
        <v>40202.178839999993</v>
      </c>
      <c r="K14" s="19">
        <v>9589.5781260000003</v>
      </c>
      <c r="L14" s="19" t="s">
        <v>21</v>
      </c>
      <c r="M14" s="19" t="s">
        <v>21</v>
      </c>
      <c r="N14" s="19" t="s">
        <v>21</v>
      </c>
      <c r="O14" s="19" t="s">
        <v>21</v>
      </c>
      <c r="P14" s="20" t="s">
        <v>21</v>
      </c>
    </row>
    <row r="15" spans="3:17" x14ac:dyDescent="0.25">
      <c r="C15" s="18">
        <v>2004</v>
      </c>
      <c r="D15" s="19">
        <v>1035574.04973</v>
      </c>
      <c r="E15" s="19">
        <v>173223817.38585296</v>
      </c>
      <c r="F15" s="19">
        <v>1209005.7091610003</v>
      </c>
      <c r="G15" s="19">
        <v>3059961.8968920005</v>
      </c>
      <c r="H15" s="19">
        <v>306210.77793799998</v>
      </c>
      <c r="I15" s="19">
        <v>4247173.7726000007</v>
      </c>
      <c r="J15" s="19">
        <v>41613.363517999998</v>
      </c>
      <c r="K15" s="19">
        <v>14246.326868</v>
      </c>
      <c r="L15" s="19" t="s">
        <v>21</v>
      </c>
      <c r="M15" s="19" t="s">
        <v>21</v>
      </c>
      <c r="N15" s="19" t="s">
        <v>21</v>
      </c>
      <c r="O15" s="19" t="s">
        <v>21</v>
      </c>
      <c r="P15" s="20" t="s">
        <v>21</v>
      </c>
    </row>
    <row r="16" spans="3:17" x14ac:dyDescent="0.25">
      <c r="C16" s="18">
        <v>2005</v>
      </c>
      <c r="D16" s="19">
        <v>1009897.918423</v>
      </c>
      <c r="E16" s="19">
        <v>208001717.81876829</v>
      </c>
      <c r="F16" s="19">
        <v>1201670.9143999997</v>
      </c>
      <c r="G16" s="19">
        <v>3193145.5305729993</v>
      </c>
      <c r="H16" s="19">
        <v>319344.80289899989</v>
      </c>
      <c r="I16" s="19">
        <v>4564989.1370999999</v>
      </c>
      <c r="J16" s="19">
        <v>42144.586211000002</v>
      </c>
      <c r="K16" s="19">
        <v>17325.373315000004</v>
      </c>
      <c r="L16" s="19" t="s">
        <v>21</v>
      </c>
      <c r="M16" s="19" t="s">
        <v>21</v>
      </c>
      <c r="N16" s="19" t="s">
        <v>21</v>
      </c>
      <c r="O16" s="19" t="s">
        <v>21</v>
      </c>
      <c r="P16" s="20" t="s">
        <v>21</v>
      </c>
    </row>
    <row r="17" spans="3:36" x14ac:dyDescent="0.25">
      <c r="C17" s="18">
        <v>2006</v>
      </c>
      <c r="D17" s="19">
        <v>1048472.4635900002</v>
      </c>
      <c r="E17" s="19">
        <v>202825998.65453294</v>
      </c>
      <c r="F17" s="19">
        <v>1203364.0679980002</v>
      </c>
      <c r="G17" s="19">
        <v>3470661.2430209992</v>
      </c>
      <c r="H17" s="19">
        <v>313332.28608800005</v>
      </c>
      <c r="I17" s="19">
        <v>4784600.5820000004</v>
      </c>
      <c r="J17" s="19">
        <v>38469.547186000011</v>
      </c>
      <c r="K17" s="19">
        <v>17209.346067999999</v>
      </c>
      <c r="L17" s="19" t="s">
        <v>21</v>
      </c>
      <c r="M17" s="19" t="s">
        <v>21</v>
      </c>
      <c r="N17" s="19" t="s">
        <v>21</v>
      </c>
      <c r="O17" s="19" t="s">
        <v>21</v>
      </c>
      <c r="P17" s="20" t="s">
        <v>21</v>
      </c>
    </row>
    <row r="18" spans="3:36" x14ac:dyDescent="0.25">
      <c r="C18" s="18">
        <v>2007</v>
      </c>
      <c r="D18" s="19">
        <v>1190273.6039159999</v>
      </c>
      <c r="E18" s="19">
        <v>170127538.95581597</v>
      </c>
      <c r="F18" s="19">
        <v>1444361.4378260002</v>
      </c>
      <c r="G18" s="19">
        <v>3501461.9256330007</v>
      </c>
      <c r="H18" s="19">
        <v>329164.77903499996</v>
      </c>
      <c r="I18" s="19">
        <v>5103597.2635999992</v>
      </c>
      <c r="J18" s="19">
        <v>39018.915689000001</v>
      </c>
      <c r="K18" s="19">
        <v>16786.886077000003</v>
      </c>
      <c r="L18" s="19" t="s">
        <v>21</v>
      </c>
      <c r="M18" s="19" t="s">
        <v>21</v>
      </c>
      <c r="N18" s="19" t="s">
        <v>21</v>
      </c>
      <c r="O18" s="19" t="s">
        <v>21</v>
      </c>
      <c r="P18" s="20" t="s">
        <v>21</v>
      </c>
    </row>
    <row r="19" spans="3:36" x14ac:dyDescent="0.25">
      <c r="C19" s="18">
        <v>2008</v>
      </c>
      <c r="D19" s="19">
        <v>1267866.5800789997</v>
      </c>
      <c r="E19" s="19">
        <v>179870472.99560794</v>
      </c>
      <c r="F19" s="19">
        <v>1602597.0080210003</v>
      </c>
      <c r="G19" s="19">
        <v>3685931.0012759985</v>
      </c>
      <c r="H19" s="19">
        <v>345109.27027199999</v>
      </c>
      <c r="I19" s="19">
        <v>5160707.0164000001</v>
      </c>
      <c r="J19" s="19">
        <v>39037.065935000006</v>
      </c>
      <c r="K19" s="19">
        <v>16720.528117000002</v>
      </c>
      <c r="L19" s="19" t="s">
        <v>21</v>
      </c>
      <c r="M19" s="19" t="s">
        <v>21</v>
      </c>
      <c r="N19" s="19" t="s">
        <v>21</v>
      </c>
      <c r="O19" s="19" t="s">
        <v>21</v>
      </c>
      <c r="P19" s="20" t="s">
        <v>21</v>
      </c>
    </row>
    <row r="20" spans="3:36" x14ac:dyDescent="0.25">
      <c r="C20" s="18">
        <v>2009</v>
      </c>
      <c r="D20" s="19">
        <v>1276249.2028349997</v>
      </c>
      <c r="E20" s="19">
        <v>183994691.50778204</v>
      </c>
      <c r="F20" s="19">
        <v>1512931.0674320005</v>
      </c>
      <c r="G20" s="19">
        <v>3922708.3963299985</v>
      </c>
      <c r="H20" s="19">
        <v>302459.11290999997</v>
      </c>
      <c r="I20" s="19">
        <v>4418768.325600001</v>
      </c>
      <c r="J20" s="19">
        <v>37502.627191</v>
      </c>
      <c r="K20" s="19">
        <v>12297.103142</v>
      </c>
      <c r="L20" s="19" t="s">
        <v>21</v>
      </c>
      <c r="M20" s="19" t="s">
        <v>21</v>
      </c>
      <c r="N20" s="19" t="s">
        <v>21</v>
      </c>
      <c r="O20" s="19" t="s">
        <v>21</v>
      </c>
      <c r="P20" s="20" t="s">
        <v>21</v>
      </c>
    </row>
    <row r="21" spans="3:36" x14ac:dyDescent="0.25">
      <c r="C21" s="18">
        <v>2010</v>
      </c>
      <c r="D21" s="19">
        <v>1247184.0293920001</v>
      </c>
      <c r="E21" s="19">
        <v>164084388.90122896</v>
      </c>
      <c r="F21" s="19">
        <v>1470449.7064990005</v>
      </c>
      <c r="G21" s="19">
        <v>3640465.4641499999</v>
      </c>
      <c r="H21" s="19">
        <v>261989.60579399997</v>
      </c>
      <c r="I21" s="19">
        <v>6042644.2223000005</v>
      </c>
      <c r="J21" s="19">
        <v>33847.813441999999</v>
      </c>
      <c r="K21" s="19">
        <v>16963.268973000002</v>
      </c>
      <c r="L21" s="19" t="s">
        <v>21</v>
      </c>
      <c r="M21" s="19" t="s">
        <v>21</v>
      </c>
      <c r="N21" s="19" t="s">
        <v>21</v>
      </c>
      <c r="O21" s="19" t="s">
        <v>21</v>
      </c>
      <c r="P21" s="20" t="s">
        <v>21</v>
      </c>
    </row>
    <row r="22" spans="3:36" x14ac:dyDescent="0.25">
      <c r="C22" s="18">
        <v>2011</v>
      </c>
      <c r="D22" s="19">
        <v>1235345.068018001</v>
      </c>
      <c r="E22" s="19">
        <v>166186716.98165271</v>
      </c>
      <c r="F22" s="19">
        <v>1256382.6002109998</v>
      </c>
      <c r="G22" s="19">
        <v>3418862.1174220056</v>
      </c>
      <c r="H22" s="19">
        <v>230199.08238500016</v>
      </c>
      <c r="I22" s="19">
        <v>7010937.8915999997</v>
      </c>
      <c r="J22" s="19">
        <v>28881.790965999993</v>
      </c>
      <c r="K22" s="19">
        <v>19141.078052000001</v>
      </c>
      <c r="L22" s="19" t="s">
        <v>21</v>
      </c>
      <c r="M22" s="19" t="s">
        <v>21</v>
      </c>
      <c r="N22" s="19" t="s">
        <v>21</v>
      </c>
      <c r="O22" s="19" t="s">
        <v>21</v>
      </c>
      <c r="P22" s="20" t="s">
        <v>21</v>
      </c>
      <c r="Q22" s="21">
        <f t="shared" ref="Q22:Q36" si="0">D22/1000</f>
        <v>1235.345068018001</v>
      </c>
      <c r="AB22" s="22"/>
      <c r="AC22" s="22"/>
      <c r="AD22" s="22"/>
      <c r="AE22" s="22"/>
      <c r="AF22" s="22"/>
      <c r="AG22" s="22"/>
      <c r="AH22" s="22"/>
      <c r="AI22" s="22"/>
      <c r="AJ22" s="23"/>
    </row>
    <row r="23" spans="3:36" x14ac:dyDescent="0.25">
      <c r="C23" s="18">
        <v>2012</v>
      </c>
      <c r="D23" s="19">
        <v>1289916.9346156276</v>
      </c>
      <c r="E23" s="19">
        <v>153780960.26084191</v>
      </c>
      <c r="F23" s="19">
        <v>1281282.431485241</v>
      </c>
      <c r="G23" s="19">
        <v>3452004.3609873233</v>
      </c>
      <c r="H23" s="19">
        <v>249236.15747171015</v>
      </c>
      <c r="I23" s="19">
        <v>6684539.3918000003</v>
      </c>
      <c r="J23" s="19">
        <v>26104.854505400006</v>
      </c>
      <c r="K23" s="19">
        <v>16790.374244900002</v>
      </c>
      <c r="L23" s="19" t="s">
        <v>21</v>
      </c>
      <c r="M23" s="19" t="s">
        <v>21</v>
      </c>
      <c r="N23" s="19" t="s">
        <v>21</v>
      </c>
      <c r="O23" s="19" t="s">
        <v>21</v>
      </c>
      <c r="P23" s="20" t="s">
        <v>21</v>
      </c>
      <c r="Q23" s="21">
        <f t="shared" si="0"/>
        <v>1289.9169346156277</v>
      </c>
      <c r="R23" s="23"/>
      <c r="AB23" s="22"/>
      <c r="AC23" s="22"/>
      <c r="AD23" s="22"/>
      <c r="AE23" s="22"/>
      <c r="AF23" s="22"/>
      <c r="AG23" s="22"/>
      <c r="AH23" s="22"/>
      <c r="AI23" s="22"/>
    </row>
    <row r="24" spans="3:36" x14ac:dyDescent="0.25">
      <c r="C24" s="18">
        <v>2013</v>
      </c>
      <c r="D24" s="19">
        <v>1363452.9126998207</v>
      </c>
      <c r="E24" s="19">
        <v>143716837.41998193</v>
      </c>
      <c r="F24" s="19">
        <v>1351048.7423302194</v>
      </c>
      <c r="G24" s="19">
        <v>3648503.3400407191</v>
      </c>
      <c r="H24" s="19">
        <v>266312.71547875</v>
      </c>
      <c r="I24" s="19">
        <v>6680658.79</v>
      </c>
      <c r="J24" s="19">
        <v>23667.787451500008</v>
      </c>
      <c r="K24" s="19">
        <v>18139.597244000001</v>
      </c>
      <c r="L24" s="19" t="s">
        <v>21</v>
      </c>
      <c r="M24" s="19" t="s">
        <v>21</v>
      </c>
      <c r="N24" s="19" t="s">
        <v>21</v>
      </c>
      <c r="O24" s="19" t="s">
        <v>21</v>
      </c>
      <c r="P24" s="20" t="s">
        <v>21</v>
      </c>
      <c r="Q24" s="21">
        <f t="shared" si="0"/>
        <v>1363.4529126998207</v>
      </c>
      <c r="R24" s="23"/>
      <c r="AB24" s="22"/>
      <c r="AC24" s="22"/>
      <c r="AD24" s="22"/>
      <c r="AE24" s="22"/>
      <c r="AF24" s="22"/>
      <c r="AG24" s="22"/>
      <c r="AH24" s="22"/>
      <c r="AI24" s="22"/>
    </row>
    <row r="25" spans="3:36" x14ac:dyDescent="0.25">
      <c r="C25" s="18">
        <v>2014</v>
      </c>
      <c r="D25" s="19">
        <v>1377373.7760182077</v>
      </c>
      <c r="E25" s="19">
        <v>129946243.44281495</v>
      </c>
      <c r="F25" s="19">
        <v>1315221.0230463955</v>
      </c>
      <c r="G25" s="19">
        <v>3738279.9180184668</v>
      </c>
      <c r="H25" s="19">
        <v>277116.52714844397</v>
      </c>
      <c r="I25" s="19">
        <v>7192591.9308000002</v>
      </c>
      <c r="J25" s="19">
        <v>23105.261867800007</v>
      </c>
      <c r="K25" s="19">
        <v>17017.692464999996</v>
      </c>
      <c r="L25" s="19" t="s">
        <v>21</v>
      </c>
      <c r="M25" s="19" t="s">
        <v>21</v>
      </c>
      <c r="N25" s="19" t="s">
        <v>21</v>
      </c>
      <c r="O25" s="19" t="s">
        <v>21</v>
      </c>
      <c r="P25" s="20" t="s">
        <v>21</v>
      </c>
      <c r="Q25" s="21">
        <f t="shared" si="0"/>
        <v>1377.3737760182078</v>
      </c>
      <c r="R25" s="23"/>
      <c r="AB25" s="22"/>
      <c r="AC25" s="22"/>
      <c r="AD25" s="22"/>
      <c r="AE25" s="22"/>
      <c r="AF25" s="22"/>
      <c r="AG25" s="22"/>
      <c r="AH25" s="22"/>
      <c r="AI25" s="22"/>
    </row>
    <row r="26" spans="3:36" x14ac:dyDescent="0.25">
      <c r="C26" s="18">
        <v>2015</v>
      </c>
      <c r="D26" s="19">
        <v>1699939.7432781935</v>
      </c>
      <c r="E26" s="19">
        <v>137378305.7952458</v>
      </c>
      <c r="F26" s="19">
        <v>1415823.5863843861</v>
      </c>
      <c r="G26" s="19">
        <v>4071094.9244271382</v>
      </c>
      <c r="H26" s="19">
        <v>314011.10750861233</v>
      </c>
      <c r="I26" s="19">
        <v>7320806.8477000007</v>
      </c>
      <c r="J26" s="19">
        <v>19510.729779199999</v>
      </c>
      <c r="K26" s="19">
        <v>20153.237616000009</v>
      </c>
      <c r="L26" s="19" t="s">
        <v>21</v>
      </c>
      <c r="M26" s="19" t="s">
        <v>21</v>
      </c>
      <c r="N26" s="19" t="s">
        <v>21</v>
      </c>
      <c r="O26" s="19" t="s">
        <v>21</v>
      </c>
      <c r="P26" s="20" t="s">
        <v>21</v>
      </c>
      <c r="Q26" s="21">
        <f t="shared" si="0"/>
        <v>1699.9397432781934</v>
      </c>
      <c r="R26" s="23"/>
      <c r="AB26" s="22"/>
      <c r="AC26" s="22"/>
      <c r="AD26" s="22"/>
      <c r="AE26" s="22"/>
      <c r="AF26" s="22"/>
      <c r="AG26" s="22"/>
      <c r="AH26" s="22"/>
      <c r="AI26" s="22"/>
    </row>
    <row r="27" spans="3:36" x14ac:dyDescent="0.25">
      <c r="C27" s="18">
        <v>2016</v>
      </c>
      <c r="D27" s="19">
        <v>2352959.5047380654</v>
      </c>
      <c r="E27" s="19">
        <v>142230636.69316867</v>
      </c>
      <c r="F27" s="19">
        <v>1329178.0227656392</v>
      </c>
      <c r="G27" s="19">
        <v>4329179.7629066529</v>
      </c>
      <c r="H27" s="19">
        <v>312806.40109176951</v>
      </c>
      <c r="I27" s="19">
        <v>7663123.9877000004</v>
      </c>
      <c r="J27" s="19">
        <v>18789.0047614</v>
      </c>
      <c r="K27" s="19">
        <v>25756.505005499999</v>
      </c>
      <c r="L27" s="19">
        <v>23251.82108854</v>
      </c>
      <c r="M27" s="19">
        <v>187.59719447999996</v>
      </c>
      <c r="N27" s="19" t="s">
        <v>21</v>
      </c>
      <c r="O27" s="19">
        <v>1194.0643193499998</v>
      </c>
      <c r="P27" s="20" t="s">
        <v>21</v>
      </c>
      <c r="Q27" s="21">
        <f t="shared" si="0"/>
        <v>2352.9595047380653</v>
      </c>
      <c r="R27" s="23"/>
      <c r="AB27" s="22"/>
      <c r="AC27" s="22"/>
      <c r="AD27" s="22"/>
      <c r="AE27" s="22"/>
      <c r="AF27" s="22"/>
      <c r="AG27" s="22"/>
      <c r="AH27" s="22"/>
      <c r="AI27" s="22"/>
    </row>
    <row r="28" spans="3:36" x14ac:dyDescent="0.25">
      <c r="C28" s="18">
        <v>2017</v>
      </c>
      <c r="D28" s="19">
        <v>2440181.1105834288</v>
      </c>
      <c r="E28" s="19">
        <v>138425832.76156646</v>
      </c>
      <c r="F28" s="19">
        <v>1466521.468671351</v>
      </c>
      <c r="G28" s="19">
        <v>4318324.2784375055</v>
      </c>
      <c r="H28" s="19">
        <v>305279.59941443987</v>
      </c>
      <c r="I28" s="19">
        <v>8668091.618999999</v>
      </c>
      <c r="J28" s="19">
        <v>17790.363566100001</v>
      </c>
      <c r="K28" s="19">
        <v>28141.125214199987</v>
      </c>
      <c r="L28" s="19">
        <v>22403.407244680002</v>
      </c>
      <c r="M28" s="19">
        <v>123.17674860000001</v>
      </c>
      <c r="N28" s="19" t="s">
        <v>21</v>
      </c>
      <c r="O28" s="19">
        <v>1133.2781170000001</v>
      </c>
      <c r="P28" s="20" t="s">
        <v>21</v>
      </c>
      <c r="Q28" s="21">
        <f t="shared" si="0"/>
        <v>2440.1811105834286</v>
      </c>
      <c r="R28" s="23"/>
      <c r="AB28" s="22"/>
      <c r="AC28" s="22"/>
      <c r="AD28" s="22"/>
      <c r="AE28" s="22"/>
      <c r="AF28" s="22"/>
      <c r="AG28" s="22"/>
      <c r="AH28" s="22"/>
      <c r="AI28" s="22"/>
    </row>
    <row r="29" spans="3:36" ht="12" customHeight="1" x14ac:dyDescent="0.25">
      <c r="C29" s="18">
        <v>2018</v>
      </c>
      <c r="D29" s="19">
        <v>2416881.1002070699</v>
      </c>
      <c r="E29" s="19">
        <v>125933914.4370804</v>
      </c>
      <c r="F29" s="19">
        <v>1471845.936649523</v>
      </c>
      <c r="G29" s="19">
        <v>3999990.1319625694</v>
      </c>
      <c r="H29" s="19">
        <v>288796.22529555805</v>
      </c>
      <c r="I29" s="19">
        <v>9096993.8719999995</v>
      </c>
      <c r="J29" s="19">
        <v>18601.344508400005</v>
      </c>
      <c r="K29" s="19">
        <v>27604.218841510006</v>
      </c>
      <c r="L29" s="19">
        <v>20407.598393799999</v>
      </c>
      <c r="M29" s="19">
        <v>145.236144</v>
      </c>
      <c r="N29" s="19" t="s">
        <v>21</v>
      </c>
      <c r="O29" s="19">
        <v>20879.636489500001</v>
      </c>
      <c r="P29" s="20" t="s">
        <v>21</v>
      </c>
      <c r="Q29" s="21">
        <f t="shared" si="0"/>
        <v>2416.8811002070697</v>
      </c>
      <c r="R29" s="23"/>
      <c r="AB29" s="22"/>
      <c r="AC29" s="22"/>
      <c r="AD29" s="22"/>
      <c r="AE29" s="22"/>
      <c r="AF29" s="22"/>
      <c r="AG29" s="22"/>
      <c r="AH29" s="22"/>
      <c r="AI29" s="22"/>
    </row>
    <row r="30" spans="3:36" x14ac:dyDescent="0.25">
      <c r="C30" s="18">
        <v>2019</v>
      </c>
      <c r="D30" s="19">
        <v>2437925.373902773</v>
      </c>
      <c r="E30" s="19">
        <v>113586028.97131993</v>
      </c>
      <c r="F30" s="19">
        <v>1382753.4838439696</v>
      </c>
      <c r="G30" s="19">
        <v>3706760.2491151234</v>
      </c>
      <c r="H30" s="19">
        <v>307020.88310454384</v>
      </c>
      <c r="I30" s="19">
        <v>9666411.8718999997</v>
      </c>
      <c r="J30" s="19">
        <v>19853.168399999995</v>
      </c>
      <c r="K30" s="19">
        <v>30441.359039579998</v>
      </c>
      <c r="L30" s="19">
        <v>24914.734069159997</v>
      </c>
      <c r="M30" s="19">
        <v>72.514848099999995</v>
      </c>
      <c r="N30" s="19" t="s">
        <v>21</v>
      </c>
      <c r="O30" s="19">
        <v>18814.2028421</v>
      </c>
      <c r="P30" s="20" t="s">
        <v>21</v>
      </c>
      <c r="Q30" s="21">
        <f t="shared" si="0"/>
        <v>2437.9253739027731</v>
      </c>
      <c r="R30" s="23"/>
      <c r="AB30" s="22"/>
      <c r="AC30" s="22"/>
      <c r="AD30" s="22"/>
      <c r="AE30" s="22"/>
      <c r="AF30" s="22"/>
      <c r="AG30" s="22"/>
      <c r="AH30" s="22"/>
      <c r="AI30" s="22"/>
    </row>
    <row r="31" spans="3:36" x14ac:dyDescent="0.25">
      <c r="C31" s="18">
        <v>2020</v>
      </c>
      <c r="D31" s="19">
        <v>2150125.9121219628</v>
      </c>
      <c r="E31" s="19">
        <v>85368457.367976174</v>
      </c>
      <c r="F31" s="19">
        <v>1334570.4777680759</v>
      </c>
      <c r="G31" s="19">
        <v>2721461.1368655483</v>
      </c>
      <c r="H31" s="19">
        <v>241547.91303967001</v>
      </c>
      <c r="I31" s="19">
        <v>8893971.5276180003</v>
      </c>
      <c r="J31" s="19">
        <v>20646.581029499997</v>
      </c>
      <c r="K31" s="19">
        <v>32184.625879069805</v>
      </c>
      <c r="L31" s="19">
        <v>19013.894022044497</v>
      </c>
      <c r="M31" s="19">
        <v>73.906293489500015</v>
      </c>
      <c r="N31" s="19">
        <v>235.52044689999997</v>
      </c>
      <c r="O31" s="19">
        <v>10119.873510295998</v>
      </c>
      <c r="P31" s="20" t="s">
        <v>21</v>
      </c>
      <c r="Q31" s="21">
        <f t="shared" si="0"/>
        <v>2150.1259121219628</v>
      </c>
      <c r="R31" s="23"/>
      <c r="AB31" s="22"/>
      <c r="AC31" s="22"/>
      <c r="AD31" s="22"/>
      <c r="AE31" s="22"/>
      <c r="AF31" s="22"/>
      <c r="AG31" s="22"/>
      <c r="AH31" s="22"/>
      <c r="AI31" s="22"/>
    </row>
    <row r="32" spans="3:36" x14ac:dyDescent="0.25">
      <c r="C32" s="18">
        <v>2021</v>
      </c>
      <c r="D32" s="19">
        <v>2326035.3089323733</v>
      </c>
      <c r="E32" s="19">
        <v>97492951.121057257</v>
      </c>
      <c r="F32" s="19">
        <v>1533134.9989912319</v>
      </c>
      <c r="G32" s="19">
        <v>3333632.4494976597</v>
      </c>
      <c r="H32" s="19">
        <v>264426.50705023162</v>
      </c>
      <c r="I32" s="19">
        <v>12149273.526027001</v>
      </c>
      <c r="J32" s="19">
        <v>26995.267701000004</v>
      </c>
      <c r="K32" s="19">
        <v>34148.029036760017</v>
      </c>
      <c r="L32" s="19">
        <v>21876.501141209999</v>
      </c>
      <c r="M32" s="19">
        <v>247.486251065</v>
      </c>
      <c r="N32" s="19">
        <v>278.81457949999998</v>
      </c>
      <c r="O32" s="19">
        <v>11390.682832689996</v>
      </c>
      <c r="P32" s="20" t="s">
        <v>21</v>
      </c>
      <c r="Q32" s="21">
        <f t="shared" si="0"/>
        <v>2326.0353089323735</v>
      </c>
      <c r="R32" s="23"/>
      <c r="AB32" s="22"/>
      <c r="AC32" s="22"/>
      <c r="AD32" s="22"/>
      <c r="AE32" s="22"/>
      <c r="AF32" s="22"/>
      <c r="AG32" s="22"/>
      <c r="AH32" s="22"/>
      <c r="AI32" s="22"/>
    </row>
    <row r="33" spans="2:35" x14ac:dyDescent="0.25">
      <c r="C33" s="18">
        <v>2022</v>
      </c>
      <c r="D33" s="19">
        <v>2445270.8303173976</v>
      </c>
      <c r="E33" s="19">
        <v>96965977.163885579</v>
      </c>
      <c r="F33" s="19">
        <v>1369649.1117797941</v>
      </c>
      <c r="G33" s="19">
        <v>3084038.7076613051</v>
      </c>
      <c r="H33" s="19">
        <v>255442.99715858512</v>
      </c>
      <c r="I33" s="19">
        <v>12936826.381839</v>
      </c>
      <c r="J33" s="19">
        <v>28231.359913</v>
      </c>
      <c r="K33" s="19">
        <v>31587.568951759989</v>
      </c>
      <c r="L33" s="19">
        <v>25378.500620530005</v>
      </c>
      <c r="M33" s="19">
        <v>251.24793746000006</v>
      </c>
      <c r="N33" s="19">
        <v>263.99886950000001</v>
      </c>
      <c r="O33" s="19">
        <v>1169.1241914</v>
      </c>
      <c r="P33" s="20" t="s">
        <v>21</v>
      </c>
      <c r="Q33" s="21">
        <f t="shared" si="0"/>
        <v>2445.2708303173977</v>
      </c>
      <c r="R33" s="23"/>
      <c r="AB33" s="22"/>
      <c r="AC33" s="22"/>
      <c r="AD33" s="22"/>
      <c r="AE33" s="22"/>
      <c r="AF33" s="22"/>
      <c r="AG33" s="22"/>
      <c r="AH33" s="22"/>
      <c r="AI33" s="22"/>
    </row>
    <row r="34" spans="2:35" x14ac:dyDescent="0.25">
      <c r="C34" s="18">
        <v>2023</v>
      </c>
      <c r="D34" s="19">
        <v>2755244.3167853276</v>
      </c>
      <c r="E34" s="19">
        <v>100985631.43873213</v>
      </c>
      <c r="F34" s="19">
        <v>1469127.1631768667</v>
      </c>
      <c r="G34" s="19">
        <v>3041393.6459926581</v>
      </c>
      <c r="H34" s="19">
        <v>273335.49825696991</v>
      </c>
      <c r="I34" s="19">
        <v>12986023.244491</v>
      </c>
      <c r="J34" s="19">
        <v>26230.046980000003</v>
      </c>
      <c r="K34" s="19">
        <v>33475.6190292315</v>
      </c>
      <c r="L34" s="19">
        <v>31161.763995300007</v>
      </c>
      <c r="M34" s="19">
        <v>303.74941249999995</v>
      </c>
      <c r="N34" s="19">
        <v>331.35815600000001</v>
      </c>
      <c r="O34" s="19">
        <v>1326.7171017999999</v>
      </c>
      <c r="P34" s="20">
        <v>22.705695600000002</v>
      </c>
      <c r="Q34" s="21">
        <f t="shared" si="0"/>
        <v>2755.2443167853276</v>
      </c>
      <c r="R34" s="23"/>
      <c r="AB34" s="22"/>
      <c r="AC34" s="22"/>
      <c r="AD34" s="22"/>
      <c r="AE34" s="22"/>
      <c r="AF34" s="22"/>
      <c r="AG34" s="22"/>
      <c r="AH34" s="22"/>
      <c r="AI34" s="22"/>
    </row>
    <row r="35" spans="2:35" x14ac:dyDescent="0.25">
      <c r="C35" s="15">
        <v>2024</v>
      </c>
      <c r="D35" s="249">
        <v>2736237.1072517242</v>
      </c>
      <c r="E35" s="249">
        <v>109624691.96159829</v>
      </c>
      <c r="F35" s="249">
        <v>1270646.954794979</v>
      </c>
      <c r="G35" s="249">
        <v>3512301.3933015401</v>
      </c>
      <c r="H35" s="249">
        <v>291319.62661629292</v>
      </c>
      <c r="I35" s="249">
        <v>13309265.480335999</v>
      </c>
      <c r="J35" s="249">
        <v>32317.234399999998</v>
      </c>
      <c r="K35" s="249">
        <v>41941.797900007798</v>
      </c>
      <c r="L35" s="249">
        <v>32027.784417279996</v>
      </c>
      <c r="M35" s="249">
        <v>265.34277630000003</v>
      </c>
      <c r="N35" s="249">
        <v>317.31784800000003</v>
      </c>
      <c r="O35" s="249">
        <v>24159.249493900003</v>
      </c>
      <c r="P35" s="251">
        <v>40.573911600000002</v>
      </c>
      <c r="Q35" s="21">
        <v>2736.2371072517244</v>
      </c>
      <c r="R35" s="23"/>
      <c r="AB35" s="22"/>
      <c r="AC35" s="22"/>
      <c r="AD35" s="22"/>
      <c r="AE35" s="22"/>
      <c r="AF35" s="22"/>
      <c r="AG35" s="22"/>
      <c r="AH35" s="22"/>
      <c r="AI35" s="22"/>
    </row>
    <row r="36" spans="2:35" ht="38.25" x14ac:dyDescent="0.25">
      <c r="C36" s="24" t="s">
        <v>145</v>
      </c>
      <c r="D36" s="25">
        <f>SUM(D37:D48)</f>
        <v>2769793.7213370204</v>
      </c>
      <c r="E36" s="25">
        <f t="shared" ref="E36:P36" si="1">SUM(E37:E48)</f>
        <v>108906740.08143118</v>
      </c>
      <c r="F36" s="25">
        <f t="shared" si="1"/>
        <v>1506412.8563966351</v>
      </c>
      <c r="G36" s="25">
        <f t="shared" si="1"/>
        <v>3762107.6960177491</v>
      </c>
      <c r="H36" s="25">
        <f t="shared" si="1"/>
        <v>312222.99845976051</v>
      </c>
      <c r="I36" s="25">
        <f t="shared" si="1"/>
        <v>11892474.643507</v>
      </c>
      <c r="J36" s="25">
        <f t="shared" si="1"/>
        <v>33816.185040000004</v>
      </c>
      <c r="K36" s="25">
        <f t="shared" si="1"/>
        <v>38009.426725496101</v>
      </c>
      <c r="L36" s="25">
        <f t="shared" si="1"/>
        <v>28040.647535969994</v>
      </c>
      <c r="M36" s="25">
        <f t="shared" si="1"/>
        <v>283.76478187999999</v>
      </c>
      <c r="N36" s="25">
        <f t="shared" si="1"/>
        <v>311.762111</v>
      </c>
      <c r="O36" s="25">
        <f t="shared" si="1"/>
        <v>37327.145479799998</v>
      </c>
      <c r="P36" s="25">
        <f t="shared" si="1"/>
        <v>35.532075999999996</v>
      </c>
      <c r="Q36" s="237">
        <f t="shared" si="0"/>
        <v>2769.7937213370205</v>
      </c>
      <c r="R36" s="23"/>
      <c r="AB36" s="22"/>
      <c r="AC36" s="22"/>
      <c r="AD36" s="22"/>
      <c r="AE36" s="22"/>
      <c r="AF36" s="22"/>
      <c r="AG36" s="22"/>
      <c r="AH36" s="22"/>
      <c r="AI36" s="22"/>
    </row>
    <row r="37" spans="2:35" x14ac:dyDescent="0.25">
      <c r="C37" s="26" t="s">
        <v>22</v>
      </c>
      <c r="D37" s="19">
        <v>219671.15839866945</v>
      </c>
      <c r="E37" s="19">
        <v>8491921.4536920041</v>
      </c>
      <c r="F37" s="19">
        <v>91855.694164931963</v>
      </c>
      <c r="G37" s="19">
        <v>273693.56498974899</v>
      </c>
      <c r="H37" s="19">
        <v>21568.800301891904</v>
      </c>
      <c r="I37" s="19">
        <v>1161378.8055939998</v>
      </c>
      <c r="J37" s="19">
        <v>2537.2527399999999</v>
      </c>
      <c r="K37" s="19">
        <v>3231.3934248973001</v>
      </c>
      <c r="L37" s="19">
        <v>2338.8900573999999</v>
      </c>
      <c r="M37" s="242">
        <v>20.011532799999998</v>
      </c>
      <c r="N37" s="242">
        <v>30.094110000000001</v>
      </c>
      <c r="O37" s="19">
        <v>2581.9835498000002</v>
      </c>
      <c r="P37" s="243">
        <v>2.2356600000000002</v>
      </c>
      <c r="Q37" s="27">
        <v>11138766.849174995</v>
      </c>
      <c r="T37" s="28"/>
      <c r="U37" s="28"/>
      <c r="V37" s="28"/>
      <c r="W37" s="28"/>
      <c r="X37" s="28"/>
      <c r="Y37" s="28"/>
      <c r="Z37" s="28"/>
      <c r="AA37" s="28"/>
      <c r="AB37" s="22"/>
      <c r="AC37" s="22"/>
      <c r="AD37" s="22"/>
      <c r="AE37" s="22"/>
      <c r="AF37" s="22"/>
      <c r="AG37" s="22"/>
      <c r="AH37" s="22"/>
      <c r="AI37" s="22"/>
    </row>
    <row r="38" spans="2:35" x14ac:dyDescent="0.25">
      <c r="C38" s="29" t="s">
        <v>23</v>
      </c>
      <c r="D38" s="19">
        <v>217002.48869369697</v>
      </c>
      <c r="E38" s="19">
        <v>8071657.8982516732</v>
      </c>
      <c r="F38" s="19">
        <v>109459.79120289112</v>
      </c>
      <c r="G38" s="19">
        <v>297567.20122953266</v>
      </c>
      <c r="H38" s="19">
        <v>23230.586675680905</v>
      </c>
      <c r="I38" s="19">
        <v>1122169.9234620002</v>
      </c>
      <c r="J38" s="19">
        <v>2597.7712999999999</v>
      </c>
      <c r="K38" s="19">
        <v>3448.2970789000001</v>
      </c>
      <c r="L38" s="19">
        <v>2295.3407548999994</v>
      </c>
      <c r="M38" s="242">
        <v>16.554153000000003</v>
      </c>
      <c r="N38" s="242">
        <v>26.565791999999998</v>
      </c>
      <c r="O38" s="19">
        <v>3577.7138660000001</v>
      </c>
      <c r="P38" s="243">
        <v>2.8617279999999998</v>
      </c>
      <c r="Q38" s="27"/>
      <c r="T38" s="28"/>
      <c r="U38" s="28"/>
      <c r="V38" s="28"/>
      <c r="W38" s="28"/>
      <c r="X38" s="28"/>
      <c r="Y38" s="28"/>
      <c r="Z38" s="28"/>
      <c r="AA38" s="28"/>
      <c r="AB38" s="22"/>
      <c r="AC38" s="22"/>
      <c r="AD38" s="22"/>
      <c r="AE38" s="22"/>
      <c r="AF38" s="22"/>
      <c r="AG38" s="22"/>
      <c r="AH38" s="22"/>
      <c r="AI38" s="22"/>
    </row>
    <row r="39" spans="2:35" x14ac:dyDescent="0.25">
      <c r="C39" s="29" t="s">
        <v>24</v>
      </c>
      <c r="D39" s="19">
        <v>229827.04957684444</v>
      </c>
      <c r="E39" s="19">
        <v>8878715.5501130968</v>
      </c>
      <c r="F39" s="19">
        <v>119229.05424405822</v>
      </c>
      <c r="G39" s="19">
        <v>288522.97324460326</v>
      </c>
      <c r="H39" s="19">
        <v>25091.882432795606</v>
      </c>
      <c r="I39" s="19">
        <v>1218023.8837799998</v>
      </c>
      <c r="J39" s="19">
        <v>2922.6831999999999</v>
      </c>
      <c r="K39" s="19">
        <v>4034.7399693068</v>
      </c>
      <c r="L39" s="19">
        <v>1854.5507202000001</v>
      </c>
      <c r="M39" s="242">
        <v>25.131314000000003</v>
      </c>
      <c r="N39" s="242">
        <v>28.990872000000003</v>
      </c>
      <c r="O39" s="19">
        <v>2962.1689506000002</v>
      </c>
      <c r="P39" s="243">
        <v>2.6791360000000002</v>
      </c>
      <c r="Q39" s="27"/>
      <c r="T39" s="28"/>
      <c r="U39" s="28"/>
      <c r="V39" s="28"/>
      <c r="W39" s="28"/>
      <c r="X39" s="28"/>
      <c r="Y39" s="28"/>
      <c r="Z39" s="28"/>
      <c r="AA39" s="28"/>
      <c r="AB39" s="22"/>
      <c r="AC39" s="22"/>
      <c r="AD39" s="22"/>
      <c r="AE39" s="22"/>
      <c r="AF39" s="22"/>
      <c r="AG39" s="22"/>
      <c r="AH39" s="22"/>
      <c r="AI39" s="22"/>
    </row>
    <row r="40" spans="2:35" x14ac:dyDescent="0.25">
      <c r="C40" s="30" t="s">
        <v>25</v>
      </c>
      <c r="D40" s="19">
        <v>220272.94308459305</v>
      </c>
      <c r="E40" s="19">
        <v>8951055.8166257273</v>
      </c>
      <c r="F40" s="19">
        <v>137534.53403235637</v>
      </c>
      <c r="G40" s="19">
        <v>316538.58724715566</v>
      </c>
      <c r="H40" s="19">
        <v>28510.146509205995</v>
      </c>
      <c r="I40" s="19">
        <v>1091388.6164500001</v>
      </c>
      <c r="J40" s="19">
        <v>2723.0601999999999</v>
      </c>
      <c r="K40" s="19">
        <v>3212.9077212199995</v>
      </c>
      <c r="L40" s="19">
        <v>2378.2725716999998</v>
      </c>
      <c r="M40" s="242">
        <v>22.589572999999998</v>
      </c>
      <c r="N40" s="242">
        <v>27.547941999999999</v>
      </c>
      <c r="O40" s="19">
        <v>1961.1031353999997</v>
      </c>
      <c r="P40" s="243">
        <v>2.5161519999999999</v>
      </c>
      <c r="Q40" s="27"/>
      <c r="T40" s="28"/>
      <c r="U40" s="28"/>
      <c r="V40" s="28"/>
      <c r="W40" s="28"/>
      <c r="X40" s="28"/>
      <c r="Y40" s="28"/>
      <c r="Z40" s="28"/>
      <c r="AA40" s="28"/>
      <c r="AB40" s="22"/>
      <c r="AC40" s="22"/>
      <c r="AD40" s="22"/>
      <c r="AE40" s="22"/>
      <c r="AF40" s="22"/>
      <c r="AG40" s="22"/>
      <c r="AH40" s="22"/>
      <c r="AI40" s="22"/>
    </row>
    <row r="41" spans="2:35" ht="13.5" customHeight="1" x14ac:dyDescent="0.25">
      <c r="C41" s="95" t="s">
        <v>124</v>
      </c>
      <c r="D41" s="19">
        <v>220911.28287911677</v>
      </c>
      <c r="E41" s="19">
        <v>8818120.4278776105</v>
      </c>
      <c r="F41" s="19">
        <v>120957.44109830898</v>
      </c>
      <c r="G41" s="19">
        <v>314249.0301286208</v>
      </c>
      <c r="H41" s="19">
        <v>26039.422963922007</v>
      </c>
      <c r="I41" s="19">
        <v>441193.98143799999</v>
      </c>
      <c r="J41" s="19">
        <v>2871.1295</v>
      </c>
      <c r="K41" s="19">
        <v>2855.7800881120002</v>
      </c>
      <c r="L41" s="19">
        <v>2487.8129531</v>
      </c>
      <c r="M41" s="242">
        <v>22.439415</v>
      </c>
      <c r="N41" s="242">
        <v>27.668381</v>
      </c>
      <c r="O41" s="19">
        <v>3840.2648920000001</v>
      </c>
      <c r="P41" s="243">
        <v>3.6912739999999999</v>
      </c>
      <c r="Q41" s="27"/>
      <c r="T41" s="28"/>
      <c r="U41" s="28"/>
      <c r="V41" s="28"/>
      <c r="W41" s="28"/>
      <c r="X41" s="28"/>
      <c r="Y41" s="28"/>
      <c r="Z41" s="28"/>
      <c r="AA41" s="28"/>
      <c r="AB41" s="22"/>
      <c r="AC41" s="22"/>
      <c r="AD41" s="22"/>
      <c r="AE41" s="22"/>
      <c r="AF41" s="22"/>
      <c r="AG41" s="22"/>
      <c r="AH41" s="22"/>
      <c r="AI41" s="22"/>
    </row>
    <row r="42" spans="2:35" ht="13.5" customHeight="1" x14ac:dyDescent="0.25">
      <c r="C42" s="30" t="s">
        <v>125</v>
      </c>
      <c r="D42" s="19">
        <v>228931.7258901911</v>
      </c>
      <c r="E42" s="19">
        <v>9028567.4716402646</v>
      </c>
      <c r="F42" s="19">
        <v>136087.19809166002</v>
      </c>
      <c r="G42" s="19">
        <v>310553.19050132699</v>
      </c>
      <c r="H42" s="19">
        <v>27426.236299163</v>
      </c>
      <c r="I42" s="19">
        <v>17858.91534</v>
      </c>
      <c r="J42" s="19">
        <v>2794.1680000000001</v>
      </c>
      <c r="K42" s="19">
        <v>2874.2517345399997</v>
      </c>
      <c r="L42" s="19">
        <v>2331.0077547000001</v>
      </c>
      <c r="M42" s="242">
        <v>20.607745000000001</v>
      </c>
      <c r="N42" s="242">
        <v>25.639190000000003</v>
      </c>
      <c r="O42" s="19">
        <v>2300.5616680000003</v>
      </c>
      <c r="P42" s="243">
        <v>3.5141680000000002</v>
      </c>
      <c r="Q42" s="27"/>
      <c r="T42" s="28"/>
      <c r="U42" s="28"/>
      <c r="V42" s="28"/>
      <c r="W42" s="28"/>
      <c r="X42" s="28"/>
      <c r="Y42" s="28"/>
      <c r="Z42" s="28"/>
      <c r="AA42" s="28"/>
      <c r="AB42" s="22"/>
      <c r="AC42" s="22"/>
      <c r="AD42" s="22"/>
      <c r="AE42" s="22"/>
      <c r="AF42" s="22"/>
      <c r="AG42" s="22"/>
      <c r="AH42" s="22"/>
      <c r="AI42" s="22"/>
    </row>
    <row r="43" spans="2:35" ht="13.5" customHeight="1" x14ac:dyDescent="0.25">
      <c r="C43" s="30" t="s">
        <v>127</v>
      </c>
      <c r="D43" s="19">
        <v>228180.18486820653</v>
      </c>
      <c r="E43" s="19">
        <v>9240018.4483134449</v>
      </c>
      <c r="F43" s="19">
        <v>131143.55451395558</v>
      </c>
      <c r="G43" s="19">
        <v>301405.95186508261</v>
      </c>
      <c r="H43" s="19">
        <v>26658.365266064819</v>
      </c>
      <c r="I43" s="19">
        <v>1040961.796982</v>
      </c>
      <c r="J43" s="19">
        <v>3033.0752000000002</v>
      </c>
      <c r="K43" s="19">
        <v>3136.8209697599991</v>
      </c>
      <c r="L43" s="19">
        <v>2570.5636897999998</v>
      </c>
      <c r="M43" s="242">
        <v>24.658781080000001</v>
      </c>
      <c r="N43" s="242">
        <v>27.761948999999998</v>
      </c>
      <c r="O43" s="19">
        <v>3634.8462650000001</v>
      </c>
      <c r="P43" s="243">
        <v>3.8380540000000001</v>
      </c>
      <c r="Q43" s="27"/>
      <c r="T43" s="28"/>
      <c r="U43" s="28"/>
      <c r="V43" s="28"/>
      <c r="W43" s="28"/>
      <c r="X43" s="28"/>
      <c r="Y43" s="28"/>
      <c r="Z43" s="28"/>
      <c r="AA43" s="28"/>
      <c r="AB43" s="22"/>
      <c r="AC43" s="22"/>
      <c r="AD43" s="22"/>
      <c r="AE43" s="22"/>
      <c r="AF43" s="22"/>
      <c r="AG43" s="22"/>
      <c r="AH43" s="22"/>
      <c r="AI43" s="22"/>
    </row>
    <row r="44" spans="2:35" ht="13.5" customHeight="1" x14ac:dyDescent="0.25">
      <c r="C44" s="30" t="s">
        <v>128</v>
      </c>
      <c r="D44" s="19">
        <v>242739.66001355689</v>
      </c>
      <c r="E44" s="19">
        <v>9826933.7753187865</v>
      </c>
      <c r="F44" s="19">
        <v>146692.12300226261</v>
      </c>
      <c r="G44" s="19">
        <v>348691.61350582563</v>
      </c>
      <c r="H44" s="19">
        <v>27044.400187529594</v>
      </c>
      <c r="I44" s="19">
        <v>1148061.4364120001</v>
      </c>
      <c r="J44" s="19">
        <v>2934.8496</v>
      </c>
      <c r="K44" s="19">
        <v>2874.9100077799999</v>
      </c>
      <c r="L44" s="19">
        <v>2570.0481631999996</v>
      </c>
      <c r="M44" s="242">
        <v>28.906147000000001</v>
      </c>
      <c r="N44" s="242">
        <v>24.351747</v>
      </c>
      <c r="O44" s="19">
        <v>3892.888876</v>
      </c>
      <c r="P44" s="243">
        <v>2.8652799999999998</v>
      </c>
      <c r="Q44" s="27"/>
      <c r="T44" s="28"/>
      <c r="U44" s="28"/>
      <c r="V44" s="28"/>
      <c r="W44" s="28"/>
      <c r="X44" s="28"/>
      <c r="Y44" s="28"/>
      <c r="Z44" s="28"/>
      <c r="AA44" s="28"/>
      <c r="AB44" s="22"/>
      <c r="AC44" s="22"/>
      <c r="AD44" s="22"/>
      <c r="AE44" s="22"/>
      <c r="AF44" s="22"/>
      <c r="AG44" s="22"/>
      <c r="AH44" s="22"/>
      <c r="AI44" s="22"/>
    </row>
    <row r="45" spans="2:35" ht="13.5" customHeight="1" x14ac:dyDescent="0.25">
      <c r="C45" s="29" t="s">
        <v>129</v>
      </c>
      <c r="D45" s="19">
        <v>240995.04587404698</v>
      </c>
      <c r="E45" s="19">
        <v>9339280.84938691</v>
      </c>
      <c r="F45" s="19">
        <v>128019.02365333909</v>
      </c>
      <c r="G45" s="19">
        <v>328803.16682874417</v>
      </c>
      <c r="H45" s="19">
        <v>27845.864127002715</v>
      </c>
      <c r="I45" s="19">
        <v>1123268.1765320001</v>
      </c>
      <c r="J45" s="19">
        <v>3008.8197999999998</v>
      </c>
      <c r="K45" s="19">
        <v>2971.9247022499994</v>
      </c>
      <c r="L45" s="19">
        <v>1481.8825199999999</v>
      </c>
      <c r="M45" s="242">
        <v>23.366099999999996</v>
      </c>
      <c r="N45" s="242">
        <v>20.976871000000003</v>
      </c>
      <c r="O45" s="19">
        <v>3350.4782869999999</v>
      </c>
      <c r="P45" s="243">
        <v>2.8038280000000002</v>
      </c>
      <c r="Q45" s="27"/>
      <c r="T45" s="28"/>
      <c r="U45" s="28"/>
      <c r="V45" s="28"/>
      <c r="W45" s="28"/>
      <c r="X45" s="28"/>
      <c r="Y45" s="28"/>
      <c r="Z45" s="28"/>
      <c r="AA45" s="28"/>
      <c r="AB45" s="22"/>
      <c r="AC45" s="22"/>
      <c r="AD45" s="22"/>
      <c r="AE45" s="22"/>
      <c r="AF45" s="22"/>
      <c r="AG45" s="22"/>
      <c r="AH45" s="22"/>
      <c r="AI45" s="22"/>
    </row>
    <row r="46" spans="2:35" ht="13.5" customHeight="1" x14ac:dyDescent="0.25">
      <c r="C46" s="29" t="s">
        <v>130</v>
      </c>
      <c r="D46" s="19">
        <v>248220.24922013312</v>
      </c>
      <c r="E46" s="19">
        <v>10107953.604475031</v>
      </c>
      <c r="F46" s="19">
        <v>134033.05870116004</v>
      </c>
      <c r="G46" s="19">
        <v>347480.67805704143</v>
      </c>
      <c r="H46" s="19">
        <v>26958.06405658901</v>
      </c>
      <c r="I46" s="19">
        <v>1162917.4198079999</v>
      </c>
      <c r="J46" s="19">
        <v>3076.0790999999999</v>
      </c>
      <c r="K46" s="19">
        <v>3380.8528640200007</v>
      </c>
      <c r="L46" s="19">
        <v>2505.5542983700002</v>
      </c>
      <c r="M46" s="242">
        <v>25.781646999999996</v>
      </c>
      <c r="N46" s="242">
        <v>25.450904999999999</v>
      </c>
      <c r="O46" s="19">
        <v>3352.4926890000002</v>
      </c>
      <c r="P46" s="244">
        <v>2.758362</v>
      </c>
      <c r="Q46" s="27"/>
      <c r="T46" s="28"/>
      <c r="U46" s="28"/>
      <c r="V46" s="28"/>
      <c r="W46" s="28"/>
      <c r="X46" s="28"/>
      <c r="Y46" s="28"/>
      <c r="Z46" s="28"/>
      <c r="AA46" s="28"/>
      <c r="AB46" s="22"/>
      <c r="AC46" s="22"/>
      <c r="AD46" s="22"/>
      <c r="AE46" s="22"/>
      <c r="AF46" s="22"/>
      <c r="AG46" s="22"/>
      <c r="AH46" s="22"/>
      <c r="AI46" s="22"/>
    </row>
    <row r="47" spans="2:35" ht="13.5" customHeight="1" x14ac:dyDescent="0.25">
      <c r="B47" s="215"/>
      <c r="C47" s="29" t="s">
        <v>131</v>
      </c>
      <c r="D47" s="19">
        <v>216395.10578872394</v>
      </c>
      <c r="E47" s="19">
        <v>9243374.2853866462</v>
      </c>
      <c r="F47" s="19">
        <v>120867.22361042105</v>
      </c>
      <c r="G47" s="19">
        <v>297487.51302037929</v>
      </c>
      <c r="H47" s="19">
        <v>25860.776132325991</v>
      </c>
      <c r="I47" s="19">
        <v>1150038.4875200002</v>
      </c>
      <c r="J47" s="19">
        <v>2358.6851999999999</v>
      </c>
      <c r="K47" s="19">
        <v>2772.5384823900004</v>
      </c>
      <c r="L47" s="19">
        <v>2254.1758209</v>
      </c>
      <c r="M47" s="242">
        <v>27.510525999999999</v>
      </c>
      <c r="N47" s="242">
        <v>23.065466999999998</v>
      </c>
      <c r="O47" s="19">
        <v>3598.0783139999994</v>
      </c>
      <c r="P47" s="244">
        <v>2.7624939999999998</v>
      </c>
      <c r="Q47" s="204"/>
      <c r="T47" s="28"/>
      <c r="U47" s="28"/>
      <c r="V47" s="28"/>
      <c r="W47" s="28"/>
      <c r="X47" s="28"/>
      <c r="Y47" s="28"/>
      <c r="Z47" s="28"/>
      <c r="AA47" s="28"/>
      <c r="AB47" s="22"/>
      <c r="AC47" s="22"/>
      <c r="AD47" s="22"/>
      <c r="AE47" s="22"/>
      <c r="AF47" s="22"/>
      <c r="AG47" s="22"/>
      <c r="AH47" s="22"/>
      <c r="AI47" s="22"/>
    </row>
    <row r="48" spans="2:35" ht="13.5" customHeight="1" thickBot="1" x14ac:dyDescent="0.3">
      <c r="C48" s="192" t="s">
        <v>146</v>
      </c>
      <c r="D48" s="245">
        <v>256646.82704924102</v>
      </c>
      <c r="E48" s="245">
        <v>8909140.5003499705</v>
      </c>
      <c r="F48" s="245">
        <v>130534.16008129</v>
      </c>
      <c r="G48" s="245">
        <v>337114.22539968783</v>
      </c>
      <c r="H48" s="245">
        <v>25988.453507588998</v>
      </c>
      <c r="I48" s="245">
        <v>1215213.200189</v>
      </c>
      <c r="J48" s="245">
        <v>2958.6111999999998</v>
      </c>
      <c r="K48" s="245">
        <v>3215.0096823199997</v>
      </c>
      <c r="L48" s="245">
        <v>2972.5482317000001</v>
      </c>
      <c r="M48" s="246">
        <v>26.207847999999998</v>
      </c>
      <c r="N48" s="246">
        <v>23.648885</v>
      </c>
      <c r="O48" s="245">
        <v>2274.5649870000007</v>
      </c>
      <c r="P48" s="253">
        <v>3.0059399999999998</v>
      </c>
      <c r="Q48" s="27"/>
      <c r="T48" s="28"/>
      <c r="U48" s="28"/>
      <c r="V48" s="28"/>
      <c r="W48" s="28"/>
      <c r="X48" s="28"/>
      <c r="Y48" s="28"/>
      <c r="Z48" s="28"/>
      <c r="AA48" s="28"/>
      <c r="AB48" s="22"/>
      <c r="AC48" s="22"/>
      <c r="AD48" s="22"/>
      <c r="AE48" s="22"/>
      <c r="AF48" s="22"/>
      <c r="AG48" s="22"/>
      <c r="AH48" s="22"/>
      <c r="AI48" s="22"/>
    </row>
    <row r="49" spans="3:35" x14ac:dyDescent="0.25">
      <c r="C49" s="191" t="s">
        <v>144</v>
      </c>
      <c r="D49" s="200"/>
      <c r="E49" s="200"/>
      <c r="F49" s="201"/>
      <c r="G49" s="200"/>
      <c r="H49" s="200"/>
      <c r="I49" s="200"/>
      <c r="J49" s="200"/>
      <c r="K49" s="200"/>
      <c r="L49" s="200"/>
      <c r="M49" s="200"/>
      <c r="N49" s="200"/>
      <c r="O49" s="200"/>
      <c r="P49" s="202"/>
      <c r="R49" s="23"/>
      <c r="S49" s="38"/>
    </row>
    <row r="50" spans="3:35" ht="24" x14ac:dyDescent="0.25">
      <c r="C50" s="39" t="s">
        <v>154</v>
      </c>
      <c r="D50" s="247">
        <v>262479.6684325909</v>
      </c>
      <c r="E50" s="247">
        <v>10027815.784007827</v>
      </c>
      <c r="F50" s="247">
        <v>111391.21880736301</v>
      </c>
      <c r="G50" s="247">
        <v>346427.52439517068</v>
      </c>
      <c r="H50" s="247">
        <v>25616.09644076999</v>
      </c>
      <c r="I50" s="247">
        <v>1065597.1664139999</v>
      </c>
      <c r="J50" s="247">
        <v>2423.1167999999998</v>
      </c>
      <c r="K50" s="247">
        <v>3974.3798816428002</v>
      </c>
      <c r="L50" s="247">
        <v>3148.8168875000001</v>
      </c>
      <c r="M50" s="247">
        <v>22.705434200000003</v>
      </c>
      <c r="N50" s="247">
        <v>28.019353000000002</v>
      </c>
      <c r="O50" s="247">
        <v>5339.3882457999998</v>
      </c>
      <c r="P50" s="248">
        <v>2.2173579999999999</v>
      </c>
      <c r="R50" s="23"/>
      <c r="S50" s="38"/>
    </row>
    <row r="51" spans="3:35" ht="24" x14ac:dyDescent="0.25">
      <c r="C51" s="39" t="s">
        <v>149</v>
      </c>
      <c r="D51" s="249">
        <v>256646.82704924102</v>
      </c>
      <c r="E51" s="249">
        <v>8909140.5003499705</v>
      </c>
      <c r="F51" s="249">
        <v>130534.16008129</v>
      </c>
      <c r="G51" s="249">
        <v>337114.22539968783</v>
      </c>
      <c r="H51" s="249">
        <v>25988.453507588998</v>
      </c>
      <c r="I51" s="249">
        <v>1215213.200189</v>
      </c>
      <c r="J51" s="249">
        <v>2958.6111999999998</v>
      </c>
      <c r="K51" s="249">
        <v>3215.0096823199997</v>
      </c>
      <c r="L51" s="240">
        <v>2972.5482317000001</v>
      </c>
      <c r="M51" s="240">
        <v>26.207847999999998</v>
      </c>
      <c r="N51" s="240">
        <v>23.648885</v>
      </c>
      <c r="O51" s="240">
        <v>2274.5649870000007</v>
      </c>
      <c r="P51" s="250">
        <v>3.0059399999999998</v>
      </c>
      <c r="Q51" s="40"/>
      <c r="R51" s="23"/>
      <c r="S51" s="22"/>
      <c r="T51" s="22"/>
      <c r="U51" s="22"/>
      <c r="V51" s="22"/>
      <c r="W51" s="22"/>
      <c r="X51" s="22"/>
      <c r="Y51" s="22"/>
      <c r="Z51" s="22"/>
    </row>
    <row r="52" spans="3:35" x14ac:dyDescent="0.25">
      <c r="C52" s="41" t="s">
        <v>26</v>
      </c>
      <c r="D52" s="42">
        <f t="shared" ref="D52:P52" si="2">+D51/D50-1</f>
        <v>-2.2222069306095049E-2</v>
      </c>
      <c r="E52" s="42">
        <f>+E51/E50-1</f>
        <v>-0.1115572232032721</v>
      </c>
      <c r="F52" s="43">
        <f>+F51/F50-1</f>
        <v>0.17185323474224923</v>
      </c>
      <c r="G52" s="43">
        <f>+G51/G50-1</f>
        <v>-2.6883830930417463E-2</v>
      </c>
      <c r="H52" s="43">
        <f t="shared" si="2"/>
        <v>1.453605812579517E-2</v>
      </c>
      <c r="I52" s="42">
        <f t="shared" si="2"/>
        <v>0.14040581046071599</v>
      </c>
      <c r="J52" s="42">
        <f t="shared" si="2"/>
        <v>0.22099405195820521</v>
      </c>
      <c r="K52" s="42">
        <f t="shared" si="2"/>
        <v>-0.19106633536221418</v>
      </c>
      <c r="L52" s="42">
        <f t="shared" si="2"/>
        <v>-5.597932877575118E-2</v>
      </c>
      <c r="M52" s="42">
        <f t="shared" si="2"/>
        <v>0.1542544295409245</v>
      </c>
      <c r="N52" s="42">
        <f t="shared" si="2"/>
        <v>-0.15598033259368982</v>
      </c>
      <c r="O52" s="42">
        <f t="shared" si="2"/>
        <v>-0.57400269800773729</v>
      </c>
      <c r="P52" s="44">
        <f t="shared" si="2"/>
        <v>0.35564036118660125</v>
      </c>
      <c r="R52" s="23"/>
      <c r="S52" s="22"/>
      <c r="T52" s="22"/>
      <c r="U52" s="22"/>
      <c r="V52" s="22"/>
      <c r="W52" s="22"/>
      <c r="X52" s="22"/>
      <c r="Y52" s="22"/>
      <c r="Z52" s="22"/>
    </row>
    <row r="53" spans="3:35" x14ac:dyDescent="0.25">
      <c r="C53" s="33"/>
      <c r="D53" s="31"/>
      <c r="E53" s="31"/>
      <c r="F53" s="31"/>
      <c r="G53" s="31"/>
      <c r="H53" s="31"/>
      <c r="I53" s="31"/>
      <c r="J53" s="31"/>
      <c r="K53" s="31"/>
      <c r="L53" s="31"/>
      <c r="M53" s="31"/>
      <c r="N53" s="31"/>
      <c r="O53" s="31"/>
      <c r="P53" s="32"/>
      <c r="Q53" s="27"/>
      <c r="T53" s="28"/>
      <c r="U53" s="28"/>
      <c r="V53" s="28"/>
      <c r="W53" s="28"/>
      <c r="X53" s="28"/>
      <c r="Y53" s="28"/>
      <c r="Z53" s="28"/>
      <c r="AA53" s="28"/>
      <c r="AB53" s="22"/>
      <c r="AC53" s="22"/>
      <c r="AD53" s="22"/>
      <c r="AE53" s="22"/>
      <c r="AF53" s="22"/>
      <c r="AG53" s="22"/>
      <c r="AH53" s="22"/>
      <c r="AI53" s="22"/>
    </row>
    <row r="54" spans="3:35" x14ac:dyDescent="0.25">
      <c r="C54" s="34" t="s">
        <v>143</v>
      </c>
      <c r="D54" s="35"/>
      <c r="E54" s="35"/>
      <c r="F54" s="36"/>
      <c r="G54" s="35"/>
      <c r="H54" s="35"/>
      <c r="I54" s="35"/>
      <c r="J54" s="35"/>
      <c r="K54" s="35"/>
      <c r="L54" s="35"/>
      <c r="M54" s="35"/>
      <c r="N54" s="35"/>
      <c r="O54" s="35"/>
      <c r="P54" s="37"/>
      <c r="R54" s="23"/>
      <c r="S54" s="22"/>
      <c r="T54" s="22"/>
      <c r="U54" s="22"/>
      <c r="V54" s="22"/>
      <c r="W54" s="22"/>
      <c r="X54" s="22"/>
      <c r="Y54" s="22"/>
      <c r="Z54" s="22"/>
    </row>
    <row r="55" spans="3:35" ht="24" x14ac:dyDescent="0.25">
      <c r="C55" s="45" t="s">
        <v>147</v>
      </c>
      <c r="D55" s="247">
        <v>2736237.1072517242</v>
      </c>
      <c r="E55" s="247">
        <v>109624691.96159829</v>
      </c>
      <c r="F55" s="247">
        <v>1270646.954794979</v>
      </c>
      <c r="G55" s="247">
        <v>3512301.3933015401</v>
      </c>
      <c r="H55" s="247">
        <v>291319.62661629292</v>
      </c>
      <c r="I55" s="247">
        <v>13309265.480335999</v>
      </c>
      <c r="J55" s="247">
        <v>32317.234399999998</v>
      </c>
      <c r="K55" s="247">
        <v>41941.797900007798</v>
      </c>
      <c r="L55" s="247">
        <v>32027.784417279996</v>
      </c>
      <c r="M55" s="247">
        <v>265.34277630000003</v>
      </c>
      <c r="N55" s="247">
        <v>317.31784800000003</v>
      </c>
      <c r="O55" s="247">
        <v>24159.249493900003</v>
      </c>
      <c r="P55" s="252">
        <v>40.573911600000002</v>
      </c>
      <c r="R55" s="23"/>
      <c r="S55" s="22"/>
      <c r="T55" s="22"/>
      <c r="U55" s="22"/>
      <c r="V55" s="22"/>
      <c r="W55" s="22"/>
      <c r="X55" s="22"/>
      <c r="Y55" s="22"/>
      <c r="Z55" s="22"/>
    </row>
    <row r="56" spans="3:35" ht="24" x14ac:dyDescent="0.25">
      <c r="C56" s="45" t="s">
        <v>148</v>
      </c>
      <c r="D56" s="247">
        <v>2769793.7213370204</v>
      </c>
      <c r="E56" s="247">
        <v>108906740.08143118</v>
      </c>
      <c r="F56" s="247">
        <v>1506412.8563966351</v>
      </c>
      <c r="G56" s="247">
        <v>3762107.6960177491</v>
      </c>
      <c r="H56" s="247">
        <v>312222.99845976051</v>
      </c>
      <c r="I56" s="247">
        <v>11892474.643507</v>
      </c>
      <c r="J56" s="247">
        <v>33816.185040000004</v>
      </c>
      <c r="K56" s="247">
        <v>38009.426725496101</v>
      </c>
      <c r="L56" s="247">
        <v>28040.647535969994</v>
      </c>
      <c r="M56" s="247">
        <v>283.76478187999999</v>
      </c>
      <c r="N56" s="247">
        <v>311.762111</v>
      </c>
      <c r="O56" s="247">
        <v>37327.145479799998</v>
      </c>
      <c r="P56" s="252">
        <v>35.532075999999996</v>
      </c>
      <c r="R56" s="23"/>
      <c r="S56" s="22"/>
      <c r="T56" s="22"/>
      <c r="U56" s="22"/>
      <c r="V56" s="22"/>
      <c r="W56" s="22"/>
      <c r="X56" s="22"/>
      <c r="Y56" s="22"/>
      <c r="Z56" s="22"/>
    </row>
    <row r="57" spans="3:35" x14ac:dyDescent="0.25">
      <c r="C57" s="46" t="s">
        <v>26</v>
      </c>
      <c r="D57" s="47">
        <f t="shared" ref="D57:P57" si="3">+D56/D55-1</f>
        <v>1.226378152549823E-2</v>
      </c>
      <c r="E57" s="48">
        <f t="shared" si="3"/>
        <v>-6.5491803654837977E-3</v>
      </c>
      <c r="F57" s="47">
        <f t="shared" si="3"/>
        <v>0.18554792164098588</v>
      </c>
      <c r="G57" s="47">
        <f t="shared" si="3"/>
        <v>7.1123253600225089E-2</v>
      </c>
      <c r="H57" s="47">
        <f t="shared" si="3"/>
        <v>7.1754080170506773E-2</v>
      </c>
      <c r="I57" s="48">
        <f t="shared" si="3"/>
        <v>-0.10645146713184594</v>
      </c>
      <c r="J57" s="48">
        <f t="shared" si="3"/>
        <v>4.6382392176479215E-2</v>
      </c>
      <c r="K57" s="48">
        <f t="shared" si="3"/>
        <v>-9.3757811333857077E-2</v>
      </c>
      <c r="L57" s="48">
        <f t="shared" si="3"/>
        <v>-0.12448993752932891</v>
      </c>
      <c r="M57" s="48">
        <f>+M56/M55-1</f>
        <v>6.9427198421907699E-2</v>
      </c>
      <c r="N57" s="48">
        <f>+N56/N55-1</f>
        <v>-1.7508428961739431E-2</v>
      </c>
      <c r="O57" s="47">
        <f>+O56/O55-1</f>
        <v>0.54504573866107764</v>
      </c>
      <c r="P57" s="49">
        <f t="shared" si="3"/>
        <v>-0.12426299070459856</v>
      </c>
      <c r="R57" s="23"/>
      <c r="S57" s="22"/>
      <c r="T57" s="22"/>
      <c r="U57" s="22"/>
      <c r="V57" s="22"/>
      <c r="W57" s="22"/>
      <c r="X57" s="22"/>
      <c r="Y57" s="22"/>
      <c r="Z57" s="22"/>
    </row>
    <row r="58" spans="3:35" x14ac:dyDescent="0.25">
      <c r="C58" s="33"/>
      <c r="D58" s="31"/>
      <c r="E58" s="31"/>
      <c r="F58" s="31"/>
      <c r="G58" s="31"/>
      <c r="H58" s="31"/>
      <c r="I58" s="31"/>
      <c r="J58" s="31"/>
      <c r="K58" s="31"/>
      <c r="L58" s="31"/>
      <c r="M58" s="31"/>
      <c r="N58" s="31"/>
      <c r="O58" s="31"/>
      <c r="P58" s="32"/>
      <c r="Q58" s="27"/>
      <c r="T58" s="28"/>
      <c r="U58" s="28"/>
      <c r="V58" s="28"/>
      <c r="W58" s="28"/>
      <c r="X58" s="28"/>
      <c r="Y58" s="28"/>
      <c r="Z58" s="28"/>
      <c r="AA58" s="28"/>
      <c r="AB58" s="22"/>
      <c r="AC58" s="22"/>
      <c r="AD58" s="22"/>
      <c r="AE58" s="22"/>
      <c r="AF58" s="22"/>
      <c r="AG58" s="22"/>
      <c r="AH58" s="22"/>
      <c r="AI58" s="22"/>
    </row>
    <row r="59" spans="3:35" x14ac:dyDescent="0.25">
      <c r="C59" s="34" t="s">
        <v>27</v>
      </c>
      <c r="D59" s="35"/>
      <c r="E59" s="35"/>
      <c r="F59" s="36"/>
      <c r="G59" s="35"/>
      <c r="H59" s="35"/>
      <c r="I59" s="35"/>
      <c r="J59" s="35"/>
      <c r="K59" s="35"/>
      <c r="L59" s="35"/>
      <c r="M59" s="35"/>
      <c r="N59" s="35"/>
      <c r="O59" s="35"/>
      <c r="P59" s="37"/>
      <c r="Q59" s="27"/>
      <c r="T59" s="28"/>
      <c r="U59" s="28"/>
      <c r="V59" s="28"/>
      <c r="W59" s="28"/>
      <c r="X59" s="28"/>
      <c r="Y59" s="28"/>
      <c r="Z59" s="28"/>
      <c r="AA59" s="28"/>
      <c r="AB59" s="22"/>
      <c r="AC59" s="22"/>
      <c r="AD59" s="22"/>
      <c r="AE59" s="22"/>
      <c r="AF59" s="22"/>
      <c r="AG59" s="22"/>
      <c r="AH59" s="22"/>
      <c r="AI59" s="22"/>
    </row>
    <row r="60" spans="3:35" ht="24" x14ac:dyDescent="0.25">
      <c r="C60" s="50" t="s">
        <v>132</v>
      </c>
      <c r="D60" s="238">
        <v>216395.10578872394</v>
      </c>
      <c r="E60" s="238">
        <v>9243374.2853866462</v>
      </c>
      <c r="F60" s="238">
        <v>120867.22361042105</v>
      </c>
      <c r="G60" s="238">
        <v>297487.51302037929</v>
      </c>
      <c r="H60" s="238">
        <v>25860.776132325991</v>
      </c>
      <c r="I60" s="238">
        <v>1150038.4875200002</v>
      </c>
      <c r="J60" s="238">
        <v>2358.6851999999999</v>
      </c>
      <c r="K60" s="238">
        <v>2772.5384823900004</v>
      </c>
      <c r="L60" s="238">
        <v>2254.1758209</v>
      </c>
      <c r="M60" s="238">
        <v>27.510525999999999</v>
      </c>
      <c r="N60" s="238">
        <v>23.065466999999998</v>
      </c>
      <c r="O60" s="238">
        <v>3598.0783139999994</v>
      </c>
      <c r="P60" s="239">
        <v>2.7624939999999998</v>
      </c>
      <c r="Q60" s="27"/>
      <c r="T60" s="28"/>
      <c r="U60" s="28"/>
      <c r="V60" s="28"/>
      <c r="W60" s="28"/>
      <c r="X60" s="28"/>
      <c r="Y60" s="28"/>
      <c r="Z60" s="28"/>
      <c r="AA60" s="28"/>
      <c r="AB60" s="22"/>
      <c r="AC60" s="22"/>
      <c r="AD60" s="22"/>
      <c r="AE60" s="22"/>
      <c r="AF60" s="22"/>
      <c r="AG60" s="22"/>
      <c r="AH60" s="22"/>
      <c r="AI60" s="22"/>
    </row>
    <row r="61" spans="3:35" ht="24" x14ac:dyDescent="0.25">
      <c r="C61" s="52" t="s">
        <v>149</v>
      </c>
      <c r="D61" s="240">
        <v>256646.82704924102</v>
      </c>
      <c r="E61" s="240">
        <v>8909140.5003499705</v>
      </c>
      <c r="F61" s="240">
        <v>130534.16008129</v>
      </c>
      <c r="G61" s="240">
        <v>337114.22539968783</v>
      </c>
      <c r="H61" s="240">
        <v>25988.453507588998</v>
      </c>
      <c r="I61" s="240">
        <v>1215213.200189</v>
      </c>
      <c r="J61" s="240">
        <v>2958.6111999999998</v>
      </c>
      <c r="K61" s="240">
        <v>3215.0096823199997</v>
      </c>
      <c r="L61" s="240">
        <v>2972.5482317000001</v>
      </c>
      <c r="M61" s="240">
        <v>26.207847999999998</v>
      </c>
      <c r="N61" s="240">
        <v>23.648885</v>
      </c>
      <c r="O61" s="240">
        <v>2274.5649870000007</v>
      </c>
      <c r="P61" s="241">
        <v>3.0059399999999998</v>
      </c>
      <c r="Q61" s="27"/>
      <c r="T61" s="28"/>
      <c r="U61" s="28"/>
      <c r="V61" s="28"/>
      <c r="W61" s="28"/>
      <c r="X61" s="28"/>
      <c r="Y61" s="28"/>
      <c r="Z61" s="28"/>
      <c r="AA61" s="28"/>
      <c r="AB61" s="22"/>
      <c r="AC61" s="22"/>
      <c r="AD61" s="22"/>
      <c r="AE61" s="22"/>
      <c r="AF61" s="22"/>
      <c r="AG61" s="22"/>
      <c r="AH61" s="22"/>
      <c r="AI61" s="22"/>
    </row>
    <row r="62" spans="3:35" x14ac:dyDescent="0.25">
      <c r="C62" s="53" t="s">
        <v>26</v>
      </c>
      <c r="D62" s="48">
        <f t="shared" ref="D62:M62" si="4">+D61/D60-1</f>
        <v>0.18601031254291223</v>
      </c>
      <c r="E62" s="48">
        <f t="shared" si="4"/>
        <v>-3.6159282824355987E-2</v>
      </c>
      <c r="F62" s="48">
        <f t="shared" si="4"/>
        <v>7.9979800826958769E-2</v>
      </c>
      <c r="G62" s="48">
        <f t="shared" si="4"/>
        <v>0.13320462421087886</v>
      </c>
      <c r="H62" s="48">
        <f t="shared" si="4"/>
        <v>4.9371053138429488E-3</v>
      </c>
      <c r="I62" s="48">
        <f t="shared" si="4"/>
        <v>5.6671766533262558E-2</v>
      </c>
      <c r="J62" s="48">
        <f t="shared" si="4"/>
        <v>0.2543476340123727</v>
      </c>
      <c r="K62" s="48">
        <f t="shared" si="4"/>
        <v>0.15959064328246142</v>
      </c>
      <c r="L62" s="48">
        <f t="shared" si="4"/>
        <v>0.31868517270901409</v>
      </c>
      <c r="M62" s="48">
        <f t="shared" si="4"/>
        <v>-4.7351984473143149E-2</v>
      </c>
      <c r="N62" s="48">
        <f>+N61/N60-1</f>
        <v>2.5294003368759199E-2</v>
      </c>
      <c r="O62" s="48">
        <f>+O61/O60-1</f>
        <v>-0.36783894387463822</v>
      </c>
      <c r="P62" s="49">
        <f>+P61/P60-1</f>
        <v>8.8125440272449396E-2</v>
      </c>
      <c r="Q62" s="27"/>
      <c r="T62" s="28"/>
      <c r="U62" s="28"/>
      <c r="V62" s="28"/>
      <c r="W62" s="28"/>
      <c r="X62" s="28"/>
      <c r="Y62" s="28"/>
      <c r="Z62" s="28"/>
      <c r="AA62" s="28"/>
      <c r="AB62" s="22"/>
      <c r="AC62" s="22"/>
      <c r="AD62" s="22"/>
      <c r="AE62" s="22"/>
      <c r="AF62" s="22"/>
      <c r="AG62" s="22"/>
      <c r="AH62" s="22"/>
      <c r="AI62" s="22"/>
    </row>
    <row r="63" spans="3:35" x14ac:dyDescent="0.25">
      <c r="C63" s="54"/>
      <c r="D63" s="55"/>
      <c r="E63" s="56"/>
      <c r="F63" s="55"/>
      <c r="G63" s="55"/>
      <c r="H63" s="55"/>
      <c r="I63" s="55"/>
      <c r="J63" s="55"/>
      <c r="K63" s="55"/>
      <c r="L63" s="55"/>
      <c r="M63" s="55"/>
      <c r="N63" s="55"/>
      <c r="O63" s="55"/>
      <c r="P63" s="57"/>
      <c r="R63" s="23"/>
      <c r="S63" s="22"/>
      <c r="T63" s="22"/>
      <c r="U63" s="22"/>
      <c r="V63" s="22"/>
      <c r="W63" s="22"/>
      <c r="X63" s="22"/>
      <c r="Y63" s="22"/>
      <c r="Z63" s="22"/>
    </row>
    <row r="64" spans="3:35" s="59" customFormat="1" ht="87.6" customHeight="1" x14ac:dyDescent="0.25">
      <c r="C64" s="269" t="s">
        <v>133</v>
      </c>
      <c r="D64" s="270"/>
      <c r="E64" s="270"/>
      <c r="F64" s="270"/>
      <c r="G64" s="270"/>
      <c r="H64" s="270"/>
      <c r="I64" s="270"/>
      <c r="J64" s="270"/>
      <c r="K64" s="270"/>
      <c r="L64" s="270"/>
      <c r="M64" s="270"/>
      <c r="N64" s="270"/>
      <c r="O64" s="270"/>
      <c r="P64" s="271"/>
      <c r="Q64" s="58"/>
    </row>
    <row r="65" spans="3:36" s="59" customFormat="1" ht="10.15" customHeight="1" x14ac:dyDescent="0.25">
      <c r="C65" s="272"/>
      <c r="D65" s="273"/>
      <c r="E65" s="273"/>
      <c r="F65" s="273"/>
      <c r="G65" s="273"/>
      <c r="H65" s="273"/>
      <c r="I65" s="273"/>
      <c r="J65" s="273"/>
      <c r="K65" s="273"/>
      <c r="L65" s="273"/>
      <c r="M65" s="273"/>
      <c r="N65" s="273"/>
      <c r="O65" s="273"/>
      <c r="P65" s="274"/>
      <c r="Q65" s="58"/>
    </row>
    <row r="66" spans="3:36" s="59" customFormat="1" ht="15" x14ac:dyDescent="0.25">
      <c r="Q66" s="58"/>
    </row>
    <row r="67" spans="3:36" ht="36.6" customHeight="1" x14ac:dyDescent="0.25">
      <c r="C67" s="275" t="s">
        <v>28</v>
      </c>
      <c r="D67" s="275"/>
      <c r="E67" s="275"/>
      <c r="F67" s="275"/>
      <c r="G67" s="275"/>
      <c r="H67" s="275"/>
      <c r="I67" s="275"/>
      <c r="J67" s="275"/>
      <c r="K67" s="275"/>
      <c r="L67" s="275"/>
      <c r="M67" s="275"/>
      <c r="N67" s="275"/>
      <c r="O67" s="275"/>
      <c r="P67" s="275"/>
    </row>
    <row r="68" spans="3:36" ht="36.75" customHeight="1" x14ac:dyDescent="0.25"/>
    <row r="69" spans="3:36" ht="36.75" customHeight="1" x14ac:dyDescent="0.25"/>
    <row r="70" spans="3:36" ht="36.75" customHeight="1" x14ac:dyDescent="0.25"/>
    <row r="71" spans="3:36" s="8" customFormat="1" ht="36.75" customHeight="1" x14ac:dyDescent="0.25">
      <c r="C71" s="38"/>
      <c r="D71" s="2"/>
      <c r="E71" s="2"/>
      <c r="F71" s="2"/>
      <c r="G71" s="2"/>
      <c r="H71" s="2"/>
      <c r="I71" s="2"/>
      <c r="J71" s="2"/>
      <c r="K71" s="2"/>
      <c r="L71" s="2"/>
      <c r="M71" s="2"/>
      <c r="N71" s="2"/>
      <c r="O71" s="2"/>
      <c r="P71" s="2"/>
      <c r="R71" s="2"/>
      <c r="S71" s="2"/>
      <c r="T71" s="2"/>
      <c r="U71" s="2"/>
      <c r="V71" s="2"/>
      <c r="W71" s="2"/>
      <c r="X71" s="2"/>
      <c r="Y71" s="2"/>
      <c r="Z71" s="2"/>
      <c r="AA71" s="2"/>
      <c r="AB71" s="2"/>
      <c r="AC71" s="2"/>
      <c r="AD71" s="2"/>
      <c r="AE71" s="2"/>
      <c r="AF71" s="2"/>
      <c r="AG71" s="2"/>
      <c r="AH71" s="2"/>
      <c r="AI71" s="2"/>
      <c r="AJ71" s="2"/>
    </row>
    <row r="72" spans="3:36" s="8" customFormat="1" ht="36.75" customHeight="1" x14ac:dyDescent="0.25">
      <c r="C72" s="38"/>
      <c r="D72" s="2"/>
      <c r="E72" s="2"/>
      <c r="F72" s="2"/>
      <c r="G72" s="2"/>
      <c r="H72" s="2"/>
      <c r="I72" s="2"/>
      <c r="J72" s="2"/>
      <c r="K72" s="2"/>
      <c r="L72" s="2"/>
      <c r="M72" s="2"/>
      <c r="N72" s="2"/>
      <c r="O72" s="2"/>
      <c r="P72" s="2"/>
      <c r="R72" s="2"/>
      <c r="S72" s="2"/>
      <c r="T72" s="2"/>
      <c r="U72" s="2"/>
      <c r="V72" s="2"/>
      <c r="W72" s="2"/>
      <c r="X72" s="2"/>
      <c r="Y72" s="2"/>
      <c r="Z72" s="2"/>
      <c r="AA72" s="2"/>
      <c r="AB72" s="2"/>
      <c r="AC72" s="2"/>
      <c r="AD72" s="2"/>
      <c r="AE72" s="2"/>
      <c r="AF72" s="2"/>
      <c r="AG72" s="2"/>
      <c r="AH72" s="2"/>
      <c r="AI72" s="2"/>
      <c r="AJ72" s="2"/>
    </row>
    <row r="73" spans="3:36" ht="36.75" customHeight="1" x14ac:dyDescent="0.25"/>
    <row r="74" spans="3:36" s="8" customFormat="1" ht="36.75" customHeight="1" x14ac:dyDescent="0.25">
      <c r="C74" s="2"/>
      <c r="D74" s="2"/>
      <c r="E74" s="2"/>
      <c r="F74" s="2"/>
      <c r="G74" s="2"/>
      <c r="H74" s="2"/>
      <c r="I74" s="2"/>
      <c r="J74" s="2"/>
      <c r="K74" s="2"/>
      <c r="L74" s="2"/>
      <c r="M74" s="2"/>
      <c r="N74" s="2"/>
      <c r="O74" s="2"/>
      <c r="P74" s="2"/>
      <c r="R74" s="2"/>
      <c r="S74" s="2"/>
      <c r="T74" s="2"/>
      <c r="U74" s="2"/>
      <c r="V74" s="2"/>
      <c r="W74" s="2"/>
      <c r="X74" s="2"/>
      <c r="Y74" s="2"/>
      <c r="Z74" s="2"/>
      <c r="AA74" s="2"/>
      <c r="AB74" s="2"/>
      <c r="AC74" s="2"/>
      <c r="AD74" s="2"/>
      <c r="AE74" s="2"/>
      <c r="AF74" s="2"/>
      <c r="AG74" s="2"/>
      <c r="AH74" s="2"/>
      <c r="AI74" s="2"/>
      <c r="AJ74" s="2"/>
    </row>
    <row r="75" spans="3:36" s="8" customFormat="1" x14ac:dyDescent="0.25">
      <c r="C75" s="38"/>
      <c r="D75" s="2"/>
      <c r="E75" s="2"/>
      <c r="F75" s="2"/>
      <c r="G75" s="2"/>
      <c r="H75" s="2"/>
      <c r="I75" s="2"/>
      <c r="J75" s="2"/>
      <c r="K75" s="60"/>
      <c r="L75" s="60"/>
      <c r="M75" s="60"/>
      <c r="N75" s="60"/>
      <c r="O75" s="60"/>
      <c r="P75" s="60"/>
      <c r="R75" s="2"/>
      <c r="S75" s="2"/>
      <c r="T75" s="2"/>
      <c r="U75" s="2"/>
      <c r="V75" s="2"/>
      <c r="W75" s="2"/>
      <c r="X75" s="2"/>
      <c r="Y75" s="2"/>
      <c r="Z75" s="2"/>
      <c r="AA75" s="2"/>
      <c r="AB75" s="2"/>
      <c r="AC75" s="2"/>
      <c r="AD75" s="2"/>
      <c r="AE75" s="2"/>
      <c r="AF75" s="2"/>
      <c r="AG75" s="2"/>
      <c r="AH75" s="2"/>
      <c r="AI75" s="2"/>
      <c r="AJ75" s="2"/>
    </row>
    <row r="76" spans="3:36" s="8" customFormat="1" ht="67.5" customHeight="1" x14ac:dyDescent="0.25">
      <c r="C76" s="263" t="s">
        <v>134</v>
      </c>
      <c r="D76" s="264"/>
      <c r="E76" s="264"/>
      <c r="F76" s="264"/>
      <c r="G76" s="264"/>
      <c r="H76" s="264"/>
      <c r="I76" s="264"/>
      <c r="J76" s="264"/>
      <c r="K76" s="264"/>
      <c r="L76" s="264"/>
      <c r="M76" s="264"/>
      <c r="N76" s="264"/>
      <c r="O76" s="264"/>
      <c r="P76" s="265"/>
      <c r="R76" s="2"/>
      <c r="S76" s="2"/>
      <c r="T76" s="2"/>
      <c r="U76" s="2"/>
      <c r="V76" s="2"/>
      <c r="W76" s="2"/>
      <c r="X76" s="2"/>
      <c r="Y76" s="2"/>
      <c r="Z76" s="2"/>
      <c r="AA76" s="2"/>
      <c r="AB76" s="2"/>
      <c r="AC76" s="2"/>
      <c r="AD76" s="2"/>
      <c r="AE76" s="2"/>
      <c r="AF76" s="2"/>
      <c r="AG76" s="2"/>
      <c r="AH76" s="2"/>
      <c r="AI76" s="2"/>
      <c r="AJ76" s="2"/>
    </row>
  </sheetData>
  <mergeCells count="7">
    <mergeCell ref="C76:P76"/>
    <mergeCell ref="C3:P3"/>
    <mergeCell ref="C4:P4"/>
    <mergeCell ref="C6:K6"/>
    <mergeCell ref="C64:P64"/>
    <mergeCell ref="C65:P65"/>
    <mergeCell ref="C67:P67"/>
  </mergeCells>
  <conditionalFormatting sqref="F52 H52 M52 D57 F57:H57 O57 D63:P63">
    <cfRule type="cellIs" dxfId="0" priority="1" operator="lessThan">
      <formula>0</formula>
    </cfRule>
  </conditionalFormatting>
  <printOptions horizontalCentered="1" verticalCentered="1"/>
  <pageMargins left="0.25" right="0.25" top="0.75" bottom="0.75" header="0.3" footer="0.3"/>
  <pageSetup paperSize="8"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Q109"/>
  <sheetViews>
    <sheetView showGridLines="0" view="pageBreakPreview" zoomScaleNormal="100" zoomScaleSheetLayoutView="100" workbookViewId="0">
      <selection activeCell="C3" sqref="C3:J3"/>
    </sheetView>
  </sheetViews>
  <sheetFormatPr baseColWidth="10" defaultColWidth="11.5703125" defaultRowHeight="15" x14ac:dyDescent="0.25"/>
  <cols>
    <col min="1" max="2" width="3.7109375" style="59" customWidth="1"/>
    <col min="3" max="3" width="53.42578125" style="59" customWidth="1"/>
    <col min="4" max="4" width="14.42578125" style="59" customWidth="1"/>
    <col min="5" max="5" width="13.140625" style="59" customWidth="1"/>
    <col min="6" max="6" width="14" style="61" customWidth="1"/>
    <col min="7" max="8" width="12.42578125" style="59" customWidth="1"/>
    <col min="9" max="9" width="12" style="59" customWidth="1"/>
    <col min="10" max="10" width="10.85546875" style="62" customWidth="1"/>
    <col min="11" max="11" width="3.7109375" style="59" customWidth="1"/>
    <col min="12" max="16384" width="11.5703125" style="59"/>
  </cols>
  <sheetData>
    <row r="1" spans="2:17" ht="10.5" customHeight="1" x14ac:dyDescent="0.25"/>
    <row r="2" spans="2:17" ht="10.5" customHeight="1" x14ac:dyDescent="0.25"/>
    <row r="3" spans="2:17" ht="15.75" x14ac:dyDescent="0.25">
      <c r="C3" s="266" t="s">
        <v>0</v>
      </c>
      <c r="D3" s="266"/>
      <c r="E3" s="266"/>
      <c r="F3" s="266"/>
      <c r="G3" s="266"/>
      <c r="H3" s="266"/>
      <c r="I3" s="266"/>
      <c r="J3" s="266"/>
      <c r="K3" s="4"/>
      <c r="L3" s="4"/>
      <c r="M3" s="4"/>
      <c r="N3" s="4"/>
      <c r="O3" s="4"/>
      <c r="P3" s="4"/>
      <c r="Q3" s="4"/>
    </row>
    <row r="4" spans="2:17" x14ac:dyDescent="0.25">
      <c r="B4" s="267" t="s">
        <v>1</v>
      </c>
      <c r="C4" s="276"/>
      <c r="D4" s="276"/>
      <c r="E4" s="276"/>
      <c r="F4" s="276"/>
      <c r="G4" s="276"/>
      <c r="H4" s="276"/>
      <c r="I4" s="276"/>
      <c r="J4" s="276"/>
      <c r="K4" s="276"/>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63" t="s">
        <v>29</v>
      </c>
      <c r="D6" s="64"/>
      <c r="E6" s="64"/>
      <c r="F6" s="65"/>
    </row>
    <row r="7" spans="2:17" x14ac:dyDescent="0.25">
      <c r="C7" s="66" t="s">
        <v>30</v>
      </c>
      <c r="D7" s="67"/>
      <c r="E7" s="67"/>
      <c r="F7" s="68"/>
    </row>
    <row r="8" spans="2:17" ht="27" customHeight="1" x14ac:dyDescent="0.25">
      <c r="C8" s="69"/>
      <c r="D8" s="277" t="s">
        <v>150</v>
      </c>
      <c r="E8" s="278"/>
      <c r="F8" s="279"/>
      <c r="G8" s="277" t="s">
        <v>151</v>
      </c>
      <c r="H8" s="278"/>
      <c r="I8" s="278"/>
      <c r="J8" s="279"/>
    </row>
    <row r="9" spans="2:17" ht="25.5" customHeight="1" x14ac:dyDescent="0.25">
      <c r="C9" s="70" t="s">
        <v>31</v>
      </c>
      <c r="D9" s="97">
        <v>2024</v>
      </c>
      <c r="E9" s="96">
        <v>2025</v>
      </c>
      <c r="F9" s="140" t="s">
        <v>26</v>
      </c>
      <c r="G9" s="97">
        <v>2024</v>
      </c>
      <c r="H9" s="96">
        <v>2025</v>
      </c>
      <c r="I9" s="140" t="s">
        <v>26</v>
      </c>
      <c r="J9" s="141" t="s">
        <v>32</v>
      </c>
    </row>
    <row r="10" spans="2:17" ht="6.75" customHeight="1" x14ac:dyDescent="0.25">
      <c r="D10" s="62"/>
      <c r="E10" s="62"/>
      <c r="F10" s="62"/>
      <c r="G10" s="62"/>
      <c r="H10" s="62"/>
      <c r="I10" s="62"/>
    </row>
    <row r="11" spans="2:17" x14ac:dyDescent="0.25">
      <c r="C11" s="71" t="s">
        <v>33</v>
      </c>
      <c r="D11" s="107">
        <f>SUM(D12:D22)</f>
        <v>262479.66843259102</v>
      </c>
      <c r="E11" s="98">
        <f>SUM(E12:E22)</f>
        <v>256646.82704924096</v>
      </c>
      <c r="F11" s="108">
        <f t="shared" ref="F11:F74" si="0">(E11-D11)/D11</f>
        <v>-2.2222069306095681E-2</v>
      </c>
      <c r="G11" s="107">
        <f>SUM(G12:G22)</f>
        <v>2736237.1072517242</v>
      </c>
      <c r="H11" s="98">
        <f>SUM(H12:H22)</f>
        <v>2769793.7213370204</v>
      </c>
      <c r="I11" s="108">
        <f t="shared" ref="I11:I74" si="1">(H11-G11)/G11</f>
        <v>1.2263781525498139E-2</v>
      </c>
      <c r="J11" s="109">
        <f>SUM(J12:J22)</f>
        <v>0.99999999999999989</v>
      </c>
    </row>
    <row r="12" spans="2:17" x14ac:dyDescent="0.25">
      <c r="B12" s="194"/>
      <c r="C12" s="224" t="s">
        <v>34</v>
      </c>
      <c r="D12" s="225">
        <v>35612.322483516</v>
      </c>
      <c r="E12" s="225">
        <v>35158.765656835996</v>
      </c>
      <c r="F12" s="110">
        <f t="shared" si="0"/>
        <v>-1.2735951913553045E-2</v>
      </c>
      <c r="G12" s="225">
        <v>415257.70701140404</v>
      </c>
      <c r="H12" s="225">
        <v>411163.37722569302</v>
      </c>
      <c r="I12" s="111">
        <f t="shared" si="1"/>
        <v>-9.8597322014268469E-3</v>
      </c>
      <c r="J12" s="216">
        <f>(H12/$H$11)</f>
        <v>0.14844548677336822</v>
      </c>
    </row>
    <row r="13" spans="2:17" x14ac:dyDescent="0.25">
      <c r="B13" s="194"/>
      <c r="C13" s="226" t="s">
        <v>35</v>
      </c>
      <c r="D13" s="225">
        <v>30584.334989999999</v>
      </c>
      <c r="E13" s="225">
        <v>31743.453924000001</v>
      </c>
      <c r="F13" s="113">
        <f t="shared" si="0"/>
        <v>3.7899105355045093E-2</v>
      </c>
      <c r="G13" s="225">
        <v>321425.27713200002</v>
      </c>
      <c r="H13" s="225">
        <v>410828.64804500004</v>
      </c>
      <c r="I13" s="111">
        <f t="shared" si="1"/>
        <v>0.27814667132194665</v>
      </c>
      <c r="J13" s="208">
        <f t="shared" ref="J13:J22" si="2">(H13/$H$11)</f>
        <v>0.14832463691436451</v>
      </c>
    </row>
    <row r="14" spans="2:17" x14ac:dyDescent="0.25">
      <c r="B14" s="194"/>
      <c r="C14" s="226" t="s">
        <v>76</v>
      </c>
      <c r="D14" s="225">
        <v>39088.166057399998</v>
      </c>
      <c r="E14" s="225">
        <v>34184.127928100002</v>
      </c>
      <c r="F14" s="113">
        <f t="shared" si="0"/>
        <v>-0.12546094186405515</v>
      </c>
      <c r="G14" s="225">
        <v>449096.38402829994</v>
      </c>
      <c r="H14" s="225">
        <v>408052.0787516</v>
      </c>
      <c r="I14" s="111">
        <f t="shared" si="1"/>
        <v>-9.1393087845734078E-2</v>
      </c>
      <c r="J14" s="114">
        <f t="shared" si="2"/>
        <v>0.14732219067729968</v>
      </c>
    </row>
    <row r="15" spans="2:17" x14ac:dyDescent="0.25">
      <c r="B15" s="194"/>
      <c r="C15" s="226" t="s">
        <v>36</v>
      </c>
      <c r="D15" s="225">
        <v>36127.250727799998</v>
      </c>
      <c r="E15" s="225">
        <v>51005.165007300006</v>
      </c>
      <c r="F15" s="113">
        <f t="shared" si="0"/>
        <v>0.41181972001128281</v>
      </c>
      <c r="G15" s="225">
        <v>434237.73076680006</v>
      </c>
      <c r="H15" s="225">
        <v>395120.95565380994</v>
      </c>
      <c r="I15" s="111">
        <f t="shared" si="1"/>
        <v>-9.0081474596681491E-2</v>
      </c>
      <c r="J15" s="114">
        <f t="shared" si="2"/>
        <v>0.14265356752382238</v>
      </c>
    </row>
    <row r="16" spans="2:17" x14ac:dyDescent="0.25">
      <c r="B16" s="194"/>
      <c r="C16" s="226" t="s">
        <v>37</v>
      </c>
      <c r="D16" s="225">
        <v>31704.168020255998</v>
      </c>
      <c r="E16" s="225">
        <v>20771.65136</v>
      </c>
      <c r="F16" s="113">
        <f t="shared" si="0"/>
        <v>-0.34482900334338196</v>
      </c>
      <c r="G16" s="225">
        <v>306299.39720805932</v>
      </c>
      <c r="H16" s="225">
        <v>310215.67625003529</v>
      </c>
      <c r="I16" s="111">
        <f t="shared" si="1"/>
        <v>1.2785787623720875E-2</v>
      </c>
      <c r="J16" s="114">
        <f t="shared" si="2"/>
        <v>0.11199955933912999</v>
      </c>
    </row>
    <row r="17" spans="2:10" x14ac:dyDescent="0.25">
      <c r="B17" s="194"/>
      <c r="C17" s="226" t="s">
        <v>38</v>
      </c>
      <c r="D17" s="225">
        <v>29558.777622000001</v>
      </c>
      <c r="E17" s="225">
        <v>26837.286525</v>
      </c>
      <c r="F17" s="113">
        <f t="shared" si="0"/>
        <v>-9.2070488563588335E-2</v>
      </c>
      <c r="G17" s="225">
        <v>206392.33843</v>
      </c>
      <c r="H17" s="225">
        <v>247835.741606</v>
      </c>
      <c r="I17" s="111">
        <f t="shared" si="1"/>
        <v>0.2007991357201272</v>
      </c>
      <c r="J17" s="114">
        <f t="shared" si="2"/>
        <v>8.9478050187205282E-2</v>
      </c>
    </row>
    <row r="18" spans="2:10" x14ac:dyDescent="0.25">
      <c r="B18" s="194"/>
      <c r="C18" s="226" t="s">
        <v>39</v>
      </c>
      <c r="D18" s="225">
        <v>12145.288200000001</v>
      </c>
      <c r="E18" s="225">
        <v>17141.162039999999</v>
      </c>
      <c r="F18" s="113">
        <f t="shared" si="0"/>
        <v>0.41134255175599688</v>
      </c>
      <c r="G18" s="225">
        <v>145841.09657940001</v>
      </c>
      <c r="H18" s="225">
        <v>135937.80482399999</v>
      </c>
      <c r="I18" s="111">
        <f t="shared" si="1"/>
        <v>-6.7904671506692799E-2</v>
      </c>
      <c r="J18" s="114">
        <f t="shared" si="2"/>
        <v>4.9078674623603664E-2</v>
      </c>
    </row>
    <row r="19" spans="2:10" x14ac:dyDescent="0.25">
      <c r="B19" s="194"/>
      <c r="C19" s="226" t="s">
        <v>65</v>
      </c>
      <c r="D19" s="225">
        <v>13928.365215099999</v>
      </c>
      <c r="E19" s="225">
        <v>9667.6584173699994</v>
      </c>
      <c r="F19" s="113">
        <f t="shared" si="0"/>
        <v>-0.30590142719052832</v>
      </c>
      <c r="G19" s="225">
        <v>123763.34449045001</v>
      </c>
      <c r="H19" s="225">
        <v>130961.97099118997</v>
      </c>
      <c r="I19" s="111">
        <f t="shared" si="1"/>
        <v>5.8164447077425525E-2</v>
      </c>
      <c r="J19" s="114">
        <f t="shared" si="2"/>
        <v>4.7282210939510932E-2</v>
      </c>
    </row>
    <row r="20" spans="2:10" x14ac:dyDescent="0.25">
      <c r="B20" s="194"/>
      <c r="C20" s="226" t="s">
        <v>40</v>
      </c>
      <c r="D20" s="225">
        <v>13600.625301509999</v>
      </c>
      <c r="E20" s="225">
        <v>8602.6953990000002</v>
      </c>
      <c r="F20" s="113">
        <f t="shared" si="0"/>
        <v>-0.36747794985243126</v>
      </c>
      <c r="G20" s="225">
        <v>99000.667436310003</v>
      </c>
      <c r="H20" s="225">
        <v>85154.579540600011</v>
      </c>
      <c r="I20" s="111">
        <f t="shared" si="1"/>
        <v>-0.13985853079846741</v>
      </c>
      <c r="J20" s="114">
        <f t="shared" si="2"/>
        <v>3.0744014936785486E-2</v>
      </c>
    </row>
    <row r="21" spans="2:10" x14ac:dyDescent="0.25">
      <c r="B21" s="194"/>
      <c r="C21" s="226" t="s">
        <v>41</v>
      </c>
      <c r="D21" s="225">
        <v>5377.9952676000003</v>
      </c>
      <c r="E21" s="225">
        <v>5361.5628527999997</v>
      </c>
      <c r="F21" s="113">
        <f t="shared" si="0"/>
        <v>-3.0554907511723588E-3</v>
      </c>
      <c r="G21" s="225">
        <v>56618.628817600002</v>
      </c>
      <c r="H21" s="225">
        <v>52096.858675900003</v>
      </c>
      <c r="I21" s="111">
        <f t="shared" si="1"/>
        <v>-7.9863646226176338E-2</v>
      </c>
      <c r="J21" s="114">
        <f t="shared" si="2"/>
        <v>1.8808930887009186E-2</v>
      </c>
    </row>
    <row r="22" spans="2:10" x14ac:dyDescent="0.2">
      <c r="B22" s="194"/>
      <c r="C22" s="227" t="s">
        <v>137</v>
      </c>
      <c r="D22" s="225">
        <v>14752.374547408999</v>
      </c>
      <c r="E22" s="225">
        <v>16173.297938835003</v>
      </c>
      <c r="F22" s="115">
        <f t="shared" si="0"/>
        <v>9.6318283328534704E-2</v>
      </c>
      <c r="G22" s="225">
        <v>178304.53535140096</v>
      </c>
      <c r="H22" s="225">
        <v>182426.02977319201</v>
      </c>
      <c r="I22" s="111">
        <f t="shared" si="1"/>
        <v>2.3114916362999116E-2</v>
      </c>
      <c r="J22" s="124">
        <f t="shared" si="2"/>
        <v>6.5862677197900593E-2</v>
      </c>
    </row>
    <row r="23" spans="2:10" x14ac:dyDescent="0.25">
      <c r="B23" s="194"/>
      <c r="C23" s="193" t="s">
        <v>42</v>
      </c>
      <c r="D23" s="107">
        <f>SUM(D24:D34)</f>
        <v>10027815.784007825</v>
      </c>
      <c r="E23" s="98">
        <f>SUM(E24:E34)</f>
        <v>8909140.5003499612</v>
      </c>
      <c r="F23" s="108">
        <f t="shared" si="0"/>
        <v>-0.11155722320327288</v>
      </c>
      <c r="G23" s="107">
        <f>SUM(G24:G34)</f>
        <v>109624691.96159825</v>
      </c>
      <c r="H23" s="98">
        <f>SUM(H24:H34)</f>
        <v>108906740.0814312</v>
      </c>
      <c r="I23" s="108">
        <f t="shared" si="1"/>
        <v>-6.5491803654832816E-3</v>
      </c>
      <c r="J23" s="109">
        <f>SUM(J24:J34)</f>
        <v>1</v>
      </c>
    </row>
    <row r="24" spans="2:10" x14ac:dyDescent="0.25">
      <c r="B24" s="194"/>
      <c r="C24" s="228" t="s">
        <v>43</v>
      </c>
      <c r="D24" s="225">
        <v>1003809.2185</v>
      </c>
      <c r="E24" s="225">
        <v>939135.22560000001</v>
      </c>
      <c r="F24" s="110">
        <f t="shared" si="0"/>
        <v>-6.4428570397712437E-2</v>
      </c>
      <c r="G24" s="225">
        <v>11024314.898399999</v>
      </c>
      <c r="H24" s="225">
        <v>16026939.4068</v>
      </c>
      <c r="I24" s="110">
        <f t="shared" si="1"/>
        <v>0.45378098816154555</v>
      </c>
      <c r="J24" s="112">
        <f>(H24/$H$23)</f>
        <v>0.14716205254896453</v>
      </c>
    </row>
    <row r="25" spans="2:10" x14ac:dyDescent="0.25">
      <c r="B25" s="194"/>
      <c r="C25" s="229" t="s">
        <v>44</v>
      </c>
      <c r="D25" s="225">
        <v>859894.14214999997</v>
      </c>
      <c r="E25" s="225">
        <v>744574.86314999999</v>
      </c>
      <c r="F25" s="113">
        <f t="shared" si="0"/>
        <v>-0.13410869239284071</v>
      </c>
      <c r="G25" s="225">
        <v>9097000.4821400009</v>
      </c>
      <c r="H25" s="225">
        <v>8631186.9719799981</v>
      </c>
      <c r="I25" s="113">
        <f t="shared" si="1"/>
        <v>-5.120517593403752E-2</v>
      </c>
      <c r="J25" s="114">
        <f t="shared" ref="J25:J34" si="3">(H25/$H$23)</f>
        <v>7.9253010103197755E-2</v>
      </c>
    </row>
    <row r="26" spans="2:10" x14ac:dyDescent="0.25">
      <c r="B26" s="194"/>
      <c r="C26" s="229" t="s">
        <v>48</v>
      </c>
      <c r="D26" s="225">
        <v>582409.67200000002</v>
      </c>
      <c r="E26" s="225">
        <v>410989.65600000002</v>
      </c>
      <c r="F26" s="113">
        <f t="shared" si="0"/>
        <v>-0.29432893071871924</v>
      </c>
      <c r="G26" s="225">
        <v>7280792.2261130791</v>
      </c>
      <c r="H26" s="225">
        <v>5890194.4870000007</v>
      </c>
      <c r="I26" s="113">
        <f t="shared" si="1"/>
        <v>-0.19099538840369606</v>
      </c>
      <c r="J26" s="114">
        <f t="shared" si="3"/>
        <v>5.4084756210642376E-2</v>
      </c>
    </row>
    <row r="27" spans="2:10" x14ac:dyDescent="0.25">
      <c r="B27" s="194"/>
      <c r="C27" s="229" t="s">
        <v>47</v>
      </c>
      <c r="D27" s="225">
        <v>532062.40500000003</v>
      </c>
      <c r="E27" s="225">
        <v>494760.74400000001</v>
      </c>
      <c r="F27" s="113">
        <f t="shared" si="0"/>
        <v>-7.0107680319942953E-2</v>
      </c>
      <c r="G27" s="225">
        <v>5765509.7190000005</v>
      </c>
      <c r="H27" s="225">
        <v>5542063.3890000004</v>
      </c>
      <c r="I27" s="113">
        <f t="shared" si="1"/>
        <v>-3.875569392653036E-2</v>
      </c>
      <c r="J27" s="114">
        <f t="shared" si="3"/>
        <v>5.0888157930869267E-2</v>
      </c>
    </row>
    <row r="28" spans="2:10" x14ac:dyDescent="0.25">
      <c r="B28" s="194"/>
      <c r="C28" s="229" t="s">
        <v>46</v>
      </c>
      <c r="D28" s="225">
        <v>581926.97191999992</v>
      </c>
      <c r="E28" s="225">
        <v>469750.24385999999</v>
      </c>
      <c r="F28" s="113">
        <f t="shared" si="0"/>
        <v>-0.19276770707136318</v>
      </c>
      <c r="G28" s="225">
        <v>6239557.5524399988</v>
      </c>
      <c r="H28" s="225">
        <v>5332011.4239299996</v>
      </c>
      <c r="I28" s="113">
        <f t="shared" si="1"/>
        <v>-0.14545039786596733</v>
      </c>
      <c r="J28" s="114">
        <f t="shared" si="3"/>
        <v>4.8959425467543838E-2</v>
      </c>
    </row>
    <row r="29" spans="2:10" x14ac:dyDescent="0.25">
      <c r="B29" s="194"/>
      <c r="C29" s="229" t="s">
        <v>49</v>
      </c>
      <c r="D29" s="225">
        <v>356006.84</v>
      </c>
      <c r="E29" s="225">
        <v>440595.26</v>
      </c>
      <c r="F29" s="113">
        <f t="shared" si="0"/>
        <v>0.23760335616023551</v>
      </c>
      <c r="G29" s="225">
        <v>4472006.2861599997</v>
      </c>
      <c r="H29" s="225">
        <v>4424184.63</v>
      </c>
      <c r="I29" s="113">
        <f t="shared" si="1"/>
        <v>-1.0693557454961236E-2</v>
      </c>
      <c r="J29" s="114">
        <f t="shared" si="3"/>
        <v>4.0623607195403803E-2</v>
      </c>
    </row>
    <row r="30" spans="2:10" x14ac:dyDescent="0.25">
      <c r="B30" s="194"/>
      <c r="C30" s="229" t="s">
        <v>51</v>
      </c>
      <c r="D30" s="225">
        <v>426688.750245</v>
      </c>
      <c r="E30" s="225">
        <v>363151.42534700001</v>
      </c>
      <c r="F30" s="113">
        <f t="shared" si="0"/>
        <v>-0.14890789799711746</v>
      </c>
      <c r="G30" s="225">
        <v>4279932.6984890001</v>
      </c>
      <c r="H30" s="225">
        <v>4160409.6759520001</v>
      </c>
      <c r="I30" s="113">
        <f t="shared" si="1"/>
        <v>-2.7926378977687374E-2</v>
      </c>
      <c r="J30" s="114">
        <f t="shared" si="3"/>
        <v>3.820158121380917E-2</v>
      </c>
    </row>
    <row r="31" spans="2:10" x14ac:dyDescent="0.25">
      <c r="B31" s="194"/>
      <c r="C31" s="229" t="s">
        <v>50</v>
      </c>
      <c r="D31" s="225">
        <v>404319.87377036101</v>
      </c>
      <c r="E31" s="225">
        <v>272049.47902184201</v>
      </c>
      <c r="F31" s="113">
        <f t="shared" si="0"/>
        <v>-0.32714294628921403</v>
      </c>
      <c r="G31" s="225">
        <v>3205932.960001749</v>
      </c>
      <c r="H31" s="225">
        <v>3624068.7764984462</v>
      </c>
      <c r="I31" s="113">
        <f t="shared" si="1"/>
        <v>0.13042562702136765</v>
      </c>
      <c r="J31" s="114">
        <f t="shared" si="3"/>
        <v>3.3276808889777403E-2</v>
      </c>
    </row>
    <row r="32" spans="2:10" x14ac:dyDescent="0.25">
      <c r="B32" s="194"/>
      <c r="C32" s="229" t="s">
        <v>53</v>
      </c>
      <c r="D32" s="225">
        <v>343907.75896007702</v>
      </c>
      <c r="E32" s="225">
        <v>335773.97474347998</v>
      </c>
      <c r="F32" s="113">
        <f t="shared" si="0"/>
        <v>-2.3651063416517036E-2</v>
      </c>
      <c r="G32" s="225">
        <v>3593862.0874470645</v>
      </c>
      <c r="H32" s="225">
        <v>3474986.623473105</v>
      </c>
      <c r="I32" s="113">
        <f t="shared" si="1"/>
        <v>-3.3077358307425704E-2</v>
      </c>
      <c r="J32" s="114">
        <f t="shared" si="3"/>
        <v>3.1907911492666162E-2</v>
      </c>
    </row>
    <row r="33" spans="2:10" x14ac:dyDescent="0.25">
      <c r="B33" s="194"/>
      <c r="C33" s="229" t="s">
        <v>52</v>
      </c>
      <c r="D33" s="225">
        <v>348959.66</v>
      </c>
      <c r="E33" s="225">
        <v>167444.05499999999</v>
      </c>
      <c r="F33" s="113">
        <f t="shared" si="0"/>
        <v>-0.5201621442432629</v>
      </c>
      <c r="G33" s="225">
        <v>2846603.5238000005</v>
      </c>
      <c r="H33" s="225">
        <v>3221597.9951000004</v>
      </c>
      <c r="I33" s="113">
        <f t="shared" si="1"/>
        <v>0.13173400094699897</v>
      </c>
      <c r="J33" s="114">
        <f t="shared" si="3"/>
        <v>2.9581254499869921E-2</v>
      </c>
    </row>
    <row r="34" spans="2:10" x14ac:dyDescent="0.2">
      <c r="B34" s="194"/>
      <c r="C34" s="230" t="s">
        <v>138</v>
      </c>
      <c r="D34" s="225">
        <v>4587830.4914623881</v>
      </c>
      <c r="E34" s="225">
        <v>4270915.5736276396</v>
      </c>
      <c r="F34" s="117">
        <f t="shared" si="0"/>
        <v>-6.9077294469467351E-2</v>
      </c>
      <c r="G34" s="225">
        <v>51819179.527607359</v>
      </c>
      <c r="H34" s="225">
        <v>48579096.70169764</v>
      </c>
      <c r="I34" s="117">
        <f t="shared" si="1"/>
        <v>-6.2526710292344967E-2</v>
      </c>
      <c r="J34" s="124">
        <f t="shared" si="3"/>
        <v>0.44606143444725571</v>
      </c>
    </row>
    <row r="35" spans="2:10" x14ac:dyDescent="0.25">
      <c r="C35" s="74" t="s">
        <v>54</v>
      </c>
      <c r="D35" s="107">
        <f>SUM(D36:D46)</f>
        <v>111391.21880736298</v>
      </c>
      <c r="E35" s="98">
        <f>SUM(E36:E46)</f>
        <v>130534.16008129</v>
      </c>
      <c r="F35" s="108">
        <f t="shared" si="0"/>
        <v>0.17185323474224942</v>
      </c>
      <c r="G35" s="107">
        <f>SUM(G36:G46)</f>
        <v>1270646.954794979</v>
      </c>
      <c r="H35" s="98">
        <f>SUM(H36:H46)</f>
        <v>1506412.8563966353</v>
      </c>
      <c r="I35" s="108">
        <f t="shared" si="1"/>
        <v>0.18554792164098607</v>
      </c>
      <c r="J35" s="109">
        <f>SUM(J36:J46)</f>
        <v>1</v>
      </c>
    </row>
    <row r="36" spans="2:10" x14ac:dyDescent="0.25">
      <c r="B36" s="194"/>
      <c r="C36" s="228" t="s">
        <v>36</v>
      </c>
      <c r="D36" s="225">
        <v>32214.636514899998</v>
      </c>
      <c r="E36" s="225">
        <v>35908.118888500001</v>
      </c>
      <c r="F36" s="110">
        <f t="shared" si="0"/>
        <v>0.11465230631708927</v>
      </c>
      <c r="G36" s="225">
        <v>319068.81433700002</v>
      </c>
      <c r="H36" s="225">
        <v>518234.03156785003</v>
      </c>
      <c r="I36" s="120">
        <f t="shared" si="1"/>
        <v>0.62420772034615701</v>
      </c>
      <c r="J36" s="121">
        <f>(H36/$H$35)</f>
        <v>0.34401859315478395</v>
      </c>
    </row>
    <row r="37" spans="2:10" x14ac:dyDescent="0.25">
      <c r="B37" s="194"/>
      <c r="C37" s="229" t="s">
        <v>55</v>
      </c>
      <c r="D37" s="225">
        <v>16227.625627029</v>
      </c>
      <c r="E37" s="225">
        <v>15273.998475164</v>
      </c>
      <c r="F37" s="113">
        <f t="shared" si="0"/>
        <v>-5.8765661334744014E-2</v>
      </c>
      <c r="G37" s="225">
        <v>163045.83413545298</v>
      </c>
      <c r="H37" s="225">
        <v>166045.71232389702</v>
      </c>
      <c r="I37" s="122">
        <f t="shared" si="1"/>
        <v>1.839898703546048E-2</v>
      </c>
      <c r="J37" s="123">
        <f t="shared" ref="J37:J46" si="4">(H37/$H$35)</f>
        <v>0.11022589963888196</v>
      </c>
    </row>
    <row r="38" spans="2:10" x14ac:dyDescent="0.25">
      <c r="B38" s="194"/>
      <c r="C38" s="229" t="s">
        <v>56</v>
      </c>
      <c r="D38" s="225">
        <v>6274.0145000000002</v>
      </c>
      <c r="E38" s="225">
        <v>9300.3492000000006</v>
      </c>
      <c r="F38" s="113">
        <f t="shared" si="0"/>
        <v>0.48236016987209707</v>
      </c>
      <c r="G38" s="225">
        <v>93247.276100000017</v>
      </c>
      <c r="H38" s="225">
        <v>92864.892699999997</v>
      </c>
      <c r="I38" s="122">
        <f t="shared" si="1"/>
        <v>-4.1007460592194234E-3</v>
      </c>
      <c r="J38" s="123">
        <f t="shared" si="4"/>
        <v>6.1646375564089625E-2</v>
      </c>
    </row>
    <row r="39" spans="2:10" x14ac:dyDescent="0.25">
      <c r="B39" s="194"/>
      <c r="C39" s="229" t="s">
        <v>58</v>
      </c>
      <c r="D39" s="225">
        <v>2681.2408800000003</v>
      </c>
      <c r="E39" s="225">
        <v>7982.9250319999992</v>
      </c>
      <c r="F39" s="113">
        <f t="shared" si="0"/>
        <v>1.97732482431791</v>
      </c>
      <c r="G39" s="225">
        <v>91991.114176999967</v>
      </c>
      <c r="H39" s="225">
        <v>76876.958954000002</v>
      </c>
      <c r="I39" s="122">
        <f t="shared" si="1"/>
        <v>-0.16430016483895218</v>
      </c>
      <c r="J39" s="123">
        <f t="shared" si="4"/>
        <v>5.1033127225089521E-2</v>
      </c>
    </row>
    <row r="40" spans="2:10" x14ac:dyDescent="0.25">
      <c r="B40" s="194"/>
      <c r="C40" s="229" t="s">
        <v>57</v>
      </c>
      <c r="D40" s="225">
        <v>4529.9726500000006</v>
      </c>
      <c r="E40" s="225">
        <v>4923.1322460000001</v>
      </c>
      <c r="F40" s="122">
        <f t="shared" si="0"/>
        <v>8.679072179387208E-2</v>
      </c>
      <c r="G40" s="225">
        <v>54106.194078000008</v>
      </c>
      <c r="H40" s="225">
        <v>56351.675829000014</v>
      </c>
      <c r="I40" s="122">
        <f t="shared" si="1"/>
        <v>4.1501380558442137E-2</v>
      </c>
      <c r="J40" s="123">
        <f t="shared" si="4"/>
        <v>3.7407856411816723E-2</v>
      </c>
    </row>
    <row r="41" spans="2:10" x14ac:dyDescent="0.25">
      <c r="B41" s="194"/>
      <c r="C41" s="229" t="s">
        <v>60</v>
      </c>
      <c r="D41" s="225">
        <v>5271.9239432000004</v>
      </c>
      <c r="E41" s="225">
        <v>5132.0158532000005</v>
      </c>
      <c r="F41" s="122">
        <f t="shared" si="0"/>
        <v>-2.6538336195168478E-2</v>
      </c>
      <c r="G41" s="225">
        <v>53607.869778599998</v>
      </c>
      <c r="H41" s="225">
        <v>52435.450528809997</v>
      </c>
      <c r="I41" s="122">
        <f t="shared" si="1"/>
        <v>-2.1870282378913412E-2</v>
      </c>
      <c r="J41" s="123">
        <f t="shared" si="4"/>
        <v>3.4808153890983427E-2</v>
      </c>
    </row>
    <row r="42" spans="2:10" x14ac:dyDescent="0.25">
      <c r="B42" s="194"/>
      <c r="C42" s="229" t="s">
        <v>139</v>
      </c>
      <c r="D42" s="225">
        <v>1890.2591077000002</v>
      </c>
      <c r="E42" s="225">
        <v>6159.9872892000003</v>
      </c>
      <c r="F42" s="122">
        <f t="shared" si="0"/>
        <v>2.2588057711808904</v>
      </c>
      <c r="G42" s="225">
        <v>26422.675115400001</v>
      </c>
      <c r="H42" s="225">
        <v>49957.128471600008</v>
      </c>
      <c r="I42" s="122">
        <f t="shared" si="1"/>
        <v>0.89069154631066694</v>
      </c>
      <c r="J42" s="255">
        <f t="shared" si="4"/>
        <v>3.3162972726546093E-2</v>
      </c>
    </row>
    <row r="43" spans="2:10" x14ac:dyDescent="0.25">
      <c r="B43" s="194"/>
      <c r="C43" s="229" t="s">
        <v>59</v>
      </c>
      <c r="D43" s="225">
        <v>4720.003162811</v>
      </c>
      <c r="E43" s="225">
        <v>4650.9169027099997</v>
      </c>
      <c r="F43" s="122">
        <f t="shared" si="0"/>
        <v>-1.463690970491977E-2</v>
      </c>
      <c r="G43" s="225">
        <v>50751.116220830998</v>
      </c>
      <c r="H43" s="225">
        <v>49582.136987264996</v>
      </c>
      <c r="I43" s="122">
        <f t="shared" si="1"/>
        <v>-2.3033566956034555E-2</v>
      </c>
      <c r="J43" s="255">
        <f t="shared" si="4"/>
        <v>3.2914042638925889E-2</v>
      </c>
    </row>
    <row r="44" spans="2:10" x14ac:dyDescent="0.25">
      <c r="B44" s="194"/>
      <c r="C44" s="229" t="s">
        <v>61</v>
      </c>
      <c r="D44" s="225">
        <v>4873.1903599500001</v>
      </c>
      <c r="E44" s="225">
        <v>4654.2199688199998</v>
      </c>
      <c r="F44" s="122">
        <f t="shared" si="0"/>
        <v>-4.4933683061017742E-2</v>
      </c>
      <c r="G44" s="225">
        <v>46581.991466259999</v>
      </c>
      <c r="H44" s="225">
        <v>47850.689843609995</v>
      </c>
      <c r="I44" s="122">
        <f t="shared" si="1"/>
        <v>2.7235812326077392E-2</v>
      </c>
      <c r="J44" s="255">
        <f t="shared" si="4"/>
        <v>3.1764658433724231E-2</v>
      </c>
    </row>
    <row r="45" spans="2:10" x14ac:dyDescent="0.25">
      <c r="B45" s="194"/>
      <c r="C45" s="229" t="s">
        <v>38</v>
      </c>
      <c r="D45" s="225">
        <v>5095.2239740000005</v>
      </c>
      <c r="E45" s="225">
        <v>4376.4573780000001</v>
      </c>
      <c r="F45" s="122">
        <f t="shared" si="0"/>
        <v>-0.14106673223154376</v>
      </c>
      <c r="G45" s="225">
        <v>56177.688520000003</v>
      </c>
      <c r="H45" s="225">
        <v>47779.661393000002</v>
      </c>
      <c r="I45" s="122">
        <f t="shared" si="1"/>
        <v>-0.14949043558476408</v>
      </c>
      <c r="J45" s="255">
        <f t="shared" si="4"/>
        <v>3.1717507713847952E-2</v>
      </c>
    </row>
    <row r="46" spans="2:10" x14ac:dyDescent="0.2">
      <c r="B46" s="194"/>
      <c r="C46" s="231" t="s">
        <v>140</v>
      </c>
      <c r="D46" s="225">
        <v>27613.128087772995</v>
      </c>
      <c r="E46" s="225">
        <v>32172.038847695996</v>
      </c>
      <c r="F46" s="117">
        <f>(E46-D46)/D46</f>
        <v>0.16509939567265733</v>
      </c>
      <c r="G46" s="232">
        <v>315646.38086643501</v>
      </c>
      <c r="H46" s="232">
        <v>348434.51779760298</v>
      </c>
      <c r="I46" s="115">
        <f t="shared" si="1"/>
        <v>0.10387616940566853</v>
      </c>
      <c r="J46" s="124">
        <f t="shared" si="4"/>
        <v>0.2313008126013105</v>
      </c>
    </row>
    <row r="47" spans="2:10" x14ac:dyDescent="0.25">
      <c r="B47" s="194"/>
      <c r="C47" s="195" t="s">
        <v>62</v>
      </c>
      <c r="D47" s="98">
        <f>SUM(D48:D58)</f>
        <v>346427.52439517068</v>
      </c>
      <c r="E47" s="98">
        <f>SUM(E48:E58)</f>
        <v>337114.22539968777</v>
      </c>
      <c r="F47" s="254">
        <f t="shared" si="0"/>
        <v>-2.6883830930417664E-2</v>
      </c>
      <c r="G47" s="107">
        <f>SUM(G48:G58)</f>
        <v>3512301.3933015401</v>
      </c>
      <c r="H47" s="98">
        <f>SUM(H48:H58)</f>
        <v>3762107.6960177491</v>
      </c>
      <c r="I47" s="108">
        <f t="shared" si="1"/>
        <v>7.1123253600225006E-2</v>
      </c>
      <c r="J47" s="109">
        <f>SUM(J48:J58)</f>
        <v>0.99999999999999989</v>
      </c>
    </row>
    <row r="48" spans="2:10" x14ac:dyDescent="0.25">
      <c r="B48" s="194"/>
      <c r="C48" s="224" t="s">
        <v>36</v>
      </c>
      <c r="D48" s="225">
        <v>41184.478004466902</v>
      </c>
      <c r="E48" s="225">
        <v>60231.483705512503</v>
      </c>
      <c r="F48" s="110">
        <f t="shared" si="0"/>
        <v>0.46248020186099592</v>
      </c>
      <c r="G48" s="225">
        <v>367928.6636584464</v>
      </c>
      <c r="H48" s="225">
        <v>580188.26958333887</v>
      </c>
      <c r="I48" s="113">
        <f t="shared" si="1"/>
        <v>0.5769042395727455</v>
      </c>
      <c r="J48" s="112">
        <f>(H48/$H$47)</f>
        <v>0.15421894226937666</v>
      </c>
    </row>
    <row r="49" spans="2:10" x14ac:dyDescent="0.25">
      <c r="B49" s="194"/>
      <c r="C49" s="226" t="s">
        <v>63</v>
      </c>
      <c r="D49" s="225">
        <v>41079.122466699802</v>
      </c>
      <c r="E49" s="225">
        <v>32757.50579180778</v>
      </c>
      <c r="F49" s="113">
        <f t="shared" si="0"/>
        <v>-0.20257532720271279</v>
      </c>
      <c r="G49" s="225">
        <v>387947.51156149164</v>
      </c>
      <c r="H49" s="225">
        <v>412093.47393865208</v>
      </c>
      <c r="I49" s="113">
        <f t="shared" si="1"/>
        <v>6.2240281629782235E-2</v>
      </c>
      <c r="J49" s="114">
        <f t="shared" ref="J49:J58" si="5">(H49/$H$47)</f>
        <v>0.10953792587459939</v>
      </c>
    </row>
    <row r="50" spans="2:10" x14ac:dyDescent="0.25">
      <c r="B50" s="194"/>
      <c r="C50" s="226" t="s">
        <v>38</v>
      </c>
      <c r="D50" s="225">
        <v>29956.0465627995</v>
      </c>
      <c r="E50" s="225">
        <v>23098.813869526701</v>
      </c>
      <c r="F50" s="113">
        <f t="shared" si="0"/>
        <v>-0.22890980219627374</v>
      </c>
      <c r="G50" s="225">
        <v>258153.8334825061</v>
      </c>
      <c r="H50" s="225">
        <v>234777.52519354402</v>
      </c>
      <c r="I50" s="113">
        <f t="shared" si="1"/>
        <v>-9.0551854193349365E-2</v>
      </c>
      <c r="J50" s="114">
        <f t="shared" si="5"/>
        <v>6.2405849104761081E-2</v>
      </c>
    </row>
    <row r="51" spans="2:10" x14ac:dyDescent="0.25">
      <c r="B51" s="194"/>
      <c r="C51" s="226" t="s">
        <v>55</v>
      </c>
      <c r="D51" s="225">
        <v>22770.891458342499</v>
      </c>
      <c r="E51" s="225">
        <v>15751.706945677799</v>
      </c>
      <c r="F51" s="113">
        <f t="shared" si="0"/>
        <v>-0.30825251288495797</v>
      </c>
      <c r="G51" s="225">
        <v>217777.3744497594</v>
      </c>
      <c r="H51" s="225">
        <v>206733.52826661422</v>
      </c>
      <c r="I51" s="113">
        <f t="shared" si="1"/>
        <v>-5.0711632514850474E-2</v>
      </c>
      <c r="J51" s="114">
        <f t="shared" si="5"/>
        <v>5.49515178646919E-2</v>
      </c>
    </row>
    <row r="52" spans="2:10" x14ac:dyDescent="0.25">
      <c r="B52" s="194"/>
      <c r="C52" s="226" t="s">
        <v>34</v>
      </c>
      <c r="D52" s="225">
        <v>14876.0950559628</v>
      </c>
      <c r="E52" s="225">
        <v>15737.917173109901</v>
      </c>
      <c r="F52" s="113">
        <f t="shared" si="0"/>
        <v>5.793335642888732E-2</v>
      </c>
      <c r="G52" s="225">
        <v>177777.93573688899</v>
      </c>
      <c r="H52" s="225">
        <v>177778.86547299847</v>
      </c>
      <c r="I52" s="262">
        <f t="shared" si="1"/>
        <v>5.2297609690753246E-6</v>
      </c>
      <c r="J52" s="114">
        <f t="shared" si="5"/>
        <v>4.725512394586158E-2</v>
      </c>
    </row>
    <row r="53" spans="2:10" x14ac:dyDescent="0.25">
      <c r="B53" s="194"/>
      <c r="C53" s="226" t="s">
        <v>49</v>
      </c>
      <c r="D53" s="225">
        <v>17361.515216026401</v>
      </c>
      <c r="E53" s="225">
        <v>14381.7522161624</v>
      </c>
      <c r="F53" s="113">
        <f t="shared" si="0"/>
        <v>-0.1716303538479973</v>
      </c>
      <c r="G53" s="225">
        <v>195078.213283105</v>
      </c>
      <c r="H53" s="225">
        <v>174742.07213766658</v>
      </c>
      <c r="I53" s="113">
        <f t="shared" si="1"/>
        <v>-0.1042460908534457</v>
      </c>
      <c r="J53" s="114">
        <f t="shared" si="5"/>
        <v>4.6447918628866963E-2</v>
      </c>
    </row>
    <row r="54" spans="2:10" x14ac:dyDescent="0.25">
      <c r="B54" s="194"/>
      <c r="C54" s="226" t="s">
        <v>35</v>
      </c>
      <c r="D54" s="225">
        <v>10686.949856932501</v>
      </c>
      <c r="E54" s="225">
        <v>13961.9419480385</v>
      </c>
      <c r="F54" s="113">
        <f t="shared" si="0"/>
        <v>0.30644778303900722</v>
      </c>
      <c r="G54" s="225">
        <v>118666.50216854658</v>
      </c>
      <c r="H54" s="225">
        <v>159957.72640725979</v>
      </c>
      <c r="I54" s="113">
        <f t="shared" si="1"/>
        <v>0.34796023717009628</v>
      </c>
      <c r="J54" s="114">
        <f t="shared" si="5"/>
        <v>4.2518114666567783E-2</v>
      </c>
    </row>
    <row r="55" spans="2:10" x14ac:dyDescent="0.25">
      <c r="B55" s="194"/>
      <c r="C55" s="226" t="s">
        <v>64</v>
      </c>
      <c r="D55" s="225">
        <v>10918.3266626028</v>
      </c>
      <c r="E55" s="225">
        <v>11482.947537579899</v>
      </c>
      <c r="F55" s="113">
        <f t="shared" si="0"/>
        <v>5.1713132646143099E-2</v>
      </c>
      <c r="G55" s="225">
        <v>136323.95739330101</v>
      </c>
      <c r="H55" s="225">
        <v>137830.53607121779</v>
      </c>
      <c r="I55" s="113">
        <f t="shared" si="1"/>
        <v>1.1051459381935582E-2</v>
      </c>
      <c r="J55" s="114">
        <f t="shared" si="5"/>
        <v>3.6636520591133953E-2</v>
      </c>
    </row>
    <row r="56" spans="2:10" x14ac:dyDescent="0.25">
      <c r="B56" s="194"/>
      <c r="C56" s="226" t="s">
        <v>57</v>
      </c>
      <c r="D56" s="225">
        <v>13976.328998106101</v>
      </c>
      <c r="E56" s="225">
        <v>10709.176124661501</v>
      </c>
      <c r="F56" s="113">
        <f t="shared" si="0"/>
        <v>-0.23376330607896567</v>
      </c>
      <c r="G56" s="225">
        <v>144370.96622504212</v>
      </c>
      <c r="H56" s="225">
        <v>136991.01814829503</v>
      </c>
      <c r="I56" s="113">
        <f t="shared" si="1"/>
        <v>-5.1117951688730845E-2</v>
      </c>
      <c r="J56" s="114">
        <f t="shared" si="5"/>
        <v>3.6413369636733736E-2</v>
      </c>
    </row>
    <row r="57" spans="2:10" x14ac:dyDescent="0.25">
      <c r="B57" s="194"/>
      <c r="C57" s="226" t="s">
        <v>56</v>
      </c>
      <c r="D57" s="225">
        <v>9671.6267454675999</v>
      </c>
      <c r="E57" s="225">
        <v>10393.6768533959</v>
      </c>
      <c r="F57" s="113">
        <f t="shared" si="0"/>
        <v>7.4656531618806907E-2</v>
      </c>
      <c r="G57" s="225">
        <v>132744.34036480519</v>
      </c>
      <c r="H57" s="225">
        <v>122352.68243809139</v>
      </c>
      <c r="I57" s="113">
        <f t="shared" si="1"/>
        <v>-7.8283246563700309E-2</v>
      </c>
      <c r="J57" s="114">
        <f t="shared" si="5"/>
        <v>3.2522376370991091E-2</v>
      </c>
    </row>
    <row r="58" spans="2:10" x14ac:dyDescent="0.2">
      <c r="B58" s="194"/>
      <c r="C58" s="227" t="s">
        <v>141</v>
      </c>
      <c r="D58" s="225">
        <v>133946.14336776378</v>
      </c>
      <c r="E58" s="225">
        <v>128607.30323421487</v>
      </c>
      <c r="F58" s="117">
        <f t="shared" si="0"/>
        <v>-3.9858110127818674E-2</v>
      </c>
      <c r="G58" s="225">
        <v>1375532.0949776471</v>
      </c>
      <c r="H58" s="225">
        <v>1418661.9983600709</v>
      </c>
      <c r="I58" s="115">
        <f t="shared" si="1"/>
        <v>3.1355068732965244E-2</v>
      </c>
      <c r="J58" s="124">
        <f t="shared" si="5"/>
        <v>0.37709234104641587</v>
      </c>
    </row>
    <row r="59" spans="2:10" x14ac:dyDescent="0.25">
      <c r="C59" s="74" t="s">
        <v>66</v>
      </c>
      <c r="D59" s="107">
        <f>SUM(D60:D70)</f>
        <v>25616.096440769994</v>
      </c>
      <c r="E59" s="98">
        <f>SUM(E60:E70)</f>
        <v>25988.453507589002</v>
      </c>
      <c r="F59" s="108">
        <f t="shared" si="0"/>
        <v>1.4536058125795183E-2</v>
      </c>
      <c r="G59" s="107">
        <f>SUM(G60:G70)</f>
        <v>291319.62661629298</v>
      </c>
      <c r="H59" s="98">
        <f>SUM(H60:H70)</f>
        <v>312222.99845976051</v>
      </c>
      <c r="I59" s="108">
        <f t="shared" si="1"/>
        <v>7.1754080170506565E-2</v>
      </c>
      <c r="J59" s="109">
        <f>SUM(J60:J70)</f>
        <v>1</v>
      </c>
    </row>
    <row r="60" spans="2:10" x14ac:dyDescent="0.25">
      <c r="B60" s="194"/>
      <c r="C60" s="228" t="s">
        <v>55</v>
      </c>
      <c r="D60" s="225">
        <v>2743.9933073890002</v>
      </c>
      <c r="E60" s="225">
        <v>2435.7354341340001</v>
      </c>
      <c r="F60" s="110">
        <f t="shared" si="0"/>
        <v>-0.11233914908790997</v>
      </c>
      <c r="G60" s="225">
        <v>26889.289492045995</v>
      </c>
      <c r="H60" s="225">
        <v>27604.020044460005</v>
      </c>
      <c r="I60" s="110">
        <f t="shared" si="1"/>
        <v>2.65804923043962E-2</v>
      </c>
      <c r="J60" s="112">
        <f>(H60/$H$59)</f>
        <v>8.841123229433602E-2</v>
      </c>
    </row>
    <row r="61" spans="2:10" x14ac:dyDescent="0.25">
      <c r="B61" s="194"/>
      <c r="C61" s="229" t="s">
        <v>57</v>
      </c>
      <c r="D61" s="225">
        <v>2676.3646920000001</v>
      </c>
      <c r="E61" s="225">
        <v>2091.4730789999999</v>
      </c>
      <c r="F61" s="113">
        <f t="shared" si="0"/>
        <v>-0.21853957898500037</v>
      </c>
      <c r="G61" s="225">
        <v>28698.875656999997</v>
      </c>
      <c r="H61" s="225">
        <v>27143.907058000001</v>
      </c>
      <c r="I61" s="113">
        <f t="shared" si="1"/>
        <v>-5.4182213184394243E-2</v>
      </c>
      <c r="J61" s="114">
        <f t="shared" ref="J61:J70" si="6">(H61/$H$59)</f>
        <v>8.6937564471242262E-2</v>
      </c>
    </row>
    <row r="62" spans="2:10" x14ac:dyDescent="0.25">
      <c r="B62" s="194"/>
      <c r="C62" s="229" t="s">
        <v>59</v>
      </c>
      <c r="D62" s="225">
        <v>2150.279795082</v>
      </c>
      <c r="E62" s="225">
        <v>2304.311038799</v>
      </c>
      <c r="F62" s="113">
        <f t="shared" si="0"/>
        <v>7.1633116801493327E-2</v>
      </c>
      <c r="G62" s="225">
        <v>21451.835166141002</v>
      </c>
      <c r="H62" s="225">
        <v>25547.476674692</v>
      </c>
      <c r="I62" s="113">
        <f t="shared" si="1"/>
        <v>0.1909226635777739</v>
      </c>
      <c r="J62" s="114">
        <f t="shared" si="6"/>
        <v>8.1824454959183848E-2</v>
      </c>
    </row>
    <row r="63" spans="2:10" x14ac:dyDescent="0.25">
      <c r="B63" s="194"/>
      <c r="C63" s="229" t="s">
        <v>63</v>
      </c>
      <c r="D63" s="225">
        <v>1591.3472480999999</v>
      </c>
      <c r="E63" s="225">
        <v>1819.5321765000001</v>
      </c>
      <c r="F63" s="113">
        <f t="shared" si="0"/>
        <v>0.14339103465471989</v>
      </c>
      <c r="G63" s="225">
        <v>21542.33984298</v>
      </c>
      <c r="H63" s="225">
        <v>22846.204415099997</v>
      </c>
      <c r="I63" s="113">
        <f t="shared" si="1"/>
        <v>6.052567091707485E-2</v>
      </c>
      <c r="J63" s="114">
        <f t="shared" si="6"/>
        <v>7.3172714783355172E-2</v>
      </c>
    </row>
    <row r="64" spans="2:10" x14ac:dyDescent="0.25">
      <c r="B64" s="194"/>
      <c r="C64" s="229" t="s">
        <v>67</v>
      </c>
      <c r="D64" s="225">
        <v>1903.8298328999999</v>
      </c>
      <c r="E64" s="225">
        <v>1974.2298724</v>
      </c>
      <c r="F64" s="113">
        <f t="shared" si="0"/>
        <v>3.6978115524518025E-2</v>
      </c>
      <c r="G64" s="225">
        <v>20528.0622172</v>
      </c>
      <c r="H64" s="225">
        <v>22528.304202900003</v>
      </c>
      <c r="I64" s="113">
        <f t="shared" si="1"/>
        <v>9.7439396107443815E-2</v>
      </c>
      <c r="J64" s="114">
        <f t="shared" si="6"/>
        <v>7.2154531581706857E-2</v>
      </c>
    </row>
    <row r="65" spans="2:10" x14ac:dyDescent="0.25">
      <c r="B65" s="194"/>
      <c r="C65" s="229" t="s">
        <v>69</v>
      </c>
      <c r="D65" s="225">
        <v>1397.7688900000001</v>
      </c>
      <c r="E65" s="225">
        <v>1273.0347159999999</v>
      </c>
      <c r="F65" s="113">
        <f t="shared" si="0"/>
        <v>-8.9238052794264264E-2</v>
      </c>
      <c r="G65" s="225">
        <v>18183.812098999999</v>
      </c>
      <c r="H65" s="225">
        <v>15888.687949000001</v>
      </c>
      <c r="I65" s="113">
        <f t="shared" si="1"/>
        <v>-0.12621798649834354</v>
      </c>
      <c r="J65" s="114">
        <f t="shared" si="6"/>
        <v>5.0888909617104149E-2</v>
      </c>
    </row>
    <row r="66" spans="2:10" x14ac:dyDescent="0.25">
      <c r="B66" s="194"/>
      <c r="C66" s="229" t="s">
        <v>68</v>
      </c>
      <c r="D66" s="225">
        <v>1430.0122464000001</v>
      </c>
      <c r="E66" s="225">
        <v>918.46622660000003</v>
      </c>
      <c r="F66" s="113">
        <f t="shared" si="0"/>
        <v>-0.35772142587435679</v>
      </c>
      <c r="G66" s="225">
        <v>13740.7921355</v>
      </c>
      <c r="H66" s="225">
        <v>15370.028300399999</v>
      </c>
      <c r="I66" s="113">
        <f t="shared" si="1"/>
        <v>0.11856930436279502</v>
      </c>
      <c r="J66" s="208">
        <f t="shared" si="6"/>
        <v>4.9227726260469243E-2</v>
      </c>
    </row>
    <row r="67" spans="2:10" x14ac:dyDescent="0.25">
      <c r="B67" s="194"/>
      <c r="C67" s="229" t="s">
        <v>64</v>
      </c>
      <c r="D67" s="225">
        <v>1174.487833469</v>
      </c>
      <c r="E67" s="225">
        <v>1090.032528966</v>
      </c>
      <c r="F67" s="113">
        <f t="shared" si="0"/>
        <v>-7.1908198702706386E-2</v>
      </c>
      <c r="G67" s="225">
        <v>11192.407627326</v>
      </c>
      <c r="H67" s="225">
        <v>15152.955533017001</v>
      </c>
      <c r="I67" s="113">
        <f t="shared" si="1"/>
        <v>0.35386022717948695</v>
      </c>
      <c r="J67" s="208">
        <f t="shared" si="6"/>
        <v>4.8532477132589971E-2</v>
      </c>
    </row>
    <row r="68" spans="2:10" x14ac:dyDescent="0.25">
      <c r="B68" s="194"/>
      <c r="C68" s="229" t="s">
        <v>85</v>
      </c>
      <c r="D68" s="225">
        <v>972.54684199999997</v>
      </c>
      <c r="E68" s="225">
        <v>1506.584732</v>
      </c>
      <c r="F68" s="113">
        <f t="shared" si="0"/>
        <v>0.54911276962431399</v>
      </c>
      <c r="G68" s="225">
        <v>12514.533206</v>
      </c>
      <c r="H68" s="225">
        <v>13977.754607999997</v>
      </c>
      <c r="I68" s="113">
        <f t="shared" si="1"/>
        <v>0.11692177230377772</v>
      </c>
      <c r="J68" s="208">
        <f t="shared" si="6"/>
        <v>4.4768497762670292E-2</v>
      </c>
    </row>
    <row r="69" spans="2:10" x14ac:dyDescent="0.25">
      <c r="B69" s="194"/>
      <c r="C69" s="229" t="s">
        <v>58</v>
      </c>
      <c r="D69" s="225">
        <v>804.66278399999999</v>
      </c>
      <c r="E69" s="225">
        <v>1421.5654400000001</v>
      </c>
      <c r="F69" s="113">
        <f t="shared" si="0"/>
        <v>0.76665985834881123</v>
      </c>
      <c r="G69" s="225">
        <v>16105.893942000001</v>
      </c>
      <c r="H69" s="225">
        <v>13894.932277999998</v>
      </c>
      <c r="I69" s="113">
        <f t="shared" si="1"/>
        <v>-0.1372765567662399</v>
      </c>
      <c r="J69" s="208">
        <f t="shared" si="6"/>
        <v>4.4503231173057822E-2</v>
      </c>
    </row>
    <row r="70" spans="2:10" x14ac:dyDescent="0.2">
      <c r="B70" s="194"/>
      <c r="C70" s="230" t="s">
        <v>142</v>
      </c>
      <c r="D70" s="225">
        <v>8770.8029694300003</v>
      </c>
      <c r="E70" s="225">
        <v>9153.4882631900018</v>
      </c>
      <c r="F70" s="122">
        <f t="shared" si="0"/>
        <v>4.3631728485273635E-2</v>
      </c>
      <c r="G70" s="225">
        <v>100471.78523110005</v>
      </c>
      <c r="H70" s="225">
        <v>112268.72739619152</v>
      </c>
      <c r="I70" s="115">
        <f t="shared" si="1"/>
        <v>0.11741547279125929</v>
      </c>
      <c r="J70" s="124">
        <f t="shared" si="6"/>
        <v>0.3595786599642844</v>
      </c>
    </row>
    <row r="71" spans="2:10" x14ac:dyDescent="0.25">
      <c r="C71" s="74" t="s">
        <v>71</v>
      </c>
      <c r="D71" s="107">
        <f>SUM(D72:D73)</f>
        <v>1065597.1664139999</v>
      </c>
      <c r="E71" s="98">
        <f>SUM(E72:E73)</f>
        <v>1215213.200189</v>
      </c>
      <c r="F71" s="108">
        <f t="shared" si="0"/>
        <v>0.14040581046071601</v>
      </c>
      <c r="G71" s="98">
        <f>SUM(G72:G73)</f>
        <v>13309265.480335997</v>
      </c>
      <c r="H71" s="98">
        <f>SUM(H72:H73)</f>
        <v>11892474.643507</v>
      </c>
      <c r="I71" s="108">
        <f t="shared" si="1"/>
        <v>-0.10645146713184581</v>
      </c>
      <c r="J71" s="109">
        <f>SUM(J72:J73)</f>
        <v>1</v>
      </c>
    </row>
    <row r="72" spans="2:10" x14ac:dyDescent="0.25">
      <c r="B72" s="194"/>
      <c r="C72" s="228" t="s">
        <v>72</v>
      </c>
      <c r="D72" s="225">
        <v>1054287.8459999999</v>
      </c>
      <c r="E72" s="225">
        <v>1199829.7080000001</v>
      </c>
      <c r="F72" s="110">
        <f t="shared" si="0"/>
        <v>0.13804755745993891</v>
      </c>
      <c r="G72" s="225">
        <v>13094608.666899998</v>
      </c>
      <c r="H72" s="225">
        <v>11658352.56628</v>
      </c>
      <c r="I72" s="110">
        <f t="shared" si="1"/>
        <v>-0.10968301055460372</v>
      </c>
      <c r="J72" s="112">
        <f>(H72/$H$71)</f>
        <v>0.98031342641080799</v>
      </c>
    </row>
    <row r="73" spans="2:10" x14ac:dyDescent="0.25">
      <c r="B73" s="194"/>
      <c r="C73" s="233" t="s">
        <v>58</v>
      </c>
      <c r="D73" s="225">
        <v>11309.320414</v>
      </c>
      <c r="E73" s="225">
        <v>15383.492189000001</v>
      </c>
      <c r="F73" s="115">
        <f t="shared" si="0"/>
        <v>0.36024903582681361</v>
      </c>
      <c r="G73" s="225">
        <v>214656.813436</v>
      </c>
      <c r="H73" s="225">
        <v>234122.077227</v>
      </c>
      <c r="I73" s="115">
        <f t="shared" si="1"/>
        <v>9.0680856942859545E-2</v>
      </c>
      <c r="J73" s="116">
        <f>(H73/$H$71)</f>
        <v>1.9686573589191961E-2</v>
      </c>
    </row>
    <row r="74" spans="2:10" x14ac:dyDescent="0.25">
      <c r="B74" s="194"/>
      <c r="C74" s="195" t="s">
        <v>73</v>
      </c>
      <c r="D74" s="98">
        <f>SUM(D75:D75)</f>
        <v>2423.1167999999998</v>
      </c>
      <c r="E74" s="98">
        <f>SUM(E75:E75)</f>
        <v>2958.6111999999998</v>
      </c>
      <c r="F74" s="108">
        <f t="shared" si="0"/>
        <v>0.22099405195820526</v>
      </c>
      <c r="G74" s="107">
        <f>SUM(G75:G75)</f>
        <v>32317.234399999998</v>
      </c>
      <c r="H74" s="98">
        <f>SUM(H75:H75)</f>
        <v>33816.185040000004</v>
      </c>
      <c r="I74" s="108">
        <f t="shared" si="1"/>
        <v>4.6382392176479263E-2</v>
      </c>
      <c r="J74" s="109">
        <f>SUM(J75:J75)</f>
        <v>1</v>
      </c>
    </row>
    <row r="75" spans="2:10" x14ac:dyDescent="0.25">
      <c r="C75" s="224" t="s">
        <v>74</v>
      </c>
      <c r="D75" s="234">
        <v>2423.1167999999998</v>
      </c>
      <c r="E75" s="234">
        <v>2958.6111999999998</v>
      </c>
      <c r="F75" s="134">
        <f t="shared" ref="F75:F89" si="7">(E75-D75)/D75</f>
        <v>0.22099405195820526</v>
      </c>
      <c r="G75" s="235">
        <v>32317.234399999998</v>
      </c>
      <c r="H75" s="234">
        <v>33816.185040000004</v>
      </c>
      <c r="I75" s="110">
        <f t="shared" ref="I75:I90" si="8">(H75-G75)/G75</f>
        <v>4.6382392176479263E-2</v>
      </c>
      <c r="J75" s="112">
        <f>(H75/$H$74)</f>
        <v>1</v>
      </c>
    </row>
    <row r="76" spans="2:10" x14ac:dyDescent="0.25">
      <c r="C76" s="74" t="s">
        <v>75</v>
      </c>
      <c r="D76" s="107">
        <f>SUM(D77:D81)</f>
        <v>3974.3798816427998</v>
      </c>
      <c r="E76" s="98">
        <f>SUM(E77:E81)</f>
        <v>3215.0096823200001</v>
      </c>
      <c r="F76" s="108">
        <f t="shared" si="7"/>
        <v>-0.19106633536221401</v>
      </c>
      <c r="G76" s="107">
        <f>SUM(G77:G81)</f>
        <v>41941.797900007798</v>
      </c>
      <c r="H76" s="98">
        <f>SUM(H77:H81)</f>
        <v>38009.426725496101</v>
      </c>
      <c r="I76" s="108">
        <f t="shared" si="8"/>
        <v>-9.3757811333857133E-2</v>
      </c>
      <c r="J76" s="109">
        <f>SUM(J77:J81)</f>
        <v>1</v>
      </c>
    </row>
    <row r="77" spans="2:10" x14ac:dyDescent="0.25">
      <c r="B77" s="194"/>
      <c r="C77" s="224" t="s">
        <v>34</v>
      </c>
      <c r="D77" s="100">
        <v>1222.4164054999999</v>
      </c>
      <c r="E77" s="100">
        <v>1455.1899195999999</v>
      </c>
      <c r="F77" s="110">
        <f t="shared" si="7"/>
        <v>0.19042080346164011</v>
      </c>
      <c r="G77" s="99">
        <v>13386.342076100002</v>
      </c>
      <c r="H77" s="100">
        <v>14990.0253837</v>
      </c>
      <c r="I77" s="110">
        <f t="shared" si="8"/>
        <v>0.11979996465675395</v>
      </c>
      <c r="J77" s="112">
        <f>(H77/$H$76)</f>
        <v>0.39437651853993727</v>
      </c>
    </row>
    <row r="78" spans="2:10" x14ac:dyDescent="0.25">
      <c r="B78" s="194"/>
      <c r="C78" s="226" t="s">
        <v>76</v>
      </c>
      <c r="D78" s="102">
        <v>1084.5943847999999</v>
      </c>
      <c r="E78" s="102">
        <v>801.68168879999996</v>
      </c>
      <c r="F78" s="113">
        <f t="shared" si="7"/>
        <v>-0.26084654315462763</v>
      </c>
      <c r="G78" s="101">
        <v>9146.254227200001</v>
      </c>
      <c r="H78" s="102">
        <v>9787.6326317999992</v>
      </c>
      <c r="I78" s="113">
        <f t="shared" si="8"/>
        <v>7.0124707740203213E-2</v>
      </c>
      <c r="J78" s="114">
        <f t="shared" ref="J78:J81" si="9">(H78/$H$76)</f>
        <v>0.25750539997580696</v>
      </c>
    </row>
    <row r="79" spans="2:10" x14ac:dyDescent="0.25">
      <c r="B79" s="194"/>
      <c r="C79" s="226" t="s">
        <v>37</v>
      </c>
      <c r="D79" s="102">
        <v>564.77384549279998</v>
      </c>
      <c r="E79" s="102">
        <v>334.33957700000002</v>
      </c>
      <c r="F79" s="113">
        <f t="shared" si="7"/>
        <v>-0.40801157902723323</v>
      </c>
      <c r="G79" s="129">
        <v>5667.5781050777996</v>
      </c>
      <c r="H79" s="130">
        <v>4758.7709753661002</v>
      </c>
      <c r="I79" s="113">
        <f t="shared" si="8"/>
        <v>-0.16035193743469797</v>
      </c>
      <c r="J79" s="114">
        <f t="shared" si="9"/>
        <v>0.125199756621796</v>
      </c>
    </row>
    <row r="80" spans="2:10" x14ac:dyDescent="0.25">
      <c r="B80" s="194"/>
      <c r="C80" s="226" t="s">
        <v>35</v>
      </c>
      <c r="D80" s="104">
        <v>157.327134</v>
      </c>
      <c r="E80" s="102">
        <v>341.95801699999998</v>
      </c>
      <c r="F80" s="113">
        <f t="shared" si="7"/>
        <v>1.1735476157596565</v>
      </c>
      <c r="G80" s="129">
        <v>3132.1309079999996</v>
      </c>
      <c r="H80" s="130">
        <v>2910.053124</v>
      </c>
      <c r="I80" s="113">
        <f t="shared" si="8"/>
        <v>-7.0903097770522575E-2</v>
      </c>
      <c r="J80" s="114">
        <f t="shared" si="9"/>
        <v>7.6561352661706522E-2</v>
      </c>
    </row>
    <row r="81" spans="2:10" x14ac:dyDescent="0.25">
      <c r="B81" s="194"/>
      <c r="C81" s="226" t="s">
        <v>123</v>
      </c>
      <c r="D81" s="146">
        <v>945.26811184999997</v>
      </c>
      <c r="E81" s="104">
        <v>281.84047992000001</v>
      </c>
      <c r="F81" s="113">
        <f t="shared" si="7"/>
        <v>-0.70184069854170228</v>
      </c>
      <c r="G81" s="101">
        <v>10609.492583630001</v>
      </c>
      <c r="H81" s="102">
        <v>5562.9446106299993</v>
      </c>
      <c r="I81" s="113">
        <f t="shared" si="8"/>
        <v>-0.4756634620572347</v>
      </c>
      <c r="J81" s="114">
        <f t="shared" si="9"/>
        <v>0.14635697220075322</v>
      </c>
    </row>
    <row r="82" spans="2:10" x14ac:dyDescent="0.25">
      <c r="B82" s="194"/>
      <c r="C82" s="74" t="s">
        <v>77</v>
      </c>
      <c r="D82" s="196">
        <f>SUM(D83:D90)</f>
        <v>3148.8168875000001</v>
      </c>
      <c r="E82" s="98">
        <f>SUM(E83:E90)</f>
        <v>2972.5482317000001</v>
      </c>
      <c r="F82" s="108">
        <f t="shared" si="7"/>
        <v>-5.597932877575118E-2</v>
      </c>
      <c r="G82" s="107">
        <f>SUM(G83:G90)</f>
        <v>32027.78441728</v>
      </c>
      <c r="H82" s="98">
        <f>SUM(H83:H90)</f>
        <v>28040.647535970005</v>
      </c>
      <c r="I82" s="108">
        <f t="shared" si="8"/>
        <v>-0.1244899375293287</v>
      </c>
      <c r="J82" s="109">
        <f>SUM(J83:J90)</f>
        <v>0.99999999999999989</v>
      </c>
    </row>
    <row r="83" spans="2:10" x14ac:dyDescent="0.25">
      <c r="C83" s="226" t="s">
        <v>41</v>
      </c>
      <c r="D83" s="132">
        <v>1955.4262418000001</v>
      </c>
      <c r="E83" s="133">
        <v>1881.0636767999999</v>
      </c>
      <c r="F83" s="134">
        <f t="shared" si="7"/>
        <v>-3.8028826355295427E-2</v>
      </c>
      <c r="G83" s="99">
        <v>18343.691767100001</v>
      </c>
      <c r="H83" s="102">
        <v>17974.932739600001</v>
      </c>
      <c r="I83" s="111">
        <f t="shared" si="8"/>
        <v>-2.0102770597213226E-2</v>
      </c>
      <c r="J83" s="112">
        <f>(H83/$H$82)</f>
        <v>0.64103129988500096</v>
      </c>
    </row>
    <row r="84" spans="2:10" x14ac:dyDescent="0.25">
      <c r="C84" s="226" t="s">
        <v>38</v>
      </c>
      <c r="D84" s="135">
        <v>1035.2701489999999</v>
      </c>
      <c r="E84" s="133">
        <v>929.43725400000005</v>
      </c>
      <c r="F84" s="111">
        <f t="shared" si="7"/>
        <v>-0.10222732211706019</v>
      </c>
      <c r="G84" s="101">
        <v>12054.603731999998</v>
      </c>
      <c r="H84" s="102">
        <v>8083.6682130000008</v>
      </c>
      <c r="I84" s="111">
        <f t="shared" si="8"/>
        <v>-0.32941236454407885</v>
      </c>
      <c r="J84" s="114">
        <f t="shared" ref="J84:J90" si="10">(H84/$H$82)</f>
        <v>0.28828393504930394</v>
      </c>
    </row>
    <row r="85" spans="2:10" x14ac:dyDescent="0.25">
      <c r="C85" s="226" t="s">
        <v>70</v>
      </c>
      <c r="D85" s="135">
        <v>105.25167</v>
      </c>
      <c r="E85" s="133">
        <v>93.466121999999999</v>
      </c>
      <c r="F85" s="111">
        <f t="shared" si="7"/>
        <v>-0.11197492638359093</v>
      </c>
      <c r="G85" s="101">
        <v>1130.325857</v>
      </c>
      <c r="H85" s="102">
        <v>1207.7333810000002</v>
      </c>
      <c r="I85" s="111">
        <f t="shared" si="8"/>
        <v>6.8482485400668133E-2</v>
      </c>
      <c r="J85" s="114">
        <f t="shared" si="10"/>
        <v>4.3070809240433661E-2</v>
      </c>
    </row>
    <row r="86" spans="2:10" x14ac:dyDescent="0.25">
      <c r="C86" s="226" t="s">
        <v>63</v>
      </c>
      <c r="D86" s="135">
        <v>50.658940200000004</v>
      </c>
      <c r="E86" s="133">
        <v>67.904378899999998</v>
      </c>
      <c r="F86" s="111">
        <f t="shared" si="7"/>
        <v>0.34042241373221604</v>
      </c>
      <c r="G86" s="101">
        <v>466.6055432</v>
      </c>
      <c r="H86" s="102">
        <v>720.01178420000008</v>
      </c>
      <c r="I86" s="111">
        <f t="shared" si="8"/>
        <v>0.54308450615937753</v>
      </c>
      <c r="J86" s="114">
        <f t="shared" si="10"/>
        <v>2.5677430711126867E-2</v>
      </c>
    </row>
    <row r="87" spans="2:10" x14ac:dyDescent="0.25">
      <c r="C87" s="226" t="s">
        <v>78</v>
      </c>
      <c r="D87" s="142">
        <v>0</v>
      </c>
      <c r="E87" s="133">
        <v>0</v>
      </c>
      <c r="F87" s="111" t="s">
        <v>45</v>
      </c>
      <c r="G87" s="101">
        <v>4.0247039999999998</v>
      </c>
      <c r="H87" s="102">
        <v>23.57432</v>
      </c>
      <c r="I87" s="111">
        <f t="shared" si="8"/>
        <v>4.8574046687657031</v>
      </c>
      <c r="J87" s="217">
        <f t="shared" si="10"/>
        <v>8.4071952938174176E-4</v>
      </c>
    </row>
    <row r="88" spans="2:10" x14ac:dyDescent="0.25">
      <c r="C88" s="226" t="s">
        <v>81</v>
      </c>
      <c r="D88" s="135">
        <v>0</v>
      </c>
      <c r="E88" s="133">
        <v>0</v>
      </c>
      <c r="F88" s="111" t="s">
        <v>45</v>
      </c>
      <c r="G88" s="101">
        <v>16.869692800000003</v>
      </c>
      <c r="H88" s="102">
        <v>23.132018599999999</v>
      </c>
      <c r="I88" s="111">
        <f t="shared" si="8"/>
        <v>0.37121753633830218</v>
      </c>
      <c r="J88" s="217">
        <f t="shared" si="10"/>
        <v>8.249459492804754E-4</v>
      </c>
    </row>
    <row r="89" spans="2:10" x14ac:dyDescent="0.25">
      <c r="C89" s="226" t="s">
        <v>80</v>
      </c>
      <c r="D89" s="256">
        <v>1.2949999999999999</v>
      </c>
      <c r="E89" s="258">
        <v>0.67679999999999996</v>
      </c>
      <c r="F89" s="111">
        <f t="shared" si="7"/>
        <v>-0.47737451737451736</v>
      </c>
      <c r="G89" s="101">
        <v>9.6160600000000009</v>
      </c>
      <c r="H89" s="102">
        <v>7.4007300000000003</v>
      </c>
      <c r="I89" s="111">
        <f t="shared" si="8"/>
        <v>-0.2303781382395701</v>
      </c>
      <c r="J89" s="208">
        <f t="shared" si="10"/>
        <v>2.6392864110953522E-4</v>
      </c>
    </row>
    <row r="90" spans="2:10" x14ac:dyDescent="0.25">
      <c r="C90" s="226" t="s">
        <v>82</v>
      </c>
      <c r="D90" s="189">
        <v>0.91488650000000005</v>
      </c>
      <c r="E90" s="143">
        <v>0</v>
      </c>
      <c r="F90" s="111" t="s">
        <v>45</v>
      </c>
      <c r="G90" s="125">
        <v>2.04706118</v>
      </c>
      <c r="H90" s="257">
        <v>0.19434957</v>
      </c>
      <c r="I90" s="111">
        <f t="shared" si="8"/>
        <v>-0.90505922739446409</v>
      </c>
      <c r="J90" s="217">
        <f t="shared" si="10"/>
        <v>6.9309943627618476E-6</v>
      </c>
    </row>
    <row r="91" spans="2:10" x14ac:dyDescent="0.25">
      <c r="C91" s="74" t="s">
        <v>83</v>
      </c>
      <c r="D91" s="138">
        <f>SUM(D92:D97)</f>
        <v>22.705434200000003</v>
      </c>
      <c r="E91" s="98">
        <f>SUM(E92:E97)</f>
        <v>26.207848000000002</v>
      </c>
      <c r="F91" s="108">
        <f t="shared" ref="F91:F96" si="11">(E91-D91)/D91</f>
        <v>0.15425442954092455</v>
      </c>
      <c r="G91" s="107">
        <f>SUM(G92:G97)</f>
        <v>265.34277629999997</v>
      </c>
      <c r="H91" s="98">
        <f>SUM(H92:H97)</f>
        <v>283.76478187999999</v>
      </c>
      <c r="I91" s="108">
        <f t="shared" ref="I91:I97" si="12">(H91-G91)/G91</f>
        <v>6.9427198421907893E-2</v>
      </c>
      <c r="J91" s="109">
        <f>SUM(J92:J97)</f>
        <v>1</v>
      </c>
    </row>
    <row r="92" spans="2:10" x14ac:dyDescent="0.25">
      <c r="B92" s="194"/>
      <c r="C92" s="224" t="s">
        <v>57</v>
      </c>
      <c r="D92" s="133">
        <v>14.848710000000001</v>
      </c>
      <c r="E92" s="139">
        <v>19.649422999999999</v>
      </c>
      <c r="F92" s="111">
        <f t="shared" si="11"/>
        <v>0.32330842207841609</v>
      </c>
      <c r="G92" s="132">
        <v>164.95844199999999</v>
      </c>
      <c r="H92" s="133">
        <v>207.42068599999999</v>
      </c>
      <c r="I92" s="111">
        <f t="shared" si="12"/>
        <v>0.25741176677699223</v>
      </c>
      <c r="J92" s="112">
        <f>(H92/$H$91)</f>
        <v>0.73095993317350849</v>
      </c>
    </row>
    <row r="93" spans="2:10" x14ac:dyDescent="0.25">
      <c r="B93" s="194"/>
      <c r="C93" s="226" t="s">
        <v>84</v>
      </c>
      <c r="D93" s="133">
        <v>5.8234539999999999</v>
      </c>
      <c r="E93" s="133">
        <v>5.097855</v>
      </c>
      <c r="F93" s="111">
        <f t="shared" si="11"/>
        <v>-0.12459942158038853</v>
      </c>
      <c r="G93" s="135">
        <v>72.127334000000005</v>
      </c>
      <c r="H93" s="133">
        <v>51.940021800000004</v>
      </c>
      <c r="I93" s="111">
        <f t="shared" si="12"/>
        <v>-0.27988435285851548</v>
      </c>
      <c r="J93" s="114">
        <f t="shared" ref="J93:J97" si="13">(H93/$H$91)</f>
        <v>0.18303899961047557</v>
      </c>
    </row>
    <row r="94" spans="2:10" x14ac:dyDescent="0.25">
      <c r="B94" s="194"/>
      <c r="C94" s="226" t="s">
        <v>85</v>
      </c>
      <c r="D94" s="133">
        <v>1.6353899999999999</v>
      </c>
      <c r="E94" s="133">
        <v>1.0653600000000001</v>
      </c>
      <c r="F94" s="111">
        <f t="shared" si="11"/>
        <v>-0.34855905930695419</v>
      </c>
      <c r="G94" s="135">
        <v>24.848565000000004</v>
      </c>
      <c r="H94" s="133">
        <v>19.443655</v>
      </c>
      <c r="I94" s="111">
        <f t="shared" si="12"/>
        <v>-0.2175139691165266</v>
      </c>
      <c r="J94" s="114">
        <f t="shared" si="13"/>
        <v>6.8520324725224152E-2</v>
      </c>
    </row>
    <row r="95" spans="2:10" x14ac:dyDescent="0.25">
      <c r="B95" s="194"/>
      <c r="C95" s="226" t="s">
        <v>70</v>
      </c>
      <c r="D95" s="143">
        <v>0</v>
      </c>
      <c r="E95" s="136">
        <v>0.30880999999999997</v>
      </c>
      <c r="F95" s="111" t="s">
        <v>79</v>
      </c>
      <c r="G95" s="188">
        <v>0.93070399999999998</v>
      </c>
      <c r="H95" s="133">
        <v>3.7767220000000004</v>
      </c>
      <c r="I95" s="111">
        <f t="shared" si="12"/>
        <v>3.057919596348571</v>
      </c>
      <c r="J95" s="114">
        <f t="shared" si="13"/>
        <v>1.3309340133678469E-2</v>
      </c>
    </row>
    <row r="96" spans="2:10" x14ac:dyDescent="0.25">
      <c r="B96" s="194"/>
      <c r="C96" s="226" t="s">
        <v>80</v>
      </c>
      <c r="D96" s="136">
        <v>0.16500000000000001</v>
      </c>
      <c r="E96" s="136">
        <v>8.6400000000000005E-2</v>
      </c>
      <c r="F96" s="111">
        <f t="shared" si="11"/>
        <v>-0.47636363636363638</v>
      </c>
      <c r="G96" s="135">
        <v>1.6304999999999998</v>
      </c>
      <c r="H96" s="136">
        <v>0.94894000000000012</v>
      </c>
      <c r="I96" s="111">
        <f t="shared" si="12"/>
        <v>-0.41800674639681068</v>
      </c>
      <c r="J96" s="114">
        <f t="shared" si="13"/>
        <v>3.3441077279325422E-3</v>
      </c>
    </row>
    <row r="97" spans="2:10" x14ac:dyDescent="0.25">
      <c r="B97" s="194"/>
      <c r="C97" s="226" t="s">
        <v>82</v>
      </c>
      <c r="D97" s="190">
        <v>0.23288020000000001</v>
      </c>
      <c r="E97" s="143">
        <v>0</v>
      </c>
      <c r="F97" s="111" t="s">
        <v>45</v>
      </c>
      <c r="G97" s="189">
        <v>0.84723129999999991</v>
      </c>
      <c r="H97" s="258">
        <v>0.23475708000000001</v>
      </c>
      <c r="I97" s="111">
        <f t="shared" si="12"/>
        <v>-0.72291264498844654</v>
      </c>
      <c r="J97" s="114">
        <f t="shared" si="13"/>
        <v>8.2729462918085229E-4</v>
      </c>
    </row>
    <row r="98" spans="2:10" x14ac:dyDescent="0.25">
      <c r="B98" s="194"/>
      <c r="C98" s="74" t="s">
        <v>86</v>
      </c>
      <c r="D98" s="98">
        <f>SUM(D99:D101)</f>
        <v>28.019353000000002</v>
      </c>
      <c r="E98" s="98">
        <f>SUM(E99:E101)</f>
        <v>23.648885</v>
      </c>
      <c r="F98" s="108">
        <f t="shared" ref="F98:F101" si="14">(E98-D98)/D98</f>
        <v>-0.15598033259368987</v>
      </c>
      <c r="G98" s="107">
        <f>SUM(G99:G101)</f>
        <v>317.31784799999997</v>
      </c>
      <c r="H98" s="98">
        <f>SUM(H99:H101)</f>
        <v>311.762111</v>
      </c>
      <c r="I98" s="108">
        <f t="shared" ref="I98:I107" si="15">(H98-G98)/G98</f>
        <v>-1.7508428961739226E-2</v>
      </c>
      <c r="J98" s="109">
        <f>SUM(J99:J101)</f>
        <v>1</v>
      </c>
    </row>
    <row r="99" spans="2:10" x14ac:dyDescent="0.25">
      <c r="B99" s="194"/>
      <c r="C99" s="226" t="s">
        <v>69</v>
      </c>
      <c r="D99" s="139">
        <v>17.374666000000001</v>
      </c>
      <c r="E99" s="139">
        <v>13.656485</v>
      </c>
      <c r="F99" s="110">
        <f t="shared" si="14"/>
        <v>-0.21400014250633659</v>
      </c>
      <c r="G99" s="99">
        <v>188.57856299999995</v>
      </c>
      <c r="H99" s="100">
        <v>179.669387</v>
      </c>
      <c r="I99" s="110">
        <f t="shared" si="15"/>
        <v>-4.7243842875183795E-2</v>
      </c>
      <c r="J99" s="112">
        <f>(H99/$H$98)</f>
        <v>0.57630283046165287</v>
      </c>
    </row>
    <row r="100" spans="2:10" x14ac:dyDescent="0.25">
      <c r="B100" s="194"/>
      <c r="C100" s="226" t="s">
        <v>70</v>
      </c>
      <c r="D100" s="133">
        <v>7.3186499999999999</v>
      </c>
      <c r="E100" s="133">
        <v>5.4834899999999998</v>
      </c>
      <c r="F100" s="113">
        <f t="shared" si="14"/>
        <v>-0.2507511631243467</v>
      </c>
      <c r="G100" s="101">
        <v>80.998380000000012</v>
      </c>
      <c r="H100" s="102">
        <v>78.794609999999992</v>
      </c>
      <c r="I100" s="113">
        <f t="shared" si="15"/>
        <v>-2.7207581188661054E-2</v>
      </c>
      <c r="J100" s="114">
        <f t="shared" ref="J100:J101" si="16">(H100/$H$98)</f>
        <v>0.25273953190546616</v>
      </c>
    </row>
    <row r="101" spans="2:10" x14ac:dyDescent="0.25">
      <c r="B101" s="194"/>
      <c r="C101" s="226" t="s">
        <v>84</v>
      </c>
      <c r="D101" s="197">
        <v>3.3260369999999999</v>
      </c>
      <c r="E101" s="197">
        <v>4.5089100000000002</v>
      </c>
      <c r="F101" s="115">
        <f t="shared" si="14"/>
        <v>0.35564036118660147</v>
      </c>
      <c r="G101" s="125">
        <v>47.740904999999998</v>
      </c>
      <c r="H101" s="126">
        <v>53.298113999999998</v>
      </c>
      <c r="I101" s="115">
        <f t="shared" si="15"/>
        <v>0.1164035118312064</v>
      </c>
      <c r="J101" s="116">
        <f t="shared" si="16"/>
        <v>0.17095763763288091</v>
      </c>
    </row>
    <row r="102" spans="2:10" x14ac:dyDescent="0.25">
      <c r="B102" s="194"/>
      <c r="C102" s="74" t="s">
        <v>87</v>
      </c>
      <c r="D102" s="98">
        <f>SUM(D103:D106)</f>
        <v>5339.3882457999998</v>
      </c>
      <c r="E102" s="98">
        <f>SUM(E103:E106)</f>
        <v>2274.5649870000007</v>
      </c>
      <c r="F102" s="108">
        <f t="shared" ref="F102:F107" si="17">(E102-D102)/D102</f>
        <v>-0.57400269800773729</v>
      </c>
      <c r="G102" s="107">
        <f>SUM(G103:G106)</f>
        <v>24159.249493900003</v>
      </c>
      <c r="H102" s="98">
        <f>SUM(H103:H106)</f>
        <v>37327.145479799998</v>
      </c>
      <c r="I102" s="108">
        <f t="shared" si="15"/>
        <v>0.54504573866107775</v>
      </c>
      <c r="J102" s="109">
        <f>SUM(J103:J106)</f>
        <v>1.0000000000000002</v>
      </c>
    </row>
    <row r="103" spans="2:10" x14ac:dyDescent="0.25">
      <c r="C103" s="226" t="s">
        <v>63</v>
      </c>
      <c r="D103" s="118">
        <v>5242.2884875999998</v>
      </c>
      <c r="E103" s="119">
        <v>2201.2572460000006</v>
      </c>
      <c r="F103" s="110">
        <f t="shared" si="17"/>
        <v>-0.5800961257269972</v>
      </c>
      <c r="G103" s="99">
        <v>23002.5878299</v>
      </c>
      <c r="H103" s="100">
        <v>36307.099937800005</v>
      </c>
      <c r="I103" s="110">
        <f t="shared" si="15"/>
        <v>0.57839197077670046</v>
      </c>
      <c r="J103" s="112">
        <f>(H103/$H$102)</f>
        <v>0.97267282218105855</v>
      </c>
    </row>
    <row r="104" spans="2:10" x14ac:dyDescent="0.25">
      <c r="C104" s="226" t="s">
        <v>69</v>
      </c>
      <c r="D104" s="103">
        <v>85.080218000000002</v>
      </c>
      <c r="E104" s="104">
        <v>63.315340999999997</v>
      </c>
      <c r="F104" s="113">
        <f t="shared" si="17"/>
        <v>-0.25581595242268895</v>
      </c>
      <c r="G104" s="101">
        <v>995.16738500000019</v>
      </c>
      <c r="H104" s="102">
        <v>887.40402999999992</v>
      </c>
      <c r="I104" s="113">
        <f t="shared" si="15"/>
        <v>-0.10828666275070928</v>
      </c>
      <c r="J104" s="114">
        <f t="shared" ref="J104:J106" si="18">(H104/$H$102)</f>
        <v>2.3773691199618481E-2</v>
      </c>
    </row>
    <row r="105" spans="2:10" x14ac:dyDescent="0.25">
      <c r="C105" s="226" t="s">
        <v>70</v>
      </c>
      <c r="D105" s="103">
        <v>7.8065600000000002</v>
      </c>
      <c r="E105" s="104">
        <v>5.4834899999999998</v>
      </c>
      <c r="F105" s="113">
        <f t="shared" si="17"/>
        <v>-0.29757921542907506</v>
      </c>
      <c r="G105" s="101">
        <v>85.381675000000016</v>
      </c>
      <c r="H105" s="102">
        <v>80.215346999999994</v>
      </c>
      <c r="I105" s="113">
        <f t="shared" si="15"/>
        <v>-6.0508627875946686E-2</v>
      </c>
      <c r="J105" s="114">
        <f t="shared" si="18"/>
        <v>2.148981551332647E-3</v>
      </c>
    </row>
    <row r="106" spans="2:10" x14ac:dyDescent="0.25">
      <c r="C106" s="226" t="s">
        <v>84</v>
      </c>
      <c r="D106" s="105">
        <v>4.2129801999999996</v>
      </c>
      <c r="E106" s="106">
        <v>4.5089100000000002</v>
      </c>
      <c r="F106" s="115">
        <f t="shared" si="17"/>
        <v>7.0242390410474892E-2</v>
      </c>
      <c r="G106" s="125">
        <v>76.112604000000005</v>
      </c>
      <c r="H106" s="126">
        <v>52.426164999999997</v>
      </c>
      <c r="I106" s="115">
        <f t="shared" si="15"/>
        <v>-0.3112025834775014</v>
      </c>
      <c r="J106" s="116">
        <f t="shared" si="18"/>
        <v>1.4045050679905595E-3</v>
      </c>
    </row>
    <row r="107" spans="2:10" x14ac:dyDescent="0.25">
      <c r="C107" s="77" t="s">
        <v>88</v>
      </c>
      <c r="D107" s="107">
        <f>SUM(D108:D108)</f>
        <v>2.2173579999999999</v>
      </c>
      <c r="E107" s="98">
        <f>SUM(E108:E108)</f>
        <v>3.0059399999999998</v>
      </c>
      <c r="F107" s="108">
        <f t="shared" si="17"/>
        <v>0.35564036118660131</v>
      </c>
      <c r="G107" s="107">
        <f>SUM(G108:G108)</f>
        <v>40.573911600000002</v>
      </c>
      <c r="H107" s="98">
        <f>SUM(H108:H108)</f>
        <v>35.532075999999996</v>
      </c>
      <c r="I107" s="108">
        <f t="shared" si="15"/>
        <v>-0.12426299070459861</v>
      </c>
      <c r="J107" s="109">
        <f>SUM(J108:J108)</f>
        <v>1</v>
      </c>
    </row>
    <row r="108" spans="2:10" x14ac:dyDescent="0.25">
      <c r="C108" s="226" t="s">
        <v>84</v>
      </c>
      <c r="D108" s="118">
        <v>2.2173579999999999</v>
      </c>
      <c r="E108" s="119">
        <v>3.0059399999999998</v>
      </c>
      <c r="F108" s="110">
        <f>(E108-D108)/D108</f>
        <v>0.35564036118660131</v>
      </c>
      <c r="G108" s="99">
        <v>40.573911600000002</v>
      </c>
      <c r="H108" s="100">
        <v>35.532075999999996</v>
      </c>
      <c r="I108" s="110">
        <f>(H108-G108)/G108</f>
        <v>-0.12426299070459861</v>
      </c>
      <c r="J108" s="112">
        <f>H108/H107</f>
        <v>1</v>
      </c>
    </row>
    <row r="109" spans="2:10" ht="98.25" customHeight="1" x14ac:dyDescent="0.25">
      <c r="C109" s="280" t="s">
        <v>135</v>
      </c>
      <c r="D109" s="281"/>
      <c r="E109" s="281"/>
      <c r="F109" s="281"/>
      <c r="G109" s="281"/>
      <c r="H109" s="281"/>
      <c r="I109" s="281"/>
      <c r="J109" s="282"/>
    </row>
  </sheetData>
  <mergeCells count="5">
    <mergeCell ref="C3:J3"/>
    <mergeCell ref="B4:K4"/>
    <mergeCell ref="D8:F8"/>
    <mergeCell ref="G8:J8"/>
    <mergeCell ref="C109:J109"/>
  </mergeCells>
  <printOptions horizontalCentered="1" verticalCentered="1"/>
  <pageMargins left="0" right="0" top="0" bottom="0" header="0.31496062992125984" footer="0.31496062992125984"/>
  <pageSetup paperSize="9" scale="47" orientation="portrait" r:id="rId1"/>
  <ignoredErrors>
    <ignoredError sqref="F11 I11:I68 F76:F79 F81:F86 I76:I89 F96:F107 F91:F92 I70:I75 F23:F75 I91:I96 I98:I10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1:S125"/>
  <sheetViews>
    <sheetView showGridLines="0" view="pageBreakPreview" zoomScaleNormal="100" zoomScaleSheetLayoutView="100" zoomScalePageLayoutView="70" workbookViewId="0">
      <selection activeCell="C3" sqref="C3:J3"/>
    </sheetView>
  </sheetViews>
  <sheetFormatPr baseColWidth="10" defaultColWidth="11.42578125" defaultRowHeight="15" x14ac:dyDescent="0.25"/>
  <cols>
    <col min="1" max="2" width="3.28515625" style="59" customWidth="1"/>
    <col min="3" max="3" width="48.85546875" style="59" customWidth="1"/>
    <col min="4" max="4" width="14.7109375" style="59" customWidth="1"/>
    <col min="5" max="5" width="13" style="59" customWidth="1"/>
    <col min="6" max="6" width="11.140625" style="94" customWidth="1"/>
    <col min="7" max="7" width="12.42578125" style="62" customWidth="1"/>
    <col min="8" max="8" width="12.5703125" style="59" customWidth="1"/>
    <col min="9" max="9" width="9.7109375" style="62" customWidth="1"/>
    <col min="10" max="10" width="9.85546875" style="62" customWidth="1"/>
    <col min="11" max="11" width="3.28515625" style="59" customWidth="1"/>
    <col min="12" max="12" width="15.42578125" style="59" customWidth="1"/>
    <col min="13" max="16384" width="11.42578125" style="59"/>
  </cols>
  <sheetData>
    <row r="1" spans="3:19" ht="10.5" customHeight="1" x14ac:dyDescent="0.25">
      <c r="F1" s="62"/>
      <c r="H1" s="61"/>
    </row>
    <row r="2" spans="3:19" ht="10.5" customHeight="1" x14ac:dyDescent="0.25">
      <c r="F2" s="62"/>
      <c r="H2" s="61"/>
    </row>
    <row r="3" spans="3:19" ht="15.75" x14ac:dyDescent="0.25">
      <c r="C3" s="266" t="s">
        <v>0</v>
      </c>
      <c r="D3" s="266"/>
      <c r="E3" s="266"/>
      <c r="F3" s="266"/>
      <c r="G3" s="266"/>
      <c r="H3" s="266"/>
      <c r="I3" s="266"/>
      <c r="J3" s="266"/>
      <c r="K3" s="1"/>
      <c r="L3" s="1"/>
      <c r="M3" s="4"/>
      <c r="N3" s="4"/>
      <c r="O3" s="4"/>
      <c r="P3" s="4"/>
      <c r="Q3" s="4"/>
      <c r="R3" s="4"/>
      <c r="S3" s="4"/>
    </row>
    <row r="4" spans="3:19" ht="15.75" x14ac:dyDescent="0.25">
      <c r="C4" s="267" t="s">
        <v>1</v>
      </c>
      <c r="D4" s="267"/>
      <c r="E4" s="267"/>
      <c r="F4" s="267"/>
      <c r="G4" s="267"/>
      <c r="H4" s="267"/>
      <c r="I4" s="267"/>
      <c r="J4" s="267"/>
      <c r="K4" s="78"/>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79" t="s">
        <v>89</v>
      </c>
      <c r="D6" s="51"/>
      <c r="E6" s="51"/>
      <c r="F6" s="80"/>
    </row>
    <row r="7" spans="3:19" x14ac:dyDescent="0.25">
      <c r="C7" s="81" t="s">
        <v>90</v>
      </c>
      <c r="D7" s="82"/>
      <c r="E7" s="82"/>
      <c r="F7" s="80"/>
    </row>
    <row r="8" spans="3:19" ht="26.25" customHeight="1" x14ac:dyDescent="0.25">
      <c r="C8" s="83"/>
      <c r="D8" s="283" t="s">
        <v>152</v>
      </c>
      <c r="E8" s="284"/>
      <c r="F8" s="284"/>
      <c r="G8" s="277" t="s">
        <v>153</v>
      </c>
      <c r="H8" s="278"/>
      <c r="I8" s="278"/>
      <c r="J8" s="279"/>
    </row>
    <row r="9" spans="3:19" ht="24" x14ac:dyDescent="0.25">
      <c r="C9" s="84" t="s">
        <v>91</v>
      </c>
      <c r="D9" s="97">
        <v>2024</v>
      </c>
      <c r="E9" s="96">
        <v>2025</v>
      </c>
      <c r="F9" s="108" t="s">
        <v>26</v>
      </c>
      <c r="G9" s="96">
        <v>2024</v>
      </c>
      <c r="H9" s="96">
        <v>2025</v>
      </c>
      <c r="I9" s="168" t="s">
        <v>26</v>
      </c>
      <c r="J9" s="141" t="s">
        <v>32</v>
      </c>
    </row>
    <row r="10" spans="3:19" ht="4.5" customHeight="1" x14ac:dyDescent="0.25">
      <c r="D10" s="236"/>
      <c r="E10" s="236"/>
      <c r="F10" s="62"/>
      <c r="H10" s="236"/>
    </row>
    <row r="11" spans="3:19" x14ac:dyDescent="0.25">
      <c r="C11" s="85" t="s">
        <v>92</v>
      </c>
      <c r="D11" s="144">
        <f>+SUM(D12:D26)</f>
        <v>262479.66843259108</v>
      </c>
      <c r="E11" s="144">
        <f>+SUM(E12:E26)</f>
        <v>256646.82704924099</v>
      </c>
      <c r="F11" s="169">
        <f>(E11-D11)/D11</f>
        <v>-2.2222069306095788E-2</v>
      </c>
      <c r="G11" s="148">
        <f>+SUM(G12:G26)</f>
        <v>2736237.1072517242</v>
      </c>
      <c r="H11" s="144">
        <f>+SUM(H12:H26)</f>
        <v>2769793.7213370209</v>
      </c>
      <c r="I11" s="172">
        <f>(H11-G11)/G11</f>
        <v>1.2263781525498311E-2</v>
      </c>
      <c r="J11" s="172">
        <f>SUM(J12:J26)</f>
        <v>1</v>
      </c>
    </row>
    <row r="12" spans="3:19" x14ac:dyDescent="0.25">
      <c r="C12" s="86" t="s">
        <v>93</v>
      </c>
      <c r="D12" s="145">
        <v>46285.479823464004</v>
      </c>
      <c r="E12" s="145">
        <v>35235.579175420004</v>
      </c>
      <c r="F12" s="170">
        <f t="shared" ref="F12:F78" si="0">+E12/D12-1</f>
        <v>-0.23873363072369735</v>
      </c>
      <c r="G12" s="154">
        <v>475929.95233204419</v>
      </c>
      <c r="H12" s="145">
        <v>476829.41485744331</v>
      </c>
      <c r="I12" s="174">
        <f t="shared" ref="I12:I79" si="1">+H12/G12-1</f>
        <v>1.8899052707057606E-3</v>
      </c>
      <c r="J12" s="174">
        <f t="shared" ref="J12:J26" si="2">(H12/$H$11)</f>
        <v>0.17215340304377275</v>
      </c>
    </row>
    <row r="13" spans="3:19" x14ac:dyDescent="0.25">
      <c r="C13" s="86" t="s">
        <v>95</v>
      </c>
      <c r="D13" s="145">
        <v>39260.208007000001</v>
      </c>
      <c r="E13" s="145">
        <v>34520.219247600005</v>
      </c>
      <c r="F13" s="170">
        <f t="shared" si="0"/>
        <v>-0.12073264508824988</v>
      </c>
      <c r="G13" s="154">
        <v>453836.33623411</v>
      </c>
      <c r="H13" s="145">
        <v>411681.99520340009</v>
      </c>
      <c r="I13" s="174">
        <f t="shared" si="1"/>
        <v>-9.2884455617861184E-2</v>
      </c>
      <c r="J13" s="174">
        <f t="shared" si="2"/>
        <v>0.14863272742371408</v>
      </c>
    </row>
    <row r="14" spans="3:19" x14ac:dyDescent="0.25">
      <c r="C14" s="86" t="s">
        <v>94</v>
      </c>
      <c r="D14" s="145">
        <v>30611.834989999999</v>
      </c>
      <c r="E14" s="145">
        <v>31743.453924000001</v>
      </c>
      <c r="F14" s="170">
        <f t="shared" si="0"/>
        <v>3.6966713507036397E-2</v>
      </c>
      <c r="G14" s="154">
        <v>322236.45713199995</v>
      </c>
      <c r="H14" s="145">
        <v>411003.99804500001</v>
      </c>
      <c r="I14" s="174">
        <f t="shared" si="1"/>
        <v>0.27547330213054577</v>
      </c>
      <c r="J14" s="174">
        <f t="shared" si="2"/>
        <v>0.148387944877932</v>
      </c>
    </row>
    <row r="15" spans="3:19" x14ac:dyDescent="0.25">
      <c r="C15" s="87" t="s">
        <v>96</v>
      </c>
      <c r="D15" s="146">
        <v>36862.243260959993</v>
      </c>
      <c r="E15" s="146">
        <v>52190.436669299997</v>
      </c>
      <c r="F15" s="170">
        <f t="shared" si="0"/>
        <v>0.41582367355743011</v>
      </c>
      <c r="G15" s="154">
        <v>443686.12390072993</v>
      </c>
      <c r="H15" s="145">
        <v>405656.00707621005</v>
      </c>
      <c r="I15" s="174">
        <f t="shared" si="1"/>
        <v>-8.5714009918030909E-2</v>
      </c>
      <c r="J15" s="174">
        <f t="shared" si="2"/>
        <v>0.14645711843132991</v>
      </c>
    </row>
    <row r="16" spans="3:19" x14ac:dyDescent="0.25">
      <c r="C16" s="88" t="s">
        <v>98</v>
      </c>
      <c r="D16" s="146">
        <v>30096.698649199003</v>
      </c>
      <c r="E16" s="146">
        <v>27637.79355817</v>
      </c>
      <c r="F16" s="170">
        <f t="shared" si="0"/>
        <v>-8.170015986435919E-2</v>
      </c>
      <c r="G16" s="154">
        <v>211200.39668447102</v>
      </c>
      <c r="H16" s="145">
        <v>253939.63120852801</v>
      </c>
      <c r="I16" s="174">
        <f t="shared" si="1"/>
        <v>0.20236341974257033</v>
      </c>
      <c r="J16" s="174">
        <f t="shared" si="2"/>
        <v>9.1681784550348228E-2</v>
      </c>
    </row>
    <row r="17" spans="3:10" x14ac:dyDescent="0.25">
      <c r="C17" s="88" t="s">
        <v>97</v>
      </c>
      <c r="D17" s="146">
        <v>21031.010680307998</v>
      </c>
      <c r="E17" s="146">
        <v>20694.837841416</v>
      </c>
      <c r="F17" s="170">
        <f t="shared" si="0"/>
        <v>-1.598462594129002E-2</v>
      </c>
      <c r="G17" s="154">
        <v>245627.15188741899</v>
      </c>
      <c r="H17" s="145">
        <v>244549.63861828504</v>
      </c>
      <c r="I17" s="174">
        <f t="shared" si="1"/>
        <v>-4.3867840377346257E-3</v>
      </c>
      <c r="J17" s="174">
        <f t="shared" si="2"/>
        <v>8.8291643068725445E-2</v>
      </c>
    </row>
    <row r="18" spans="3:10" x14ac:dyDescent="0.25">
      <c r="C18" s="88" t="s">
        <v>100</v>
      </c>
      <c r="D18" s="146">
        <v>25745.91350151</v>
      </c>
      <c r="E18" s="146">
        <v>25743.857438999999</v>
      </c>
      <c r="F18" s="170">
        <f t="shared" si="0"/>
        <v>-7.9859761428990872E-5</v>
      </c>
      <c r="G18" s="154">
        <v>244841.76401570998</v>
      </c>
      <c r="H18" s="145">
        <v>221092.3843646</v>
      </c>
      <c r="I18" s="174">
        <f t="shared" si="1"/>
        <v>-9.6998891290401401E-2</v>
      </c>
      <c r="J18" s="174">
        <f t="shared" si="2"/>
        <v>7.982268956038914E-2</v>
      </c>
    </row>
    <row r="19" spans="3:10" x14ac:dyDescent="0.25">
      <c r="C19" s="88" t="s">
        <v>99</v>
      </c>
      <c r="D19" s="146">
        <v>18044.20349738</v>
      </c>
      <c r="E19" s="146">
        <v>15033.50524837</v>
      </c>
      <c r="F19" s="170">
        <f t="shared" si="0"/>
        <v>-0.16685126885468515</v>
      </c>
      <c r="G19" s="154">
        <v>181016.58370394996</v>
      </c>
      <c r="H19" s="145">
        <v>190669.04004129011</v>
      </c>
      <c r="I19" s="174">
        <f t="shared" si="1"/>
        <v>5.3323602400576764E-2</v>
      </c>
      <c r="J19" s="174">
        <f t="shared" si="2"/>
        <v>6.8838714801205958E-2</v>
      </c>
    </row>
    <row r="20" spans="3:10" x14ac:dyDescent="0.25">
      <c r="C20" s="88" t="s">
        <v>101</v>
      </c>
      <c r="D20" s="146">
        <v>6119.0395854600001</v>
      </c>
      <c r="E20" s="146">
        <v>6243.8499194149999</v>
      </c>
      <c r="F20" s="170">
        <f t="shared" si="0"/>
        <v>2.0397046335763669E-2</v>
      </c>
      <c r="G20" s="154">
        <v>67045.787787231005</v>
      </c>
      <c r="H20" s="145">
        <v>60800.210803295005</v>
      </c>
      <c r="I20" s="174">
        <f t="shared" si="1"/>
        <v>-9.315390556310954E-2</v>
      </c>
      <c r="J20" s="174">
        <f t="shared" si="2"/>
        <v>2.1951169263950038E-2</v>
      </c>
    </row>
    <row r="21" spans="3:10" x14ac:dyDescent="0.25">
      <c r="C21" s="88" t="s">
        <v>102</v>
      </c>
      <c r="D21" s="146">
        <v>4307.4565039600002</v>
      </c>
      <c r="E21" s="146">
        <v>4005.0631853800005</v>
      </c>
      <c r="F21" s="170">
        <f t="shared" si="0"/>
        <v>-7.0202291840207431E-2</v>
      </c>
      <c r="G21" s="154">
        <v>47319.994560239997</v>
      </c>
      <c r="H21" s="145">
        <v>48270.454584813997</v>
      </c>
      <c r="I21" s="174">
        <f t="shared" si="1"/>
        <v>2.0085801644884604E-2</v>
      </c>
      <c r="J21" s="174">
        <f t="shared" si="2"/>
        <v>1.7427454692009747E-2</v>
      </c>
    </row>
    <row r="22" spans="3:10" x14ac:dyDescent="0.25">
      <c r="C22" s="88" t="s">
        <v>103</v>
      </c>
      <c r="D22" s="146">
        <v>2331.4315499999998</v>
      </c>
      <c r="E22" s="146">
        <v>1646.9497349999999</v>
      </c>
      <c r="F22" s="170">
        <f t="shared" si="0"/>
        <v>-0.2935886387056913</v>
      </c>
      <c r="G22" s="154">
        <v>23195.209308000001</v>
      </c>
      <c r="H22" s="145">
        <v>23574.407812000001</v>
      </c>
      <c r="I22" s="174">
        <f t="shared" si="1"/>
        <v>1.6348138918031552E-2</v>
      </c>
      <c r="J22" s="174">
        <f t="shared" si="2"/>
        <v>8.5112503614963361E-3</v>
      </c>
    </row>
    <row r="23" spans="3:10" x14ac:dyDescent="0.25">
      <c r="C23" s="88" t="s">
        <v>104</v>
      </c>
      <c r="D23" s="146">
        <v>1567.85759835</v>
      </c>
      <c r="E23" s="146">
        <v>1712.5377962999999</v>
      </c>
      <c r="F23" s="170">
        <f t="shared" si="0"/>
        <v>9.2278914936063217E-2</v>
      </c>
      <c r="G23" s="154">
        <v>16866.255602008998</v>
      </c>
      <c r="H23" s="145">
        <v>18441.020962464998</v>
      </c>
      <c r="I23" s="174">
        <f t="shared" si="1"/>
        <v>9.3367810711253885E-2</v>
      </c>
      <c r="J23" s="174">
        <f t="shared" si="2"/>
        <v>6.6579040960361626E-3</v>
      </c>
    </row>
    <row r="24" spans="3:10" x14ac:dyDescent="0.25">
      <c r="C24" s="88" t="s">
        <v>105</v>
      </c>
      <c r="D24" s="146">
        <v>179.02444539999999</v>
      </c>
      <c r="E24" s="146">
        <v>193.5249565</v>
      </c>
      <c r="F24" s="170">
        <f t="shared" si="0"/>
        <v>8.0997380372278549E-2</v>
      </c>
      <c r="G24" s="154">
        <v>2134.0256466000001</v>
      </c>
      <c r="H24" s="145">
        <v>1976.20232068</v>
      </c>
      <c r="I24" s="174">
        <f t="shared" si="1"/>
        <v>-7.3955683790140725E-2</v>
      </c>
      <c r="J24" s="174">
        <f t="shared" si="2"/>
        <v>7.1348357296660255E-4</v>
      </c>
    </row>
    <row r="25" spans="3:10" x14ac:dyDescent="0.25">
      <c r="C25" s="88" t="s">
        <v>106</v>
      </c>
      <c r="D25" s="146">
        <v>0</v>
      </c>
      <c r="E25" s="146">
        <v>0</v>
      </c>
      <c r="F25" s="170" t="s">
        <v>45</v>
      </c>
      <c r="G25" s="154">
        <v>915.55997779999996</v>
      </c>
      <c r="H25" s="145">
        <v>795.88156879999997</v>
      </c>
      <c r="I25" s="174">
        <f t="shared" si="1"/>
        <v>-0.13071607748470548</v>
      </c>
      <c r="J25" s="180">
        <f t="shared" si="2"/>
        <v>2.8734326410986881E-4</v>
      </c>
    </row>
    <row r="26" spans="3:10" x14ac:dyDescent="0.25">
      <c r="C26" s="73" t="s">
        <v>107</v>
      </c>
      <c r="D26" s="147">
        <v>37.266339600000002</v>
      </c>
      <c r="E26" s="147">
        <v>45.218353370000003</v>
      </c>
      <c r="F26" s="171">
        <f t="shared" si="0"/>
        <v>0.21338327980030547</v>
      </c>
      <c r="G26" s="161">
        <v>385.50847940999995</v>
      </c>
      <c r="H26" s="162">
        <v>513.43387021000001</v>
      </c>
      <c r="I26" s="175">
        <f t="shared" si="1"/>
        <v>0.33183547867943908</v>
      </c>
      <c r="J26" s="209">
        <f t="shared" si="2"/>
        <v>1.8536899201365716E-4</v>
      </c>
    </row>
    <row r="27" spans="3:10" x14ac:dyDescent="0.25">
      <c r="C27" s="85" t="s">
        <v>108</v>
      </c>
      <c r="D27" s="148">
        <f>+SUM(D28:D44)</f>
        <v>10027815.784007831</v>
      </c>
      <c r="E27" s="144">
        <f>+SUM(E28:E44)</f>
        <v>8909140.5003499668</v>
      </c>
      <c r="F27" s="172">
        <f>+E27/D27-1</f>
        <v>-0.11155722320327277</v>
      </c>
      <c r="G27" s="148">
        <f>+SUM(G28:G44)</f>
        <v>109624691.96159829</v>
      </c>
      <c r="H27" s="144">
        <f>+SUM(H28:H44)</f>
        <v>108906740.08143115</v>
      </c>
      <c r="I27" s="172">
        <f>+H27/G27-1</f>
        <v>-6.5491803654841307E-3</v>
      </c>
      <c r="J27" s="181">
        <f>SUM(J28:J44)</f>
        <v>1</v>
      </c>
    </row>
    <row r="28" spans="3:10" x14ac:dyDescent="0.25">
      <c r="C28" s="89" t="s">
        <v>109</v>
      </c>
      <c r="D28" s="145">
        <v>3115737.1219086605</v>
      </c>
      <c r="E28" s="149">
        <v>2545075.7817919399</v>
      </c>
      <c r="F28" s="170">
        <f t="shared" si="0"/>
        <v>-0.18315452099731089</v>
      </c>
      <c r="G28" s="152">
        <v>35505957.485615999</v>
      </c>
      <c r="H28" s="153">
        <v>30371024.08115821</v>
      </c>
      <c r="I28" s="173">
        <f t="shared" si="1"/>
        <v>-0.14462174147924411</v>
      </c>
      <c r="J28" s="182">
        <f t="shared" ref="J28:J44" si="3">(H28/$H$27)</f>
        <v>0.27887184997410952</v>
      </c>
    </row>
    <row r="29" spans="3:10" x14ac:dyDescent="0.25">
      <c r="C29" s="86" t="s">
        <v>103</v>
      </c>
      <c r="D29" s="145">
        <v>2013605.219425</v>
      </c>
      <c r="E29" s="149">
        <v>1798373.5617469999</v>
      </c>
      <c r="F29" s="170">
        <f t="shared" si="0"/>
        <v>-0.10688870668474981</v>
      </c>
      <c r="G29" s="154">
        <v>20129524.245409001</v>
      </c>
      <c r="H29" s="145">
        <v>25992221.519501999</v>
      </c>
      <c r="I29" s="174">
        <f t="shared" si="1"/>
        <v>0.29124867545889077</v>
      </c>
      <c r="J29" s="183">
        <f t="shared" si="3"/>
        <v>0.23866494856119316</v>
      </c>
    </row>
    <row r="30" spans="3:10" x14ac:dyDescent="0.25">
      <c r="C30" s="86" t="s">
        <v>95</v>
      </c>
      <c r="D30" s="145">
        <v>1976909.9193885678</v>
      </c>
      <c r="E30" s="149">
        <v>1988846.5768653783</v>
      </c>
      <c r="F30" s="170">
        <f t="shared" si="0"/>
        <v>6.0380381320066512E-3</v>
      </c>
      <c r="G30" s="154">
        <v>23171680.846050557</v>
      </c>
      <c r="H30" s="146">
        <v>23441271.63805151</v>
      </c>
      <c r="I30" s="174">
        <f t="shared" si="1"/>
        <v>1.1634494441386423E-2</v>
      </c>
      <c r="J30" s="183">
        <f t="shared" si="3"/>
        <v>0.21524169780974189</v>
      </c>
    </row>
    <row r="31" spans="3:10" x14ac:dyDescent="0.25">
      <c r="C31" s="86" t="s">
        <v>107</v>
      </c>
      <c r="D31" s="146">
        <v>714817.72106184799</v>
      </c>
      <c r="E31" s="150">
        <v>771350.37273223896</v>
      </c>
      <c r="F31" s="170">
        <f t="shared" si="0"/>
        <v>7.9086807733883324E-2</v>
      </c>
      <c r="G31" s="154">
        <v>8674838.9336847477</v>
      </c>
      <c r="H31" s="145">
        <v>8541190.912104819</v>
      </c>
      <c r="I31" s="174">
        <f t="shared" si="1"/>
        <v>-1.5406398043999237E-2</v>
      </c>
      <c r="J31" s="183">
        <f t="shared" si="3"/>
        <v>7.8426651148665788E-2</v>
      </c>
    </row>
    <row r="32" spans="3:10" x14ac:dyDescent="0.25">
      <c r="C32" s="86" t="s">
        <v>102</v>
      </c>
      <c r="D32" s="146">
        <v>528955.32547056105</v>
      </c>
      <c r="E32" s="150">
        <v>400409.06715854205</v>
      </c>
      <c r="F32" s="170">
        <f t="shared" si="0"/>
        <v>-0.24301912112835555</v>
      </c>
      <c r="G32" s="154">
        <v>4607432.9574718373</v>
      </c>
      <c r="H32" s="146">
        <v>4885572.9650892457</v>
      </c>
      <c r="I32" s="174">
        <f t="shared" si="1"/>
        <v>6.0367673319337456E-2</v>
      </c>
      <c r="J32" s="183">
        <f t="shared" si="3"/>
        <v>4.4860152470234914E-2</v>
      </c>
    </row>
    <row r="33" spans="3:10" x14ac:dyDescent="0.25">
      <c r="C33" s="86" t="s">
        <v>100</v>
      </c>
      <c r="D33" s="146">
        <v>576202.35916500003</v>
      </c>
      <c r="E33" s="150">
        <v>478045.85739800002</v>
      </c>
      <c r="F33" s="170">
        <f t="shared" si="0"/>
        <v>-0.17035074606296796</v>
      </c>
      <c r="G33" s="154">
        <v>5570001.1139819995</v>
      </c>
      <c r="H33" s="145">
        <v>3861071.6776939998</v>
      </c>
      <c r="I33" s="174">
        <f t="shared" si="1"/>
        <v>-0.30680953222759488</v>
      </c>
      <c r="J33" s="183">
        <f t="shared" si="3"/>
        <v>3.5453009380383808E-2</v>
      </c>
    </row>
    <row r="34" spans="3:10" x14ac:dyDescent="0.25">
      <c r="C34" s="86" t="s">
        <v>106</v>
      </c>
      <c r="D34" s="146">
        <v>251359.40555498682</v>
      </c>
      <c r="E34" s="150">
        <v>212054.36485498719</v>
      </c>
      <c r="F34" s="170">
        <f t="shared" si="0"/>
        <v>-0.15636988245264349</v>
      </c>
      <c r="G34" s="154">
        <v>3539664.3305342863</v>
      </c>
      <c r="H34" s="145">
        <v>2824463.2891254146</v>
      </c>
      <c r="I34" s="174">
        <f t="shared" si="1"/>
        <v>-0.20205335156763793</v>
      </c>
      <c r="J34" s="183">
        <f t="shared" si="3"/>
        <v>2.5934696851760711E-2</v>
      </c>
    </row>
    <row r="35" spans="3:10" x14ac:dyDescent="0.25">
      <c r="C35" s="86" t="s">
        <v>94</v>
      </c>
      <c r="D35" s="146">
        <v>200300.502622</v>
      </c>
      <c r="E35" s="150">
        <v>226761.77160000001</v>
      </c>
      <c r="F35" s="170">
        <f t="shared" si="0"/>
        <v>0.13210785111177059</v>
      </c>
      <c r="G35" s="154">
        <v>1926995.32532752</v>
      </c>
      <c r="H35" s="145">
        <v>2686837.5949812504</v>
      </c>
      <c r="I35" s="174">
        <f t="shared" si="1"/>
        <v>0.39431453707578901</v>
      </c>
      <c r="J35" s="183">
        <f t="shared" si="3"/>
        <v>2.46709945864899E-2</v>
      </c>
    </row>
    <row r="36" spans="3:10" x14ac:dyDescent="0.25">
      <c r="C36" s="86" t="s">
        <v>101</v>
      </c>
      <c r="D36" s="146">
        <v>163264.75627369998</v>
      </c>
      <c r="E36" s="150">
        <v>157726.01594739998</v>
      </c>
      <c r="F36" s="170">
        <f t="shared" si="0"/>
        <v>-3.3924898751661714E-2</v>
      </c>
      <c r="G36" s="154">
        <v>1547225.7233640996</v>
      </c>
      <c r="H36" s="145">
        <v>1690599.980019009</v>
      </c>
      <c r="I36" s="174">
        <f t="shared" si="1"/>
        <v>9.2665378095688533E-2</v>
      </c>
      <c r="J36" s="183">
        <f t="shared" si="3"/>
        <v>1.552337328943023E-2</v>
      </c>
    </row>
    <row r="37" spans="3:10" x14ac:dyDescent="0.25">
      <c r="C37" s="86" t="s">
        <v>97</v>
      </c>
      <c r="D37" s="146">
        <v>147445.84950000001</v>
      </c>
      <c r="E37" s="150">
        <v>113310.414346701</v>
      </c>
      <c r="F37" s="170">
        <f t="shared" si="0"/>
        <v>-0.23151167204132805</v>
      </c>
      <c r="G37" s="154">
        <v>1873502.2713310625</v>
      </c>
      <c r="H37" s="145">
        <v>1648516.9995785377</v>
      </c>
      <c r="I37" s="174">
        <f t="shared" si="1"/>
        <v>-0.1200880699187411</v>
      </c>
      <c r="J37" s="183">
        <f t="shared" si="3"/>
        <v>1.5136960286809775E-2</v>
      </c>
    </row>
    <row r="38" spans="3:10" x14ac:dyDescent="0.25">
      <c r="C38" s="86" t="s">
        <v>110</v>
      </c>
      <c r="D38" s="146">
        <v>95205.16248363565</v>
      </c>
      <c r="E38" s="150">
        <v>109643.38246098519</v>
      </c>
      <c r="F38" s="170">
        <f t="shared" si="0"/>
        <v>0.15165375070738674</v>
      </c>
      <c r="G38" s="154">
        <v>1230459.7245988501</v>
      </c>
      <c r="H38" s="145">
        <v>1290918.9659729239</v>
      </c>
      <c r="I38" s="174">
        <f t="shared" si="1"/>
        <v>4.9135489902998986E-2</v>
      </c>
      <c r="J38" s="183">
        <f t="shared" si="3"/>
        <v>1.1853435012449046E-2</v>
      </c>
    </row>
    <row r="39" spans="3:10" x14ac:dyDescent="0.25">
      <c r="C39" s="86" t="s">
        <v>104</v>
      </c>
      <c r="D39" s="146">
        <v>45878.102479499998</v>
      </c>
      <c r="E39" s="150">
        <v>24697.047849999999</v>
      </c>
      <c r="F39" s="170">
        <f t="shared" si="0"/>
        <v>-0.46168113947093747</v>
      </c>
      <c r="G39" s="154">
        <v>660670.01868158998</v>
      </c>
      <c r="H39" s="145">
        <v>544549.59558985301</v>
      </c>
      <c r="I39" s="174">
        <f t="shared" si="1"/>
        <v>-0.17576160535249175</v>
      </c>
      <c r="J39" s="184">
        <f t="shared" si="3"/>
        <v>5.0001459522402867E-3</v>
      </c>
    </row>
    <row r="40" spans="3:10" x14ac:dyDescent="0.25">
      <c r="C40" s="86" t="s">
        <v>99</v>
      </c>
      <c r="D40" s="146">
        <v>47913.913460000003</v>
      </c>
      <c r="E40" s="150">
        <v>45899.224349999997</v>
      </c>
      <c r="F40" s="170">
        <f t="shared" si="0"/>
        <v>-4.2048101783252023E-2</v>
      </c>
      <c r="G40" s="154">
        <v>501974.81869000004</v>
      </c>
      <c r="H40" s="145">
        <v>520009.43028000003</v>
      </c>
      <c r="I40" s="174">
        <f t="shared" si="1"/>
        <v>3.5927323281006007E-2</v>
      </c>
      <c r="J40" s="184">
        <f t="shared" si="3"/>
        <v>4.7748140279580626E-3</v>
      </c>
    </row>
    <row r="41" spans="3:10" x14ac:dyDescent="0.25">
      <c r="C41" s="86" t="s">
        <v>111</v>
      </c>
      <c r="D41" s="146">
        <v>135531.66289436709</v>
      </c>
      <c r="E41" s="150">
        <v>16538.179986796102</v>
      </c>
      <c r="F41" s="170">
        <f t="shared" si="0"/>
        <v>-0.87797552517535404</v>
      </c>
      <c r="G41" s="154">
        <v>503921.16677673988</v>
      </c>
      <c r="H41" s="145">
        <v>426978.64887969568</v>
      </c>
      <c r="I41" s="174">
        <f t="shared" si="1"/>
        <v>-0.15268760863766861</v>
      </c>
      <c r="J41" s="183">
        <f t="shared" si="3"/>
        <v>3.9205897500966197E-3</v>
      </c>
    </row>
    <row r="42" spans="3:10" x14ac:dyDescent="0.25">
      <c r="C42" s="86" t="s">
        <v>93</v>
      </c>
      <c r="D42" s="146">
        <v>12925.442940000001</v>
      </c>
      <c r="E42" s="150">
        <v>12320.73084</v>
      </c>
      <c r="F42" s="170">
        <f t="shared" si="0"/>
        <v>-4.6784632666522774E-2</v>
      </c>
      <c r="G42" s="154">
        <v>147001.97067000001</v>
      </c>
      <c r="H42" s="145">
        <v>143700.00142000002</v>
      </c>
      <c r="I42" s="174">
        <f t="shared" si="1"/>
        <v>-2.2462074725599912E-2</v>
      </c>
      <c r="J42" s="183">
        <f t="shared" si="3"/>
        <v>1.319477576066949E-3</v>
      </c>
    </row>
    <row r="43" spans="3:10" x14ac:dyDescent="0.25">
      <c r="C43" s="86" t="s">
        <v>98</v>
      </c>
      <c r="D43" s="146">
        <v>0</v>
      </c>
      <c r="E43" s="150">
        <v>7011.3269799999998</v>
      </c>
      <c r="F43" s="170" t="s">
        <v>79</v>
      </c>
      <c r="G43" s="154">
        <v>0</v>
      </c>
      <c r="H43" s="145">
        <v>22246.262159999998</v>
      </c>
      <c r="I43" s="174" t="s">
        <v>79</v>
      </c>
      <c r="J43" s="184">
        <f>(H43/$H$27)</f>
        <v>2.0426891984248307E-4</v>
      </c>
    </row>
    <row r="44" spans="3:10" x14ac:dyDescent="0.25">
      <c r="C44" s="90" t="s">
        <v>96</v>
      </c>
      <c r="D44" s="151">
        <v>1763.3193799999999</v>
      </c>
      <c r="E44" s="150">
        <v>1076.8234400000001</v>
      </c>
      <c r="F44" s="170">
        <f t="shared" si="0"/>
        <v>-0.38932024895002282</v>
      </c>
      <c r="G44" s="163">
        <v>33841.029409999996</v>
      </c>
      <c r="H44" s="162">
        <v>15566.519824699999</v>
      </c>
      <c r="I44" s="174">
        <f t="shared" si="1"/>
        <v>-0.54001045192496111</v>
      </c>
      <c r="J44" s="212">
        <f t="shared" si="3"/>
        <v>1.429344025269757E-4</v>
      </c>
    </row>
    <row r="45" spans="3:10" x14ac:dyDescent="0.25">
      <c r="C45" s="85" t="s">
        <v>112</v>
      </c>
      <c r="D45" s="148">
        <f>+SUM(D46:D57)</f>
        <v>111391.21880736299</v>
      </c>
      <c r="E45" s="144">
        <f>+SUM(E46:E57)</f>
        <v>130534.16008129003</v>
      </c>
      <c r="F45" s="172">
        <f t="shared" si="0"/>
        <v>0.17185323474224945</v>
      </c>
      <c r="G45" s="148">
        <f>+SUM(G46:G57)</f>
        <v>1270646.954794979</v>
      </c>
      <c r="H45" s="144">
        <f>+SUM(H46:H57)</f>
        <v>1506412.8563966348</v>
      </c>
      <c r="I45" s="172">
        <f t="shared" si="1"/>
        <v>0.18554792164098566</v>
      </c>
      <c r="J45" s="259">
        <f>SUM(J46:J57)</f>
        <v>1.0000000000000002</v>
      </c>
    </row>
    <row r="46" spans="3:10" x14ac:dyDescent="0.25">
      <c r="C46" s="89" t="s">
        <v>96</v>
      </c>
      <c r="D46" s="152">
        <v>37376.059899899992</v>
      </c>
      <c r="E46" s="153">
        <v>41808.142510600002</v>
      </c>
      <c r="F46" s="173">
        <f t="shared" si="0"/>
        <v>0.11858078734275224</v>
      </c>
      <c r="G46" s="145">
        <v>381031.95389438997</v>
      </c>
      <c r="H46" s="149">
        <v>581444.60617459996</v>
      </c>
      <c r="I46" s="170">
        <f t="shared" si="1"/>
        <v>0.52597334746302682</v>
      </c>
      <c r="J46" s="182">
        <f t="shared" ref="J46:J57" si="4">(H46/$H$45)</f>
        <v>0.38597958302442092</v>
      </c>
    </row>
    <row r="47" spans="3:10" x14ac:dyDescent="0.25">
      <c r="C47" s="88" t="s">
        <v>98</v>
      </c>
      <c r="D47" s="154">
        <v>21481.712687856001</v>
      </c>
      <c r="E47" s="145">
        <v>22800.680384526</v>
      </c>
      <c r="F47" s="174">
        <f t="shared" si="0"/>
        <v>6.1399559515365576E-2</v>
      </c>
      <c r="G47" s="145">
        <v>225096.10678607901</v>
      </c>
      <c r="H47" s="149">
        <v>234839.18877855799</v>
      </c>
      <c r="I47" s="170">
        <f t="shared" si="1"/>
        <v>4.3284098208496991E-2</v>
      </c>
      <c r="J47" s="183">
        <f t="shared" si="4"/>
        <v>0.15589297965784579</v>
      </c>
    </row>
    <row r="48" spans="3:10" x14ac:dyDescent="0.25">
      <c r="C48" s="86" t="s">
        <v>102</v>
      </c>
      <c r="D48" s="154">
        <v>13483.3025284</v>
      </c>
      <c r="E48" s="145">
        <v>19673.976398250001</v>
      </c>
      <c r="F48" s="174">
        <f t="shared" si="0"/>
        <v>0.45913631744229799</v>
      </c>
      <c r="G48" s="145">
        <v>161146.39453066001</v>
      </c>
      <c r="H48" s="149">
        <v>201494.3958646</v>
      </c>
      <c r="I48" s="170">
        <f t="shared" si="1"/>
        <v>0.2503810367675543</v>
      </c>
      <c r="J48" s="183">
        <f t="shared" si="4"/>
        <v>0.13375775107667232</v>
      </c>
    </row>
    <row r="49" spans="3:10" x14ac:dyDescent="0.25">
      <c r="C49" s="88" t="s">
        <v>99</v>
      </c>
      <c r="D49" s="131">
        <v>8955.2553800000005</v>
      </c>
      <c r="E49" s="146">
        <v>17283.274232</v>
      </c>
      <c r="F49" s="174">
        <f t="shared" si="0"/>
        <v>0.92995883407179836</v>
      </c>
      <c r="G49" s="145">
        <v>185238.39027699997</v>
      </c>
      <c r="H49" s="149">
        <v>169741.851654</v>
      </c>
      <c r="I49" s="170">
        <f t="shared" si="1"/>
        <v>-8.365727320253058E-2</v>
      </c>
      <c r="J49" s="183">
        <f t="shared" si="4"/>
        <v>0.11267950278917918</v>
      </c>
    </row>
    <row r="50" spans="3:10" x14ac:dyDescent="0.25">
      <c r="C50" s="88" t="s">
        <v>101</v>
      </c>
      <c r="D50" s="131">
        <v>14757.736733657001</v>
      </c>
      <c r="E50" s="146">
        <v>15285.304315894</v>
      </c>
      <c r="F50" s="174">
        <f t="shared" si="0"/>
        <v>3.5748542731068644E-2</v>
      </c>
      <c r="G50" s="145">
        <v>164521.71819998999</v>
      </c>
      <c r="H50" s="149">
        <v>169207.92254793501</v>
      </c>
      <c r="I50" s="170">
        <f t="shared" si="1"/>
        <v>2.8483803835847032E-2</v>
      </c>
      <c r="J50" s="183">
        <f t="shared" si="4"/>
        <v>0.11232506535604272</v>
      </c>
    </row>
    <row r="51" spans="3:10" x14ac:dyDescent="0.25">
      <c r="C51" s="88" t="s">
        <v>105</v>
      </c>
      <c r="D51" s="131">
        <v>5271.9239432000004</v>
      </c>
      <c r="E51" s="146">
        <v>5132.0158532000005</v>
      </c>
      <c r="F51" s="174">
        <f t="shared" si="0"/>
        <v>-2.6538336195168433E-2</v>
      </c>
      <c r="G51" s="145">
        <v>53607.869778599998</v>
      </c>
      <c r="H51" s="149">
        <v>52435.450528809997</v>
      </c>
      <c r="I51" s="170">
        <f t="shared" si="1"/>
        <v>-2.1870282378913419E-2</v>
      </c>
      <c r="J51" s="183">
        <f t="shared" si="4"/>
        <v>3.4808153890983434E-2</v>
      </c>
    </row>
    <row r="52" spans="3:10" x14ac:dyDescent="0.25">
      <c r="C52" s="88" t="s">
        <v>107</v>
      </c>
      <c r="D52" s="131">
        <v>5071.2082799500004</v>
      </c>
      <c r="E52" s="146">
        <v>4791.7397688199999</v>
      </c>
      <c r="F52" s="174">
        <f t="shared" si="0"/>
        <v>-5.5108860788647407E-2</v>
      </c>
      <c r="G52" s="145">
        <v>48425.855696259998</v>
      </c>
      <c r="H52" s="149">
        <v>49597.911063609994</v>
      </c>
      <c r="I52" s="170">
        <f t="shared" si="1"/>
        <v>2.4203090487475265E-2</v>
      </c>
      <c r="J52" s="183">
        <f t="shared" si="4"/>
        <v>3.2924513922596918E-2</v>
      </c>
    </row>
    <row r="53" spans="3:10" x14ac:dyDescent="0.25">
      <c r="C53" s="88" t="s">
        <v>95</v>
      </c>
      <c r="D53" s="131">
        <v>2862.0216482999999</v>
      </c>
      <c r="E53" s="146">
        <v>2297.7445808000002</v>
      </c>
      <c r="F53" s="174">
        <f t="shared" si="0"/>
        <v>-0.197160307237778</v>
      </c>
      <c r="G53" s="145">
        <v>30998.340330799998</v>
      </c>
      <c r="H53" s="149">
        <v>27932.194443700002</v>
      </c>
      <c r="I53" s="170">
        <f t="shared" si="1"/>
        <v>-9.8913227430226902E-2</v>
      </c>
      <c r="J53" s="183">
        <f t="shared" si="4"/>
        <v>1.8542190691676841E-2</v>
      </c>
    </row>
    <row r="54" spans="3:10" x14ac:dyDescent="0.25">
      <c r="C54" s="88" t="s">
        <v>104</v>
      </c>
      <c r="D54" s="131">
        <v>1428.4605429000001</v>
      </c>
      <c r="E54" s="146">
        <v>1199.6156937000001</v>
      </c>
      <c r="F54" s="174">
        <f t="shared" si="0"/>
        <v>-0.1602038294564363</v>
      </c>
      <c r="G54" s="145">
        <v>16562.072194699998</v>
      </c>
      <c r="H54" s="149">
        <v>13939.661987126998</v>
      </c>
      <c r="I54" s="170">
        <f t="shared" si="1"/>
        <v>-0.15833829105105546</v>
      </c>
      <c r="J54" s="183">
        <f t="shared" si="4"/>
        <v>9.2535468798845139E-3</v>
      </c>
    </row>
    <row r="55" spans="3:10" x14ac:dyDescent="0.25">
      <c r="C55" s="88" t="s">
        <v>106</v>
      </c>
      <c r="D55" s="155">
        <v>702.86216319999994</v>
      </c>
      <c r="E55" s="151">
        <v>259.17514349999999</v>
      </c>
      <c r="F55" s="174">
        <f t="shared" si="0"/>
        <v>-0.6312575109748062</v>
      </c>
      <c r="G55" s="145">
        <v>4012.2854565000002</v>
      </c>
      <c r="H55" s="149">
        <v>5638.1997477999994</v>
      </c>
      <c r="I55" s="170">
        <f t="shared" si="1"/>
        <v>0.40523395180319954</v>
      </c>
      <c r="J55" s="183">
        <f t="shared" si="4"/>
        <v>3.742798479088043E-3</v>
      </c>
    </row>
    <row r="56" spans="3:10" x14ac:dyDescent="0.25">
      <c r="C56" s="88" t="s">
        <v>94</v>
      </c>
      <c r="D56" s="155">
        <v>0</v>
      </c>
      <c r="E56" s="151">
        <v>0</v>
      </c>
      <c r="F56" s="174" t="s">
        <v>45</v>
      </c>
      <c r="G56" s="164">
        <v>0</v>
      </c>
      <c r="H56" s="149">
        <v>127.96574589499998</v>
      </c>
      <c r="I56" s="170" t="s">
        <v>79</v>
      </c>
      <c r="J56" s="184">
        <f t="shared" si="4"/>
        <v>8.4947327256019455E-5</v>
      </c>
    </row>
    <row r="57" spans="3:10" x14ac:dyDescent="0.25">
      <c r="C57" s="73" t="s">
        <v>100</v>
      </c>
      <c r="D57" s="221">
        <v>0.67500000000000004</v>
      </c>
      <c r="E57" s="222">
        <v>2.4912000000000001</v>
      </c>
      <c r="F57" s="175">
        <f t="shared" si="0"/>
        <v>2.6906666666666665</v>
      </c>
      <c r="G57" s="145">
        <v>5.967649999999999</v>
      </c>
      <c r="H57" s="149">
        <v>13.507860000000001</v>
      </c>
      <c r="I57" s="170">
        <f t="shared" si="1"/>
        <v>1.2635141135958046</v>
      </c>
      <c r="J57" s="210">
        <f t="shared" si="4"/>
        <v>8.9669043533729737E-6</v>
      </c>
    </row>
    <row r="58" spans="3:10" x14ac:dyDescent="0.25">
      <c r="C58" s="85" t="s">
        <v>113</v>
      </c>
      <c r="D58" s="148">
        <f>+SUM(D59:D76)</f>
        <v>346427.52439517074</v>
      </c>
      <c r="E58" s="144">
        <f>+SUM(E59:E76)</f>
        <v>337114.22539968765</v>
      </c>
      <c r="F58" s="172">
        <f t="shared" si="0"/>
        <v>-2.6883830930418129E-2</v>
      </c>
      <c r="G58" s="148">
        <f>+SUM(G59:G76)</f>
        <v>3512301.3933015391</v>
      </c>
      <c r="H58" s="144">
        <f>+SUM(H59:H76)</f>
        <v>3762107.6960177487</v>
      </c>
      <c r="I58" s="172">
        <f t="shared" si="1"/>
        <v>7.1123253600225089E-2</v>
      </c>
      <c r="J58" s="181">
        <f>SUM(J59:J76)</f>
        <v>1</v>
      </c>
    </row>
    <row r="59" spans="3:10" x14ac:dyDescent="0.25">
      <c r="C59" s="89" t="s">
        <v>96</v>
      </c>
      <c r="D59" s="152">
        <v>54553.943266160401</v>
      </c>
      <c r="E59" s="153">
        <v>74470.198057216607</v>
      </c>
      <c r="F59" s="173">
        <f t="shared" si="0"/>
        <v>0.36507452254895356</v>
      </c>
      <c r="G59" s="152">
        <v>533257.01120971295</v>
      </c>
      <c r="H59" s="153">
        <v>743879.17156029074</v>
      </c>
      <c r="I59" s="173">
        <f t="shared" si="1"/>
        <v>0.39497307287676109</v>
      </c>
      <c r="J59" s="182">
        <f t="shared" ref="J59:J75" si="5">(H59/$H$58)</f>
        <v>0.19772936653240916</v>
      </c>
    </row>
    <row r="60" spans="3:10" x14ac:dyDescent="0.25">
      <c r="C60" s="86" t="s">
        <v>102</v>
      </c>
      <c r="D60" s="154">
        <v>72114.2666088923</v>
      </c>
      <c r="E60" s="145">
        <v>52931.735741458593</v>
      </c>
      <c r="F60" s="174">
        <f t="shared" si="0"/>
        <v>-0.26600188519518742</v>
      </c>
      <c r="G60" s="154">
        <v>693331.86765572755</v>
      </c>
      <c r="H60" s="145">
        <v>725960.15889592154</v>
      </c>
      <c r="I60" s="174">
        <f t="shared" si="1"/>
        <v>4.7060134925740238E-2</v>
      </c>
      <c r="J60" s="183">
        <f t="shared" si="5"/>
        <v>0.19296634162396839</v>
      </c>
    </row>
    <row r="61" spans="3:10" ht="15" customHeight="1" x14ac:dyDescent="0.25">
      <c r="C61" s="86" t="s">
        <v>101</v>
      </c>
      <c r="D61" s="154">
        <v>48744.3250174735</v>
      </c>
      <c r="E61" s="145">
        <v>45458.021597864201</v>
      </c>
      <c r="F61" s="174">
        <f t="shared" si="0"/>
        <v>-6.7419200459361117E-2</v>
      </c>
      <c r="G61" s="154">
        <v>555676.25402815465</v>
      </c>
      <c r="H61" s="145">
        <v>524193.13739091303</v>
      </c>
      <c r="I61" s="174">
        <f t="shared" si="1"/>
        <v>-5.6657300737645744E-2</v>
      </c>
      <c r="J61" s="183">
        <f t="shared" si="5"/>
        <v>0.13933496320314803</v>
      </c>
    </row>
    <row r="62" spans="3:10" x14ac:dyDescent="0.25">
      <c r="C62" s="86" t="s">
        <v>98</v>
      </c>
      <c r="D62" s="154">
        <v>53281.8463655675</v>
      </c>
      <c r="E62" s="145">
        <v>47816.179341528397</v>
      </c>
      <c r="F62" s="174">
        <f t="shared" si="0"/>
        <v>-0.10258028572319144</v>
      </c>
      <c r="G62" s="154">
        <v>499380.76952253713</v>
      </c>
      <c r="H62" s="145">
        <v>509899.61397062306</v>
      </c>
      <c r="I62" s="174">
        <f t="shared" si="1"/>
        <v>2.1063775559766018E-2</v>
      </c>
      <c r="J62" s="183">
        <f t="shared" si="5"/>
        <v>0.13553562395631577</v>
      </c>
    </row>
    <row r="63" spans="3:10" x14ac:dyDescent="0.25">
      <c r="C63" s="88" t="s">
        <v>99</v>
      </c>
      <c r="D63" s="131">
        <v>22209.839001221699</v>
      </c>
      <c r="E63" s="146">
        <v>15651.736157510501</v>
      </c>
      <c r="F63" s="174">
        <f t="shared" si="0"/>
        <v>-0.29527917079229871</v>
      </c>
      <c r="G63" s="154">
        <v>218088.88627728348</v>
      </c>
      <c r="H63" s="145">
        <v>224916.14570688212</v>
      </c>
      <c r="I63" s="174">
        <f t="shared" si="1"/>
        <v>3.1304939679128285E-2</v>
      </c>
      <c r="J63" s="183">
        <f t="shared" si="5"/>
        <v>5.978461114894703E-2</v>
      </c>
    </row>
    <row r="64" spans="3:10" x14ac:dyDescent="0.25">
      <c r="C64" s="88" t="s">
        <v>107</v>
      </c>
      <c r="D64" s="131">
        <v>20927.485485603003</v>
      </c>
      <c r="E64" s="146">
        <v>16551.011030711448</v>
      </c>
      <c r="F64" s="174">
        <f t="shared" si="0"/>
        <v>-0.20912567149561934</v>
      </c>
      <c r="G64" s="154">
        <v>223353.96385573436</v>
      </c>
      <c r="H64" s="145">
        <v>200572.78911619252</v>
      </c>
      <c r="I64" s="174">
        <f t="shared" si="1"/>
        <v>-0.10199583811396484</v>
      </c>
      <c r="J64" s="183">
        <f t="shared" si="5"/>
        <v>5.3313941365501584E-2</v>
      </c>
    </row>
    <row r="65" spans="3:10" ht="15" customHeight="1" x14ac:dyDescent="0.25">
      <c r="C65" s="88" t="s">
        <v>94</v>
      </c>
      <c r="D65" s="131">
        <v>10688.249855051201</v>
      </c>
      <c r="E65" s="146">
        <v>13974.5999297203</v>
      </c>
      <c r="F65" s="174">
        <f t="shared" si="0"/>
        <v>0.30747317093415338</v>
      </c>
      <c r="G65" s="154">
        <v>118684.28168889078</v>
      </c>
      <c r="H65" s="145">
        <v>160564.76556846293</v>
      </c>
      <c r="I65" s="174">
        <f t="shared" si="1"/>
        <v>0.3528730450537183</v>
      </c>
      <c r="J65" s="183">
        <f t="shared" si="5"/>
        <v>4.2679470802609747E-2</v>
      </c>
    </row>
    <row r="66" spans="3:10" x14ac:dyDescent="0.25">
      <c r="C66" s="88" t="s">
        <v>104</v>
      </c>
      <c r="D66" s="131">
        <v>12218.063549369801</v>
      </c>
      <c r="E66" s="146">
        <v>14583.439815064499</v>
      </c>
      <c r="F66" s="174">
        <f t="shared" si="0"/>
        <v>0.19359665761573996</v>
      </c>
      <c r="G66" s="154">
        <v>140826.3862598376</v>
      </c>
      <c r="H66" s="145">
        <v>142966.9996914829</v>
      </c>
      <c r="I66" s="174">
        <f t="shared" si="1"/>
        <v>1.5200371808843149E-2</v>
      </c>
      <c r="J66" s="183">
        <f t="shared" si="5"/>
        <v>3.800183600347639E-2</v>
      </c>
    </row>
    <row r="67" spans="3:10" x14ac:dyDescent="0.25">
      <c r="C67" s="88" t="s">
        <v>95</v>
      </c>
      <c r="D67" s="131">
        <v>8139.1856140475002</v>
      </c>
      <c r="E67" s="146">
        <v>13951.589726814002</v>
      </c>
      <c r="F67" s="174">
        <f t="shared" si="0"/>
        <v>0.7141260057682941</v>
      </c>
      <c r="G67" s="154">
        <v>103646.01610606881</v>
      </c>
      <c r="H67" s="145">
        <v>110873.75415100911</v>
      </c>
      <c r="I67" s="174">
        <f t="shared" si="1"/>
        <v>6.9734837058701871E-2</v>
      </c>
      <c r="J67" s="183">
        <f t="shared" si="5"/>
        <v>2.947118028236426E-2</v>
      </c>
    </row>
    <row r="68" spans="3:10" x14ac:dyDescent="0.25">
      <c r="C68" s="88" t="s">
        <v>100</v>
      </c>
      <c r="D68" s="131">
        <v>14761.160391852802</v>
      </c>
      <c r="E68" s="146">
        <v>10403.164650381899</v>
      </c>
      <c r="F68" s="174">
        <f t="shared" si="0"/>
        <v>-0.29523395354990056</v>
      </c>
      <c r="G68" s="154">
        <v>118998.1705065414</v>
      </c>
      <c r="H68" s="145">
        <v>100470.01095125588</v>
      </c>
      <c r="I68" s="174">
        <f t="shared" si="1"/>
        <v>-0.15570121352636268</v>
      </c>
      <c r="J68" s="183">
        <f t="shared" si="5"/>
        <v>2.6705777470858956E-2</v>
      </c>
    </row>
    <row r="69" spans="3:10" x14ac:dyDescent="0.25">
      <c r="C69" s="88" t="s">
        <v>97</v>
      </c>
      <c r="D69" s="131">
        <v>8103.6518328280999</v>
      </c>
      <c r="E69" s="146">
        <v>8156.3919266513003</v>
      </c>
      <c r="F69" s="174">
        <f t="shared" si="0"/>
        <v>6.5081885193474243E-3</v>
      </c>
      <c r="G69" s="154">
        <v>97854.212241353598</v>
      </c>
      <c r="H69" s="145">
        <v>94651.937296808188</v>
      </c>
      <c r="I69" s="174">
        <f t="shared" si="1"/>
        <v>-3.2724957579211011E-2</v>
      </c>
      <c r="J69" s="183">
        <f t="shared" si="5"/>
        <v>2.5159284354618231E-2</v>
      </c>
    </row>
    <row r="70" spans="3:10" x14ac:dyDescent="0.25">
      <c r="C70" s="88" t="s">
        <v>93</v>
      </c>
      <c r="D70" s="131">
        <v>6939.3220611748002</v>
      </c>
      <c r="E70" s="146">
        <v>7751.4462281158003</v>
      </c>
      <c r="F70" s="174">
        <f t="shared" si="0"/>
        <v>0.11703220570850847</v>
      </c>
      <c r="G70" s="154">
        <v>82507.222266179902</v>
      </c>
      <c r="H70" s="145">
        <v>85438.0363006236</v>
      </c>
      <c r="I70" s="174">
        <f t="shared" si="1"/>
        <v>3.5521908918330514E-2</v>
      </c>
      <c r="J70" s="183">
        <f t="shared" si="5"/>
        <v>2.2710151650113881E-2</v>
      </c>
    </row>
    <row r="71" spans="3:10" x14ac:dyDescent="0.25">
      <c r="C71" s="88" t="s">
        <v>105</v>
      </c>
      <c r="D71" s="131">
        <v>4284.1454830022003</v>
      </c>
      <c r="E71" s="146">
        <v>4102.3528544846004</v>
      </c>
      <c r="F71" s="174">
        <f t="shared" si="0"/>
        <v>-4.2433813053007086E-2</v>
      </c>
      <c r="G71" s="154">
        <v>52457.611646712292</v>
      </c>
      <c r="H71" s="145">
        <v>50337.070619643397</v>
      </c>
      <c r="I71" s="174">
        <f t="shared" si="1"/>
        <v>-4.0423895798957887E-2</v>
      </c>
      <c r="J71" s="183">
        <f t="shared" si="5"/>
        <v>1.338001851274114E-2</v>
      </c>
    </row>
    <row r="72" spans="3:10" x14ac:dyDescent="0.25">
      <c r="C72" s="88" t="s">
        <v>106</v>
      </c>
      <c r="D72" s="220">
        <v>5043.3808568772001</v>
      </c>
      <c r="E72" s="146">
        <v>6762.5542509828001</v>
      </c>
      <c r="F72" s="174">
        <f t="shared" si="0"/>
        <v>0.34087717007556928</v>
      </c>
      <c r="G72" s="154">
        <v>29543.245318476198</v>
      </c>
      <c r="H72" s="145">
        <v>36694.803242570502</v>
      </c>
      <c r="I72" s="174">
        <f t="shared" si="1"/>
        <v>0.24207083030318799</v>
      </c>
      <c r="J72" s="183">
        <f t="shared" si="5"/>
        <v>9.7537886226416477E-3</v>
      </c>
    </row>
    <row r="73" spans="3:10" x14ac:dyDescent="0.25">
      <c r="C73" s="88" t="s">
        <v>103</v>
      </c>
      <c r="D73" s="131">
        <v>2483.7061140164001</v>
      </c>
      <c r="E73" s="151">
        <v>2332.9153425833997</v>
      </c>
      <c r="F73" s="174">
        <f t="shared" si="0"/>
        <v>-6.0712002350856498E-2</v>
      </c>
      <c r="G73" s="154">
        <v>22711.315808465202</v>
      </c>
      <c r="H73" s="145">
        <v>28235.9939197274</v>
      </c>
      <c r="I73" s="174">
        <f t="shared" si="1"/>
        <v>0.24325662845139862</v>
      </c>
      <c r="J73" s="183">
        <f t="shared" si="5"/>
        <v>7.5053656623428541E-3</v>
      </c>
    </row>
    <row r="74" spans="3:10" x14ac:dyDescent="0.25">
      <c r="C74" s="88" t="s">
        <v>109</v>
      </c>
      <c r="D74" s="131">
        <v>1924.8122282152997</v>
      </c>
      <c r="E74" s="146">
        <v>2216.8887485994001</v>
      </c>
      <c r="F74" s="174">
        <f t="shared" si="0"/>
        <v>0.15174286411039484</v>
      </c>
      <c r="G74" s="154">
        <v>21872.428306998099</v>
      </c>
      <c r="H74" s="145">
        <v>22357.621955896997</v>
      </c>
      <c r="I74" s="174">
        <f t="shared" si="1"/>
        <v>2.2182888981908677E-2</v>
      </c>
      <c r="J74" s="183">
        <f t="shared" si="5"/>
        <v>5.9428447461945064E-3</v>
      </c>
    </row>
    <row r="75" spans="3:10" x14ac:dyDescent="0.25">
      <c r="C75" s="88" t="s">
        <v>111</v>
      </c>
      <c r="D75" s="219">
        <v>10.140663817</v>
      </c>
      <c r="E75" s="151">
        <v>0</v>
      </c>
      <c r="F75" s="174" t="s">
        <v>45</v>
      </c>
      <c r="G75" s="154">
        <v>20.5455666927</v>
      </c>
      <c r="H75" s="145">
        <v>95.685679444299993</v>
      </c>
      <c r="I75" s="174">
        <f t="shared" si="1"/>
        <v>3.6572421620425715</v>
      </c>
      <c r="J75" s="198">
        <f t="shared" si="5"/>
        <v>2.5434061748307955E-5</v>
      </c>
    </row>
    <row r="76" spans="3:10" ht="15" customHeight="1" x14ac:dyDescent="0.25">
      <c r="C76" s="73" t="s">
        <v>110</v>
      </c>
      <c r="D76" s="156">
        <v>0</v>
      </c>
      <c r="E76" s="157">
        <v>0</v>
      </c>
      <c r="F76" s="175" t="s">
        <v>45</v>
      </c>
      <c r="G76" s="161">
        <v>91.205036172700005</v>
      </c>
      <c r="H76" s="165">
        <v>0</v>
      </c>
      <c r="I76" s="175" t="s">
        <v>45</v>
      </c>
      <c r="J76" s="198" t="s">
        <v>45</v>
      </c>
    </row>
    <row r="77" spans="3:10" x14ac:dyDescent="0.25">
      <c r="C77" s="85" t="s">
        <v>114</v>
      </c>
      <c r="D77" s="148">
        <f>+SUM(D78:D89)</f>
        <v>25616.096440770005</v>
      </c>
      <c r="E77" s="144">
        <f>+SUM(E78:E89)</f>
        <v>25988.453507589002</v>
      </c>
      <c r="F77" s="172">
        <f t="shared" si="0"/>
        <v>1.4536058125794726E-2</v>
      </c>
      <c r="G77" s="148">
        <f>+SUM(G78:G89)</f>
        <v>291319.62661629298</v>
      </c>
      <c r="H77" s="144">
        <f>+SUM(H78:H89)</f>
        <v>312222.99845976045</v>
      </c>
      <c r="I77" s="172">
        <f t="shared" si="1"/>
        <v>7.1754080170506329E-2</v>
      </c>
      <c r="J77" s="181">
        <f>SUM(J78:J89)</f>
        <v>1.0000000000000002</v>
      </c>
    </row>
    <row r="78" spans="3:10" x14ac:dyDescent="0.25">
      <c r="C78" s="89" t="s">
        <v>101</v>
      </c>
      <c r="D78" s="145">
        <v>8324.6283148370003</v>
      </c>
      <c r="E78" s="149">
        <v>7872.1007698519998</v>
      </c>
      <c r="F78" s="170">
        <f t="shared" si="0"/>
        <v>-5.4360090068941602E-2</v>
      </c>
      <c r="G78" s="152">
        <v>85590.74445607599</v>
      </c>
      <c r="H78" s="153">
        <v>94201.929415726016</v>
      </c>
      <c r="I78" s="173">
        <f t="shared" si="1"/>
        <v>0.10060883351784811</v>
      </c>
      <c r="J78" s="182">
        <f t="shared" ref="J78:J89" si="6">(H78/$H$77)</f>
        <v>0.30171361456534995</v>
      </c>
    </row>
    <row r="79" spans="3:10" x14ac:dyDescent="0.25">
      <c r="C79" s="86" t="s">
        <v>102</v>
      </c>
      <c r="D79" s="145">
        <v>4464.0037836599995</v>
      </c>
      <c r="E79" s="149">
        <v>4966.4405749799998</v>
      </c>
      <c r="F79" s="170">
        <f t="shared" ref="F79:F93" si="7">+E79/D79-1</f>
        <v>0.11255294925132353</v>
      </c>
      <c r="G79" s="154">
        <v>50079.12894481</v>
      </c>
      <c r="H79" s="145">
        <v>61073.681918770002</v>
      </c>
      <c r="I79" s="174">
        <f t="shared" si="1"/>
        <v>0.21954361438827363</v>
      </c>
      <c r="J79" s="183">
        <f t="shared" si="6"/>
        <v>0.19560917107341541</v>
      </c>
    </row>
    <row r="80" spans="3:10" x14ac:dyDescent="0.25">
      <c r="C80" s="86" t="s">
        <v>98</v>
      </c>
      <c r="D80" s="145">
        <v>2839.1032757029998</v>
      </c>
      <c r="E80" s="149">
        <v>3219.1822602469997</v>
      </c>
      <c r="F80" s="170">
        <f t="shared" si="7"/>
        <v>0.13387289845942196</v>
      </c>
      <c r="G80" s="154">
        <v>31387.133645336999</v>
      </c>
      <c r="H80" s="145">
        <v>36106.396841043002</v>
      </c>
      <c r="I80" s="174">
        <f t="shared" ref="I80:I94" si="8">+H80/G80-1</f>
        <v>0.15035661583602788</v>
      </c>
      <c r="J80" s="183">
        <f t="shared" si="6"/>
        <v>0.1156429763955919</v>
      </c>
    </row>
    <row r="81" spans="3:10" x14ac:dyDescent="0.25">
      <c r="C81" s="86" t="s">
        <v>96</v>
      </c>
      <c r="D81" s="145">
        <v>2157.0050256999994</v>
      </c>
      <c r="E81" s="149">
        <v>1961.3664654999998</v>
      </c>
      <c r="F81" s="170">
        <f t="shared" si="7"/>
        <v>-9.0699167535091996E-2</v>
      </c>
      <c r="G81" s="154">
        <v>23215.425497559998</v>
      </c>
      <c r="H81" s="145">
        <v>31447.3258948</v>
      </c>
      <c r="I81" s="174">
        <f t="shared" si="8"/>
        <v>0.35458753052384062</v>
      </c>
      <c r="J81" s="183">
        <f t="shared" si="6"/>
        <v>0.10072072220795406</v>
      </c>
    </row>
    <row r="82" spans="3:10" x14ac:dyDescent="0.25">
      <c r="C82" s="88" t="s">
        <v>99</v>
      </c>
      <c r="D82" s="146">
        <v>1620.510984</v>
      </c>
      <c r="E82" s="150">
        <v>2563.8242399999999</v>
      </c>
      <c r="F82" s="170">
        <f t="shared" si="7"/>
        <v>0.58210852336931773</v>
      </c>
      <c r="G82" s="154">
        <v>31991.581642000001</v>
      </c>
      <c r="H82" s="145">
        <v>26331.700077999994</v>
      </c>
      <c r="I82" s="174">
        <f t="shared" si="8"/>
        <v>-0.17691784130389654</v>
      </c>
      <c r="J82" s="183">
        <f t="shared" si="6"/>
        <v>8.4336196269646821E-2</v>
      </c>
    </row>
    <row r="83" spans="3:10" x14ac:dyDescent="0.25">
      <c r="C83" s="88" t="s">
        <v>104</v>
      </c>
      <c r="D83" s="146">
        <v>1986.5145635000001</v>
      </c>
      <c r="E83" s="150">
        <v>2066.8109116000001</v>
      </c>
      <c r="F83" s="170">
        <f t="shared" si="7"/>
        <v>4.0420719573546648E-2</v>
      </c>
      <c r="G83" s="154">
        <v>23685.910422080004</v>
      </c>
      <c r="H83" s="145">
        <v>23380.514707124901</v>
      </c>
      <c r="I83" s="174">
        <f t="shared" si="8"/>
        <v>-1.2893560328186227E-2</v>
      </c>
      <c r="J83" s="183">
        <f t="shared" si="6"/>
        <v>7.4884024631318755E-2</v>
      </c>
    </row>
    <row r="84" spans="3:10" x14ac:dyDescent="0.25">
      <c r="C84" s="88" t="s">
        <v>95</v>
      </c>
      <c r="D84" s="146">
        <v>1856.4392536999999</v>
      </c>
      <c r="E84" s="150">
        <v>1584.6029853</v>
      </c>
      <c r="F84" s="170">
        <f t="shared" si="7"/>
        <v>-0.14642885182384136</v>
      </c>
      <c r="G84" s="154">
        <v>22859.238211799999</v>
      </c>
      <c r="H84" s="145">
        <v>18941.032423299999</v>
      </c>
      <c r="I84" s="174">
        <f t="shared" si="8"/>
        <v>-0.17140579017534419</v>
      </c>
      <c r="J84" s="183">
        <f t="shared" si="6"/>
        <v>6.0665077578329438E-2</v>
      </c>
    </row>
    <row r="85" spans="3:10" x14ac:dyDescent="0.25">
      <c r="C85" s="88" t="s">
        <v>105</v>
      </c>
      <c r="D85" s="146">
        <v>798.88092210000002</v>
      </c>
      <c r="E85" s="150">
        <v>885.53476999999998</v>
      </c>
      <c r="F85" s="170">
        <f t="shared" si="7"/>
        <v>0.10846904150898351</v>
      </c>
      <c r="G85" s="154">
        <v>11439.355088599999</v>
      </c>
      <c r="H85" s="145">
        <v>8369.1698151199998</v>
      </c>
      <c r="I85" s="174">
        <f t="shared" si="8"/>
        <v>-0.26838796852626967</v>
      </c>
      <c r="J85" s="183">
        <f t="shared" si="6"/>
        <v>2.6805103584317237E-2</v>
      </c>
    </row>
    <row r="86" spans="3:10" x14ac:dyDescent="0.25">
      <c r="C86" s="88" t="s">
        <v>107</v>
      </c>
      <c r="D86" s="146">
        <v>683.45222536999995</v>
      </c>
      <c r="E86" s="150">
        <v>458.02297561</v>
      </c>
      <c r="F86" s="170">
        <f t="shared" si="7"/>
        <v>-0.32983907490821252</v>
      </c>
      <c r="G86" s="154">
        <v>5523.1143295299998</v>
      </c>
      <c r="H86" s="145">
        <v>6401.4229690900002</v>
      </c>
      <c r="I86" s="174">
        <f t="shared" si="8"/>
        <v>0.15902416411407905</v>
      </c>
      <c r="J86" s="183">
        <f t="shared" si="6"/>
        <v>2.0502727219548565E-2</v>
      </c>
    </row>
    <row r="87" spans="3:10" x14ac:dyDescent="0.25">
      <c r="C87" s="88" t="s">
        <v>106</v>
      </c>
      <c r="D87" s="151">
        <v>875.23309219999999</v>
      </c>
      <c r="E87" s="158">
        <v>396.57795449999998</v>
      </c>
      <c r="F87" s="170">
        <f t="shared" si="7"/>
        <v>-0.54688875679602655</v>
      </c>
      <c r="G87" s="154">
        <v>5425.0734585000009</v>
      </c>
      <c r="H87" s="145">
        <v>5805.6138222999998</v>
      </c>
      <c r="I87" s="174">
        <f t="shared" si="8"/>
        <v>7.0144739368232623E-2</v>
      </c>
      <c r="J87" s="183">
        <f t="shared" si="6"/>
        <v>1.8594446440332396E-2</v>
      </c>
    </row>
    <row r="88" spans="3:10" x14ac:dyDescent="0.25">
      <c r="C88" s="88" t="s">
        <v>100</v>
      </c>
      <c r="D88" s="146">
        <v>10.324999999999999</v>
      </c>
      <c r="E88" s="150">
        <v>13.989599999999999</v>
      </c>
      <c r="F88" s="170">
        <f t="shared" si="7"/>
        <v>0.35492493946731241</v>
      </c>
      <c r="G88" s="154">
        <v>122.92092000000001</v>
      </c>
      <c r="H88" s="145">
        <v>100.26136999999999</v>
      </c>
      <c r="I88" s="174">
        <f t="shared" si="8"/>
        <v>-0.18434250248045669</v>
      </c>
      <c r="J88" s="184">
        <f t="shared" si="6"/>
        <v>3.2112102726129495E-4</v>
      </c>
    </row>
    <row r="89" spans="3:10" x14ac:dyDescent="0.25">
      <c r="C89" s="73" t="s">
        <v>94</v>
      </c>
      <c r="D89" s="151">
        <v>0</v>
      </c>
      <c r="E89" s="158">
        <v>0</v>
      </c>
      <c r="F89" s="170" t="s">
        <v>45</v>
      </c>
      <c r="G89" s="163">
        <v>0</v>
      </c>
      <c r="H89" s="162">
        <v>63.949204486599996</v>
      </c>
      <c r="I89" s="175" t="s">
        <v>79</v>
      </c>
      <c r="J89" s="212">
        <f t="shared" si="6"/>
        <v>2.0481900693437169E-4</v>
      </c>
    </row>
    <row r="90" spans="3:10" x14ac:dyDescent="0.25">
      <c r="C90" s="85" t="s">
        <v>115</v>
      </c>
      <c r="D90" s="148">
        <f>+D91</f>
        <v>1065597.1664139999</v>
      </c>
      <c r="E90" s="144">
        <f>+E91</f>
        <v>1215213.200189</v>
      </c>
      <c r="F90" s="172">
        <f t="shared" si="7"/>
        <v>0.14040581046071599</v>
      </c>
      <c r="G90" s="148">
        <f>+G91</f>
        <v>13309265.480335999</v>
      </c>
      <c r="H90" s="144">
        <f>+H91</f>
        <v>11892474.643507</v>
      </c>
      <c r="I90" s="172">
        <f t="shared" si="8"/>
        <v>-0.10645146713184594</v>
      </c>
      <c r="J90" s="181">
        <f>SUM(J91)</f>
        <v>1</v>
      </c>
    </row>
    <row r="91" spans="3:10" x14ac:dyDescent="0.25">
      <c r="C91" s="91" t="s">
        <v>99</v>
      </c>
      <c r="D91" s="159">
        <v>1065597.1664139999</v>
      </c>
      <c r="E91" s="160">
        <v>1215213.200189</v>
      </c>
      <c r="F91" s="176">
        <f t="shared" si="7"/>
        <v>0.14040581046071599</v>
      </c>
      <c r="G91" s="166">
        <v>13309265.480335999</v>
      </c>
      <c r="H91" s="167">
        <v>11892474.643507</v>
      </c>
      <c r="I91" s="176">
        <f t="shared" si="8"/>
        <v>-0.10645146713184594</v>
      </c>
      <c r="J91" s="185">
        <f>(H91/$H$90)</f>
        <v>1</v>
      </c>
    </row>
    <row r="92" spans="3:10" x14ac:dyDescent="0.25">
      <c r="C92" s="85" t="s">
        <v>116</v>
      </c>
      <c r="D92" s="148">
        <f>SUM(D93:D93)</f>
        <v>2423.1167999999998</v>
      </c>
      <c r="E92" s="144">
        <f>SUM(E93:E93)</f>
        <v>2958.6111999999998</v>
      </c>
      <c r="F92" s="172">
        <f t="shared" si="7"/>
        <v>0.22099405195820521</v>
      </c>
      <c r="G92" s="148">
        <f>SUM(G93:G93)</f>
        <v>32317.234399999998</v>
      </c>
      <c r="H92" s="144">
        <f>SUM(H93:H93)</f>
        <v>33816.185040000004</v>
      </c>
      <c r="I92" s="172">
        <f t="shared" si="8"/>
        <v>4.6382392176479215E-2</v>
      </c>
      <c r="J92" s="181">
        <f>SUM(J93:J93)</f>
        <v>1</v>
      </c>
    </row>
    <row r="93" spans="3:10" x14ac:dyDescent="0.25">
      <c r="C93" s="205" t="s">
        <v>106</v>
      </c>
      <c r="D93" s="206">
        <v>2423.1167999999998</v>
      </c>
      <c r="E93" s="207">
        <v>2958.6111999999998</v>
      </c>
      <c r="F93" s="173">
        <f t="shared" si="7"/>
        <v>0.22099405195820521</v>
      </c>
      <c r="G93" s="152">
        <v>32317.234399999998</v>
      </c>
      <c r="H93" s="153">
        <v>33816.185040000004</v>
      </c>
      <c r="I93" s="173">
        <f t="shared" si="8"/>
        <v>4.6382392176479215E-2</v>
      </c>
      <c r="J93" s="182">
        <f>(H93/$H$92)</f>
        <v>1</v>
      </c>
    </row>
    <row r="94" spans="3:10" x14ac:dyDescent="0.25">
      <c r="C94" s="85" t="s">
        <v>117</v>
      </c>
      <c r="D94" s="148">
        <f>SUM(D95:D99)</f>
        <v>3974.3798816428002</v>
      </c>
      <c r="E94" s="144">
        <f>SUM(E95:E99)</f>
        <v>3215.0096823200001</v>
      </c>
      <c r="F94" s="172">
        <f t="shared" ref="F94:F113" si="9">(E94-D94)/D94</f>
        <v>-0.19106633536221412</v>
      </c>
      <c r="G94" s="148">
        <f>SUM(G95:G99)</f>
        <v>41941.797900007805</v>
      </c>
      <c r="H94" s="144">
        <f>SUM(H95:H99)</f>
        <v>38009.426725496101</v>
      </c>
      <c r="I94" s="172">
        <f t="shared" si="8"/>
        <v>-9.3757811333857299E-2</v>
      </c>
      <c r="J94" s="181">
        <f>SUM(J95:J99)</f>
        <v>1</v>
      </c>
    </row>
    <row r="95" spans="3:10" x14ac:dyDescent="0.25">
      <c r="C95" s="89" t="s">
        <v>97</v>
      </c>
      <c r="D95" s="99">
        <v>768.02138449999995</v>
      </c>
      <c r="E95" s="100">
        <v>1034.2183212</v>
      </c>
      <c r="F95" s="173">
        <f t="shared" si="9"/>
        <v>0.34660094376577877</v>
      </c>
      <c r="G95" s="99">
        <v>8967.9493577000012</v>
      </c>
      <c r="H95" s="100">
        <v>10601.222741700001</v>
      </c>
      <c r="I95" s="173">
        <f t="shared" ref="I95:I106" si="10">(H95-G95)/G95</f>
        <v>0.1821233950878246</v>
      </c>
      <c r="J95" s="182">
        <f>(H95/$H$94)</f>
        <v>0.27891035606145764</v>
      </c>
    </row>
    <row r="96" spans="3:10" x14ac:dyDescent="0.25">
      <c r="C96" s="86" t="s">
        <v>95</v>
      </c>
      <c r="D96" s="154">
        <v>1084.5943847999999</v>
      </c>
      <c r="E96" s="145">
        <v>801.68168879999996</v>
      </c>
      <c r="F96" s="174">
        <f t="shared" si="9"/>
        <v>-0.26084654315462763</v>
      </c>
      <c r="G96" s="154">
        <v>9146.254227200001</v>
      </c>
      <c r="H96" s="145">
        <v>9787.6326317999992</v>
      </c>
      <c r="I96" s="174">
        <f t="shared" si="10"/>
        <v>7.0124707740203213E-2</v>
      </c>
      <c r="J96" s="183">
        <f>(H96/$H$94)</f>
        <v>0.25750539997580696</v>
      </c>
    </row>
    <row r="97" spans="3:10" x14ac:dyDescent="0.25">
      <c r="C97" s="86" t="s">
        <v>93</v>
      </c>
      <c r="D97" s="154">
        <v>1019.1688664927999</v>
      </c>
      <c r="E97" s="145">
        <v>755.31117540000002</v>
      </c>
      <c r="F97" s="174">
        <f t="shared" si="9"/>
        <v>-0.25889496801525769</v>
      </c>
      <c r="G97" s="154">
        <v>10085.970823477803</v>
      </c>
      <c r="H97" s="145">
        <v>9147.5736173660989</v>
      </c>
      <c r="I97" s="174">
        <f t="shared" si="10"/>
        <v>-9.3039849364558197E-2</v>
      </c>
      <c r="J97" s="183">
        <f>(H97/$H$94)</f>
        <v>0.24066591910027563</v>
      </c>
    </row>
    <row r="98" spans="3:10" x14ac:dyDescent="0.25">
      <c r="C98" s="86" t="s">
        <v>94</v>
      </c>
      <c r="D98" s="154">
        <v>157.327134</v>
      </c>
      <c r="E98" s="145">
        <v>341.95801699999998</v>
      </c>
      <c r="F98" s="174">
        <f t="shared" si="9"/>
        <v>1.1735476157596565</v>
      </c>
      <c r="G98" s="154">
        <v>3132.1309079999996</v>
      </c>
      <c r="H98" s="145">
        <v>2910.053124</v>
      </c>
      <c r="I98" s="174">
        <f t="shared" si="10"/>
        <v>-7.0903097770522575E-2</v>
      </c>
      <c r="J98" s="183">
        <f>(H98/$H$94)</f>
        <v>7.6561352661706522E-2</v>
      </c>
    </row>
    <row r="99" spans="3:10" x14ac:dyDescent="0.25">
      <c r="C99" s="88" t="s">
        <v>126</v>
      </c>
      <c r="D99" s="131">
        <v>945.26811184999997</v>
      </c>
      <c r="E99" s="146">
        <v>281.84047992000001</v>
      </c>
      <c r="F99" s="174">
        <f t="shared" si="9"/>
        <v>-0.70184069854170228</v>
      </c>
      <c r="G99" s="154">
        <v>10609.492583630001</v>
      </c>
      <c r="H99" s="145">
        <v>5562.9446106299993</v>
      </c>
      <c r="I99" s="174">
        <f t="shared" si="10"/>
        <v>-0.4756634620572347</v>
      </c>
      <c r="J99" s="213">
        <f t="shared" ref="J99" si="11">(H99/$H$94)</f>
        <v>0.14635697220075322</v>
      </c>
    </row>
    <row r="100" spans="3:10" x14ac:dyDescent="0.25">
      <c r="C100" s="85" t="s">
        <v>118</v>
      </c>
      <c r="D100" s="148">
        <f>SUM(D101:D106)</f>
        <v>3148.8168874999997</v>
      </c>
      <c r="E100" s="144">
        <f>SUM(E101:E106)</f>
        <v>2972.5482317000001</v>
      </c>
      <c r="F100" s="172">
        <f t="shared" si="9"/>
        <v>-5.5979328775751049E-2</v>
      </c>
      <c r="G100" s="148">
        <f>SUM(G101:G106)</f>
        <v>32027.78441728</v>
      </c>
      <c r="H100" s="144">
        <f>SUM(H101:H106)</f>
        <v>28040.647535970002</v>
      </c>
      <c r="I100" s="172">
        <f t="shared" si="10"/>
        <v>-0.12448993752932881</v>
      </c>
      <c r="J100" s="181">
        <f>SUM(J101:J106)</f>
        <v>0.99999999999999989</v>
      </c>
    </row>
    <row r="101" spans="3:10" x14ac:dyDescent="0.25">
      <c r="C101" s="76" t="s">
        <v>101</v>
      </c>
      <c r="D101" s="118">
        <v>1955.4262418000001</v>
      </c>
      <c r="E101" s="119">
        <v>1881.0636767999999</v>
      </c>
      <c r="F101" s="110">
        <f t="shared" si="9"/>
        <v>-3.8028826355295427E-2</v>
      </c>
      <c r="G101" s="99">
        <v>18343.691767100001</v>
      </c>
      <c r="H101" s="100">
        <v>17974.932739600001</v>
      </c>
      <c r="I101" s="134">
        <f t="shared" si="10"/>
        <v>-2.0102770597213226E-2</v>
      </c>
      <c r="J101" s="182">
        <f>(H101/$H$100)</f>
        <v>0.64103129988500096</v>
      </c>
    </row>
    <row r="102" spans="3:10" x14ac:dyDescent="0.25">
      <c r="C102" s="72" t="s">
        <v>98</v>
      </c>
      <c r="D102" s="103">
        <v>1035.2701489999999</v>
      </c>
      <c r="E102" s="104">
        <v>929.43725400000005</v>
      </c>
      <c r="F102" s="113">
        <f t="shared" si="9"/>
        <v>-0.10222732211706019</v>
      </c>
      <c r="G102" s="101">
        <v>12054.603731999998</v>
      </c>
      <c r="H102" s="102">
        <v>8083.6682130000008</v>
      </c>
      <c r="I102" s="111">
        <f t="shared" si="10"/>
        <v>-0.32941236454407885</v>
      </c>
      <c r="J102" s="183">
        <f t="shared" ref="J102:J106" si="12">(H102/$H$100)</f>
        <v>0.28828393504930394</v>
      </c>
    </row>
    <row r="103" spans="3:10" x14ac:dyDescent="0.25">
      <c r="C103" s="72" t="s">
        <v>96</v>
      </c>
      <c r="D103" s="103">
        <v>106.1665565</v>
      </c>
      <c r="E103" s="104">
        <v>93.466121999999999</v>
      </c>
      <c r="F103" s="113">
        <f t="shared" si="9"/>
        <v>-0.11962745066521961</v>
      </c>
      <c r="G103" s="101">
        <v>1149.2426109800001</v>
      </c>
      <c r="H103" s="102">
        <v>1231.0597491700003</v>
      </c>
      <c r="I103" s="111">
        <f t="shared" si="10"/>
        <v>7.1192224695037859E-2</v>
      </c>
      <c r="J103" s="183">
        <f t="shared" si="12"/>
        <v>4.3902686184076903E-2</v>
      </c>
    </row>
    <row r="104" spans="3:10" x14ac:dyDescent="0.25">
      <c r="C104" s="72" t="s">
        <v>104</v>
      </c>
      <c r="D104" s="103">
        <v>50.658940200000004</v>
      </c>
      <c r="E104" s="104">
        <v>67.904378899999998</v>
      </c>
      <c r="F104" s="113">
        <f t="shared" si="9"/>
        <v>0.34042241373221604</v>
      </c>
      <c r="G104" s="101">
        <v>466.6055432</v>
      </c>
      <c r="H104" s="102">
        <v>720.01178420000008</v>
      </c>
      <c r="I104" s="111">
        <f t="shared" si="10"/>
        <v>0.54308450615937753</v>
      </c>
      <c r="J104" s="183">
        <f t="shared" si="12"/>
        <v>2.567743071112687E-2</v>
      </c>
    </row>
    <row r="105" spans="3:10" x14ac:dyDescent="0.25">
      <c r="C105" s="72" t="s">
        <v>102</v>
      </c>
      <c r="D105" s="223">
        <v>0</v>
      </c>
      <c r="E105" s="104">
        <v>0</v>
      </c>
      <c r="F105" s="113" t="s">
        <v>45</v>
      </c>
      <c r="G105" s="101">
        <v>4.0247039999999998</v>
      </c>
      <c r="H105" s="102">
        <v>23.57432</v>
      </c>
      <c r="I105" s="111">
        <f t="shared" si="10"/>
        <v>4.8574046687657031</v>
      </c>
      <c r="J105" s="183">
        <f t="shared" si="12"/>
        <v>8.4071952938174186E-4</v>
      </c>
    </row>
    <row r="106" spans="3:10" x14ac:dyDescent="0.25">
      <c r="C106" s="75" t="s">
        <v>100</v>
      </c>
      <c r="D106" s="187">
        <v>1.2949999999999999</v>
      </c>
      <c r="E106" s="186">
        <v>0.67679999999999996</v>
      </c>
      <c r="F106" s="115">
        <f t="shared" si="9"/>
        <v>-0.47737451737451736</v>
      </c>
      <c r="G106" s="125">
        <v>9.6160600000000009</v>
      </c>
      <c r="H106" s="126">
        <v>7.4007300000000003</v>
      </c>
      <c r="I106" s="137">
        <f t="shared" si="10"/>
        <v>-0.2303781382395701</v>
      </c>
      <c r="J106" s="214">
        <f t="shared" si="12"/>
        <v>2.6392864110953522E-4</v>
      </c>
    </row>
    <row r="107" spans="3:10" x14ac:dyDescent="0.25">
      <c r="C107" s="85" t="s">
        <v>119</v>
      </c>
      <c r="D107" s="148">
        <f>SUM(D108:D110)</f>
        <v>22.705434199999999</v>
      </c>
      <c r="E107" s="144">
        <f>SUM(E108:E110)</f>
        <v>26.207847999999998</v>
      </c>
      <c r="F107" s="172">
        <f t="shared" si="9"/>
        <v>0.15425442954092458</v>
      </c>
      <c r="G107" s="148">
        <f>SUM(G108:G110)</f>
        <v>265.34277629999997</v>
      </c>
      <c r="H107" s="144">
        <f>SUM(H108:H110)</f>
        <v>283.76478187999999</v>
      </c>
      <c r="I107" s="172">
        <f>(H107-G107)/G107</f>
        <v>6.9427198421907893E-2</v>
      </c>
      <c r="J107" s="181">
        <f>SUM(J108:J110)</f>
        <v>1</v>
      </c>
    </row>
    <row r="108" spans="3:10" x14ac:dyDescent="0.25">
      <c r="C108" s="76" t="s">
        <v>101</v>
      </c>
      <c r="D108" s="118">
        <v>16.484100000000002</v>
      </c>
      <c r="E108" s="119">
        <v>20.714782999999997</v>
      </c>
      <c r="F108" s="110">
        <f t="shared" si="9"/>
        <v>0.25665234984014867</v>
      </c>
      <c r="G108" s="99">
        <v>189.807007</v>
      </c>
      <c r="H108" s="100">
        <v>226.86434100000002</v>
      </c>
      <c r="I108" s="110">
        <f>(H108-G108)/G108</f>
        <v>0.19523691240755947</v>
      </c>
      <c r="J108" s="182">
        <f>(H108/$H$107)</f>
        <v>0.79948025789873267</v>
      </c>
    </row>
    <row r="109" spans="3:10" x14ac:dyDescent="0.25">
      <c r="C109" s="72" t="s">
        <v>96</v>
      </c>
      <c r="D109" s="103">
        <v>6.0563342000000002</v>
      </c>
      <c r="E109" s="104">
        <v>5.4066650000000003</v>
      </c>
      <c r="F109" s="113">
        <f t="shared" si="9"/>
        <v>-0.1072710287355014</v>
      </c>
      <c r="G109" s="101">
        <v>73.9052693</v>
      </c>
      <c r="H109" s="102">
        <v>55.951500879999998</v>
      </c>
      <c r="I109" s="113">
        <f>(H109-G109)/G109</f>
        <v>-0.24292947701903581</v>
      </c>
      <c r="J109" s="183">
        <f>(H109/$H$107)</f>
        <v>0.19717563437333488</v>
      </c>
    </row>
    <row r="110" spans="3:10" x14ac:dyDescent="0.25">
      <c r="C110" s="75" t="s">
        <v>100</v>
      </c>
      <c r="D110" s="187">
        <v>0.16500000000000001</v>
      </c>
      <c r="E110" s="186">
        <v>8.6400000000000005E-2</v>
      </c>
      <c r="F110" s="115">
        <f t="shared" si="9"/>
        <v>-0.47636363636363638</v>
      </c>
      <c r="G110" s="125">
        <v>1.6304999999999998</v>
      </c>
      <c r="H110" s="126">
        <v>0.94894000000000012</v>
      </c>
      <c r="I110" s="115">
        <f>(H110-G110)/G110</f>
        <v>-0.41800674639681068</v>
      </c>
      <c r="J110" s="211">
        <f>(H110/$H$107)</f>
        <v>3.3441077279325422E-3</v>
      </c>
    </row>
    <row r="111" spans="3:10" x14ac:dyDescent="0.25">
      <c r="C111" s="85" t="s">
        <v>120</v>
      </c>
      <c r="D111" s="148">
        <f>SUM(D112:D113)</f>
        <v>28.019353000000002</v>
      </c>
      <c r="E111" s="144">
        <f>SUM(E112:E113)</f>
        <v>23.648885</v>
      </c>
      <c r="F111" s="172">
        <f t="shared" si="9"/>
        <v>-0.15598033259368987</v>
      </c>
      <c r="G111" s="148">
        <f>SUM(G112:G113)</f>
        <v>317.31784799999991</v>
      </c>
      <c r="H111" s="144">
        <f>SUM(H112:H113)</f>
        <v>311.762111</v>
      </c>
      <c r="I111" s="172">
        <f t="shared" ref="I111:I119" si="13">(H111-G111)/G111</f>
        <v>-1.7508428961739049E-2</v>
      </c>
      <c r="J111" s="181">
        <f>SUM(J112:J113)</f>
        <v>1</v>
      </c>
    </row>
    <row r="112" spans="3:10" x14ac:dyDescent="0.25">
      <c r="C112" s="76" t="s">
        <v>95</v>
      </c>
      <c r="D112" s="118">
        <v>17.374666000000001</v>
      </c>
      <c r="E112" s="119">
        <v>13.656485</v>
      </c>
      <c r="F112" s="110">
        <f t="shared" si="9"/>
        <v>-0.21400014250633659</v>
      </c>
      <c r="G112" s="99">
        <v>188.57856299999995</v>
      </c>
      <c r="H112" s="100">
        <v>179.669387</v>
      </c>
      <c r="I112" s="110">
        <f t="shared" si="13"/>
        <v>-4.7243842875183795E-2</v>
      </c>
      <c r="J112" s="182">
        <f>(H112/$H$111)</f>
        <v>0.57630283046165287</v>
      </c>
    </row>
    <row r="113" spans="3:10" x14ac:dyDescent="0.25">
      <c r="C113" s="75" t="s">
        <v>96</v>
      </c>
      <c r="D113" s="105">
        <v>10.644686999999999</v>
      </c>
      <c r="E113" s="106">
        <v>9.9923999999999999</v>
      </c>
      <c r="F113" s="115">
        <f t="shared" si="9"/>
        <v>-6.127817567580892E-2</v>
      </c>
      <c r="G113" s="125">
        <v>128.739285</v>
      </c>
      <c r="H113" s="126">
        <v>132.092724</v>
      </c>
      <c r="I113" s="115">
        <f t="shared" si="13"/>
        <v>2.6048295980516039E-2</v>
      </c>
      <c r="J113" s="211">
        <f>(H113/$H$111)</f>
        <v>0.42369716953834713</v>
      </c>
    </row>
    <row r="114" spans="3:10" x14ac:dyDescent="0.25">
      <c r="C114" s="85" t="s">
        <v>121</v>
      </c>
      <c r="D114" s="148">
        <f>SUM(D115:D117)</f>
        <v>5339.3882457999998</v>
      </c>
      <c r="E114" s="144">
        <f>SUM(E115:E117)</f>
        <v>2274.5649870000007</v>
      </c>
      <c r="F114" s="172">
        <f>(E114-D114)/D114</f>
        <v>-0.57400269800773729</v>
      </c>
      <c r="G114" s="148">
        <f>SUM(G115:G117)</f>
        <v>24159.249493899999</v>
      </c>
      <c r="H114" s="144">
        <f>SUM(H115:H117)</f>
        <v>37327.145479800005</v>
      </c>
      <c r="I114" s="172">
        <f t="shared" si="13"/>
        <v>0.54504573866107831</v>
      </c>
      <c r="J114" s="181">
        <f>SUM(J115:J117)</f>
        <v>1</v>
      </c>
    </row>
    <row r="115" spans="3:10" x14ac:dyDescent="0.25">
      <c r="C115" s="76" t="s">
        <v>102</v>
      </c>
      <c r="D115" s="118">
        <v>5242.2884875999998</v>
      </c>
      <c r="E115" s="119">
        <v>2201.2572460000006</v>
      </c>
      <c r="F115" s="110">
        <f>(E115-D115)/D115</f>
        <v>-0.5800961257269972</v>
      </c>
      <c r="G115" s="99">
        <v>23002.5878299</v>
      </c>
      <c r="H115" s="100">
        <v>36307.099937800005</v>
      </c>
      <c r="I115" s="110">
        <f t="shared" si="13"/>
        <v>0.57839197077670046</v>
      </c>
      <c r="J115" s="182">
        <f>(H115/$H$114)</f>
        <v>0.97267282218105833</v>
      </c>
    </row>
    <row r="116" spans="3:10" x14ac:dyDescent="0.25">
      <c r="C116" s="72" t="s">
        <v>95</v>
      </c>
      <c r="D116" s="103">
        <v>85.080218000000002</v>
      </c>
      <c r="E116" s="104">
        <v>63.315340999999997</v>
      </c>
      <c r="F116" s="113">
        <f>(E116-D116)/D116</f>
        <v>-0.25581595242268895</v>
      </c>
      <c r="G116" s="101">
        <v>995.16738500000019</v>
      </c>
      <c r="H116" s="102">
        <v>887.40402999999992</v>
      </c>
      <c r="I116" s="113">
        <f t="shared" si="13"/>
        <v>-0.10828666275070928</v>
      </c>
      <c r="J116" s="183">
        <f>(H116/$H$114)</f>
        <v>2.3773691199618474E-2</v>
      </c>
    </row>
    <row r="117" spans="3:10" x14ac:dyDescent="0.25">
      <c r="C117" s="75" t="s">
        <v>96</v>
      </c>
      <c r="D117" s="105">
        <v>12.0195402</v>
      </c>
      <c r="E117" s="106">
        <v>9.9923999999999999</v>
      </c>
      <c r="F117" s="115">
        <f>(E117-D117)/D117</f>
        <v>-0.16865372271062415</v>
      </c>
      <c r="G117" s="125">
        <v>161.49427900000001</v>
      </c>
      <c r="H117" s="126">
        <v>132.64151200000001</v>
      </c>
      <c r="I117" s="115">
        <f t="shared" si="13"/>
        <v>-0.17866123294683398</v>
      </c>
      <c r="J117" s="211">
        <f>(H117/$H$114)</f>
        <v>3.5534866193232058E-3</v>
      </c>
    </row>
    <row r="118" spans="3:10" x14ac:dyDescent="0.25">
      <c r="C118" s="85" t="s">
        <v>122</v>
      </c>
      <c r="D118" s="148">
        <f>SUM(D119)</f>
        <v>2.2173579999999999</v>
      </c>
      <c r="E118" s="144">
        <f>SUM(E119)</f>
        <v>3.0059399999999998</v>
      </c>
      <c r="F118" s="172">
        <f t="shared" ref="F118:F119" si="14">(E118-D118)/D118</f>
        <v>0.35564036118660131</v>
      </c>
      <c r="G118" s="199">
        <f>SUM(G119)</f>
        <v>40.573911600000002</v>
      </c>
      <c r="H118" s="199">
        <f>SUM(H119)</f>
        <v>35.532075999999996</v>
      </c>
      <c r="I118" s="179">
        <f t="shared" si="13"/>
        <v>-0.12426299070459861</v>
      </c>
      <c r="J118" s="181">
        <f>SUM(J119)</f>
        <v>1</v>
      </c>
    </row>
    <row r="119" spans="3:10" x14ac:dyDescent="0.25">
      <c r="C119" s="92" t="s">
        <v>96</v>
      </c>
      <c r="D119" s="260">
        <v>2.2173579999999999</v>
      </c>
      <c r="E119" s="261">
        <v>3.0059399999999998</v>
      </c>
      <c r="F119" s="177">
        <f t="shared" si="14"/>
        <v>0.35564036118660131</v>
      </c>
      <c r="G119" s="203">
        <v>40.573911600000002</v>
      </c>
      <c r="H119" s="127">
        <v>35.532075999999996</v>
      </c>
      <c r="I119" s="128">
        <f t="shared" si="13"/>
        <v>-0.12426299070459861</v>
      </c>
      <c r="J119" s="185">
        <f>(H119/$H$118)</f>
        <v>1</v>
      </c>
    </row>
    <row r="120" spans="3:10" ht="180.6" customHeight="1" x14ac:dyDescent="0.25">
      <c r="C120" s="280" t="s">
        <v>136</v>
      </c>
      <c r="D120" s="281"/>
      <c r="E120" s="281"/>
      <c r="F120" s="281"/>
      <c r="G120" s="281"/>
      <c r="H120" s="281"/>
      <c r="I120" s="281"/>
      <c r="J120" s="282"/>
    </row>
    <row r="121" spans="3:10" x14ac:dyDescent="0.25">
      <c r="D121" s="93"/>
      <c r="E121" s="93"/>
      <c r="F121" s="178"/>
    </row>
    <row r="122" spans="3:10" x14ac:dyDescent="0.25">
      <c r="F122" s="62"/>
    </row>
    <row r="123" spans="3:10" x14ac:dyDescent="0.25">
      <c r="F123" s="62"/>
    </row>
    <row r="124" spans="3:10" x14ac:dyDescent="0.25">
      <c r="F124" s="62"/>
    </row>
    <row r="125" spans="3:10" x14ac:dyDescent="0.25">
      <c r="F125" s="62"/>
    </row>
  </sheetData>
  <mergeCells count="5">
    <mergeCell ref="C3:J3"/>
    <mergeCell ref="C4:J4"/>
    <mergeCell ref="D8:F8"/>
    <mergeCell ref="G8:J8"/>
    <mergeCell ref="C120:J120"/>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HP</cp:lastModifiedBy>
  <dcterms:created xsi:type="dcterms:W3CDTF">2025-08-15T20:36:18Z</dcterms:created>
  <dcterms:modified xsi:type="dcterms:W3CDTF">2026-02-10T14:52:38Z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