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INEM\BEM\BEM 2025\BEM 08 - agosto 2025\CUADROS ESTADÍSTICOS\"/>
    </mc:Choice>
  </mc:AlternateContent>
  <xr:revisionPtr revIDLastSave="0" documentId="13_ncr:1_{E823C870-B5A4-4EC3-A190-C3660808C84D}" xr6:coauthVersionLast="47" xr6:coauthVersionMax="47" xr10:uidLastSave="{00000000-0000-0000-0000-000000000000}"/>
  <bookViews>
    <workbookView xWindow="0" yWindow="0" windowWidth="14400" windowHeight="15600" xr2:uid="{C2E09711-F6FF-4B8A-8D2D-18AB30956760}"/>
  </bookViews>
  <sheets>
    <sheet name="S01.C01" sheetId="1" r:id="rId1"/>
    <sheet name="S01.C02" sheetId="2" r:id="rId2"/>
    <sheet name="S01.C03" sheetId="3" r:id="rId3"/>
  </sheets>
  <definedNames>
    <definedName name="_xlnm._FilterDatabase" localSheetId="1" hidden="1">'S01.C02'!$C$9:$G$110</definedName>
    <definedName name="_xlnm._FilterDatabase" localSheetId="2" hidden="1">'S01.C03'!$C$11:$G$120</definedName>
    <definedName name="_xlnm.Print_Area" localSheetId="0">'S01.C01'!$B$2:$Q$73</definedName>
    <definedName name="_xlnm.Print_Area" localSheetId="1">'S01.C02'!$B$2:$K$111</definedName>
    <definedName name="_xlnm.Print_Area" localSheetId="2">'S01.C03'!$B$2:$K$121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5" i="3" l="1"/>
  <c r="F87" i="3"/>
  <c r="F73" i="3"/>
  <c r="F55" i="3"/>
  <c r="J109" i="2"/>
  <c r="F87" i="2"/>
  <c r="L58" i="1" l="1"/>
  <c r="I69" i="2"/>
  <c r="J107" i="2" l="1"/>
  <c r="H107" i="2" l="1"/>
  <c r="G107" i="2"/>
  <c r="F107" i="2"/>
  <c r="E107" i="2"/>
  <c r="D107" i="2"/>
  <c r="I58" i="1"/>
  <c r="P36" i="1" l="1"/>
  <c r="I87" i="2" l="1"/>
  <c r="F25" i="2"/>
  <c r="I105" i="3"/>
  <c r="F74" i="3"/>
  <c r="I74" i="3"/>
  <c r="I43" i="3"/>
  <c r="F43" i="3"/>
  <c r="D45" i="3"/>
  <c r="E45" i="3"/>
  <c r="F45" i="3" s="1"/>
  <c r="I96" i="2"/>
  <c r="I95" i="2"/>
  <c r="I94" i="2"/>
  <c r="I93" i="2"/>
  <c r="I92" i="2"/>
  <c r="F96" i="2"/>
  <c r="F94" i="2"/>
  <c r="F92" i="2"/>
  <c r="E36" i="1"/>
  <c r="F36" i="1"/>
  <c r="G36" i="1"/>
  <c r="H36" i="1"/>
  <c r="I36" i="1"/>
  <c r="J36" i="1"/>
  <c r="K36" i="1"/>
  <c r="L36" i="1"/>
  <c r="M36" i="1"/>
  <c r="N36" i="1"/>
  <c r="O36" i="1"/>
  <c r="D36" i="1"/>
  <c r="Q36" i="1" s="1"/>
  <c r="I119" i="3"/>
  <c r="F119" i="3"/>
  <c r="H118" i="3"/>
  <c r="J119" i="3" s="1"/>
  <c r="J118" i="3" s="1"/>
  <c r="G118" i="3"/>
  <c r="E118" i="3"/>
  <c r="D118" i="3"/>
  <c r="I117" i="3"/>
  <c r="F117" i="3"/>
  <c r="I116" i="3"/>
  <c r="F116" i="3"/>
  <c r="I115" i="3"/>
  <c r="F115" i="3"/>
  <c r="H114" i="3"/>
  <c r="J117" i="3" s="1"/>
  <c r="G114" i="3"/>
  <c r="E114" i="3"/>
  <c r="D114" i="3"/>
  <c r="I113" i="3"/>
  <c r="F113" i="3"/>
  <c r="I112" i="3"/>
  <c r="F112" i="3"/>
  <c r="H111" i="3"/>
  <c r="J113" i="3" s="1"/>
  <c r="G111" i="3"/>
  <c r="E111" i="3"/>
  <c r="D111" i="3"/>
  <c r="I110" i="3"/>
  <c r="F110" i="3"/>
  <c r="I109" i="3"/>
  <c r="F109" i="3"/>
  <c r="I108" i="3"/>
  <c r="F108" i="3"/>
  <c r="H107" i="3"/>
  <c r="J110" i="3" s="1"/>
  <c r="G107" i="3"/>
  <c r="E107" i="3"/>
  <c r="D107" i="3"/>
  <c r="I106" i="3"/>
  <c r="F106" i="3"/>
  <c r="I104" i="3"/>
  <c r="F104" i="3"/>
  <c r="I103" i="3"/>
  <c r="F103" i="3"/>
  <c r="I102" i="3"/>
  <c r="F102" i="3"/>
  <c r="I101" i="3"/>
  <c r="F101" i="3"/>
  <c r="H100" i="3"/>
  <c r="J105" i="3" s="1"/>
  <c r="G100" i="3"/>
  <c r="E100" i="3"/>
  <c r="D100" i="3"/>
  <c r="I99" i="3"/>
  <c r="F99" i="3"/>
  <c r="I98" i="3"/>
  <c r="I97" i="3"/>
  <c r="F97" i="3"/>
  <c r="I96" i="3"/>
  <c r="F96" i="3"/>
  <c r="I95" i="3"/>
  <c r="F95" i="3"/>
  <c r="H94" i="3"/>
  <c r="J98" i="3" s="1"/>
  <c r="G94" i="3"/>
  <c r="E94" i="3"/>
  <c r="D94" i="3"/>
  <c r="I93" i="3"/>
  <c r="F93" i="3"/>
  <c r="H92" i="3"/>
  <c r="J93" i="3" s="1"/>
  <c r="J92" i="3" s="1"/>
  <c r="G92" i="3"/>
  <c r="E92" i="3"/>
  <c r="D92" i="3"/>
  <c r="I91" i="3"/>
  <c r="F91" i="3"/>
  <c r="H90" i="3"/>
  <c r="G90" i="3"/>
  <c r="E90" i="3"/>
  <c r="D90" i="3"/>
  <c r="I88" i="3"/>
  <c r="F88" i="3"/>
  <c r="I87" i="3"/>
  <c r="I86" i="3"/>
  <c r="F86" i="3"/>
  <c r="I85" i="3"/>
  <c r="F85" i="3"/>
  <c r="I84" i="3"/>
  <c r="F84" i="3"/>
  <c r="I83" i="3"/>
  <c r="F83" i="3"/>
  <c r="I82" i="3"/>
  <c r="F82" i="3"/>
  <c r="I81" i="3"/>
  <c r="F81" i="3"/>
  <c r="I80" i="3"/>
  <c r="F80" i="3"/>
  <c r="I79" i="3"/>
  <c r="F79" i="3"/>
  <c r="I78" i="3"/>
  <c r="F78" i="3"/>
  <c r="H77" i="3"/>
  <c r="J85" i="3" s="1"/>
  <c r="G77" i="3"/>
  <c r="E77" i="3"/>
  <c r="D77" i="3"/>
  <c r="I75" i="3"/>
  <c r="I73" i="3"/>
  <c r="I72" i="3"/>
  <c r="F72" i="3"/>
  <c r="I71" i="3"/>
  <c r="F71" i="3"/>
  <c r="I70" i="3"/>
  <c r="F70" i="3"/>
  <c r="I69" i="3"/>
  <c r="F69" i="3"/>
  <c r="I68" i="3"/>
  <c r="F68" i="3"/>
  <c r="I67" i="3"/>
  <c r="F67" i="3"/>
  <c r="I66" i="3"/>
  <c r="F66" i="3"/>
  <c r="I65" i="3"/>
  <c r="F65" i="3"/>
  <c r="I64" i="3"/>
  <c r="F64" i="3"/>
  <c r="I63" i="3"/>
  <c r="F63" i="3"/>
  <c r="I62" i="3"/>
  <c r="F62" i="3"/>
  <c r="I61" i="3"/>
  <c r="F61" i="3"/>
  <c r="I60" i="3"/>
  <c r="F60" i="3"/>
  <c r="I59" i="3"/>
  <c r="F59" i="3"/>
  <c r="H58" i="3"/>
  <c r="J68" i="3" s="1"/>
  <c r="G58" i="3"/>
  <c r="E58" i="3"/>
  <c r="D58" i="3"/>
  <c r="I57" i="3"/>
  <c r="F57" i="3"/>
  <c r="I55" i="3"/>
  <c r="I54" i="3"/>
  <c r="F54" i="3"/>
  <c r="I53" i="3"/>
  <c r="F53" i="3"/>
  <c r="I52" i="3"/>
  <c r="F52" i="3"/>
  <c r="I51" i="3"/>
  <c r="F51" i="3"/>
  <c r="I50" i="3"/>
  <c r="F50" i="3"/>
  <c r="I49" i="3"/>
  <c r="F49" i="3"/>
  <c r="I48" i="3"/>
  <c r="F48" i="3"/>
  <c r="I47" i="3"/>
  <c r="F47" i="3"/>
  <c r="I46" i="3"/>
  <c r="F46" i="3"/>
  <c r="H45" i="3"/>
  <c r="J57" i="3" s="1"/>
  <c r="G45" i="3"/>
  <c r="I45" i="3" s="1"/>
  <c r="I42" i="3"/>
  <c r="F42" i="3"/>
  <c r="I41" i="3"/>
  <c r="F41" i="3"/>
  <c r="I40" i="3"/>
  <c r="F40" i="3"/>
  <c r="I39" i="3"/>
  <c r="F39" i="3"/>
  <c r="I38" i="3"/>
  <c r="F38" i="3"/>
  <c r="I37" i="3"/>
  <c r="F37" i="3"/>
  <c r="I36" i="3"/>
  <c r="F36" i="3"/>
  <c r="I35" i="3"/>
  <c r="F35" i="3"/>
  <c r="I34" i="3"/>
  <c r="F34" i="3"/>
  <c r="I33" i="3"/>
  <c r="F33" i="3"/>
  <c r="I32" i="3"/>
  <c r="F32" i="3"/>
  <c r="I31" i="3"/>
  <c r="F31" i="3"/>
  <c r="I30" i="3"/>
  <c r="F30" i="3"/>
  <c r="I29" i="3"/>
  <c r="F29" i="3"/>
  <c r="I28" i="3"/>
  <c r="F28" i="3"/>
  <c r="H27" i="3"/>
  <c r="J37" i="3" s="1"/>
  <c r="G27" i="3"/>
  <c r="E27" i="3"/>
  <c r="D27" i="3"/>
  <c r="I26" i="3"/>
  <c r="F26" i="3"/>
  <c r="I25" i="3"/>
  <c r="I24" i="3"/>
  <c r="F24" i="3"/>
  <c r="I23" i="3"/>
  <c r="F23" i="3"/>
  <c r="I22" i="3"/>
  <c r="F22" i="3"/>
  <c r="I21" i="3"/>
  <c r="F21" i="3"/>
  <c r="I20" i="3"/>
  <c r="F20" i="3"/>
  <c r="I19" i="3"/>
  <c r="F19" i="3"/>
  <c r="I18" i="3"/>
  <c r="F18" i="3"/>
  <c r="I17" i="3"/>
  <c r="F17" i="3"/>
  <c r="I16" i="3"/>
  <c r="F16" i="3"/>
  <c r="I15" i="3"/>
  <c r="F15" i="3"/>
  <c r="I14" i="3"/>
  <c r="F14" i="3"/>
  <c r="I13" i="3"/>
  <c r="F13" i="3"/>
  <c r="I12" i="3"/>
  <c r="F12" i="3"/>
  <c r="H11" i="3"/>
  <c r="J21" i="3" s="1"/>
  <c r="G11" i="3"/>
  <c r="E11" i="3"/>
  <c r="D11" i="3"/>
  <c r="I108" i="2"/>
  <c r="F108" i="2"/>
  <c r="I106" i="2"/>
  <c r="F106" i="2"/>
  <c r="I105" i="2"/>
  <c r="F105" i="2"/>
  <c r="I104" i="2"/>
  <c r="F104" i="2"/>
  <c r="I103" i="2"/>
  <c r="F103" i="2"/>
  <c r="H102" i="2"/>
  <c r="J106" i="2" s="1"/>
  <c r="G102" i="2"/>
  <c r="E102" i="2"/>
  <c r="D102" i="2"/>
  <c r="I101" i="2"/>
  <c r="F101" i="2"/>
  <c r="I100" i="2"/>
  <c r="F100" i="2"/>
  <c r="I99" i="2"/>
  <c r="F99" i="2"/>
  <c r="H98" i="2"/>
  <c r="J101" i="2" s="1"/>
  <c r="G98" i="2"/>
  <c r="E98" i="2"/>
  <c r="D98" i="2"/>
  <c r="H91" i="2"/>
  <c r="J96" i="2" s="1"/>
  <c r="G91" i="2"/>
  <c r="I91" i="2" s="1"/>
  <c r="E91" i="2"/>
  <c r="D91" i="2"/>
  <c r="I89" i="2"/>
  <c r="I88" i="2"/>
  <c r="F88" i="2"/>
  <c r="I86" i="2"/>
  <c r="F86" i="2"/>
  <c r="I85" i="2"/>
  <c r="F85" i="2"/>
  <c r="I84" i="2"/>
  <c r="F84" i="2"/>
  <c r="I83" i="2"/>
  <c r="F83" i="2"/>
  <c r="H82" i="2"/>
  <c r="J87" i="2" s="1"/>
  <c r="G82" i="2"/>
  <c r="E82" i="2"/>
  <c r="D82" i="2"/>
  <c r="I81" i="2"/>
  <c r="F81" i="2"/>
  <c r="I80" i="2"/>
  <c r="I79" i="2"/>
  <c r="F79" i="2"/>
  <c r="I78" i="2"/>
  <c r="F78" i="2"/>
  <c r="I77" i="2"/>
  <c r="F77" i="2"/>
  <c r="H76" i="2"/>
  <c r="J78" i="2" s="1"/>
  <c r="G76" i="2"/>
  <c r="E76" i="2"/>
  <c r="D76" i="2"/>
  <c r="I75" i="2"/>
  <c r="F75" i="2"/>
  <c r="H74" i="2"/>
  <c r="J75" i="2" s="1"/>
  <c r="J74" i="2" s="1"/>
  <c r="G74" i="2"/>
  <c r="E74" i="2"/>
  <c r="D74" i="2"/>
  <c r="I73" i="2"/>
  <c r="F73" i="2"/>
  <c r="I72" i="2"/>
  <c r="F72" i="2"/>
  <c r="H71" i="2"/>
  <c r="J73" i="2" s="1"/>
  <c r="G71" i="2"/>
  <c r="E71" i="2"/>
  <c r="D71" i="2"/>
  <c r="I70" i="2"/>
  <c r="F70" i="2"/>
  <c r="F69" i="2"/>
  <c r="I68" i="2"/>
  <c r="F68" i="2"/>
  <c r="I67" i="2"/>
  <c r="F67" i="2"/>
  <c r="I66" i="2"/>
  <c r="F66" i="2"/>
  <c r="I65" i="2"/>
  <c r="F65" i="2"/>
  <c r="I64" i="2"/>
  <c r="F64" i="2"/>
  <c r="I63" i="2"/>
  <c r="F63" i="2"/>
  <c r="I62" i="2"/>
  <c r="F62" i="2"/>
  <c r="I61" i="2"/>
  <c r="F61" i="2"/>
  <c r="I60" i="2"/>
  <c r="F60" i="2"/>
  <c r="H59" i="2"/>
  <c r="J61" i="2" s="1"/>
  <c r="G59" i="2"/>
  <c r="E59" i="2"/>
  <c r="D59" i="2"/>
  <c r="I58" i="2"/>
  <c r="F58" i="2"/>
  <c r="I57" i="2"/>
  <c r="F57" i="2"/>
  <c r="I56" i="2"/>
  <c r="F56" i="2"/>
  <c r="I55" i="2"/>
  <c r="F55" i="2"/>
  <c r="I54" i="2"/>
  <c r="F54" i="2"/>
  <c r="I53" i="2"/>
  <c r="F53" i="2"/>
  <c r="I52" i="2"/>
  <c r="F52" i="2"/>
  <c r="I51" i="2"/>
  <c r="F51" i="2"/>
  <c r="I50" i="2"/>
  <c r="F50" i="2"/>
  <c r="I49" i="2"/>
  <c r="F49" i="2"/>
  <c r="I48" i="2"/>
  <c r="F48" i="2"/>
  <c r="H47" i="2"/>
  <c r="J57" i="2" s="1"/>
  <c r="G47" i="2"/>
  <c r="E47" i="2"/>
  <c r="D47" i="2"/>
  <c r="I46" i="2"/>
  <c r="F46" i="2"/>
  <c r="I45" i="2"/>
  <c r="F45" i="2"/>
  <c r="I44" i="2"/>
  <c r="F44" i="2"/>
  <c r="I43" i="2"/>
  <c r="F43" i="2"/>
  <c r="I42" i="2"/>
  <c r="F42" i="2"/>
  <c r="I41" i="2"/>
  <c r="F41" i="2"/>
  <c r="I40" i="2"/>
  <c r="F40" i="2"/>
  <c r="I39" i="2"/>
  <c r="F39" i="2"/>
  <c r="I38" i="2"/>
  <c r="F38" i="2"/>
  <c r="I37" i="2"/>
  <c r="F37" i="2"/>
  <c r="I36" i="2"/>
  <c r="F36" i="2"/>
  <c r="H35" i="2"/>
  <c r="J37" i="2" s="1"/>
  <c r="G35" i="2"/>
  <c r="E35" i="2"/>
  <c r="D35" i="2"/>
  <c r="I34" i="2"/>
  <c r="F34" i="2"/>
  <c r="I33" i="2"/>
  <c r="F33" i="2"/>
  <c r="I32" i="2"/>
  <c r="F32" i="2"/>
  <c r="I31" i="2"/>
  <c r="F31" i="2"/>
  <c r="I30" i="2"/>
  <c r="F30" i="2"/>
  <c r="I29" i="2"/>
  <c r="F29" i="2"/>
  <c r="I28" i="2"/>
  <c r="F28" i="2"/>
  <c r="I27" i="2"/>
  <c r="F27" i="2"/>
  <c r="I26" i="2"/>
  <c r="F26" i="2"/>
  <c r="I25" i="2"/>
  <c r="I24" i="2"/>
  <c r="F24" i="2"/>
  <c r="H23" i="2"/>
  <c r="J28" i="2" s="1"/>
  <c r="G23" i="2"/>
  <c r="E23" i="2"/>
  <c r="D23" i="2"/>
  <c r="I22" i="2"/>
  <c r="F22" i="2"/>
  <c r="I21" i="2"/>
  <c r="F21" i="2"/>
  <c r="I20" i="2"/>
  <c r="F20" i="2"/>
  <c r="I19" i="2"/>
  <c r="F19" i="2"/>
  <c r="I18" i="2"/>
  <c r="F18" i="2"/>
  <c r="I17" i="2"/>
  <c r="F17" i="2"/>
  <c r="I16" i="2"/>
  <c r="F16" i="2"/>
  <c r="I15" i="2"/>
  <c r="F15" i="2"/>
  <c r="I14" i="2"/>
  <c r="F14" i="2"/>
  <c r="I13" i="2"/>
  <c r="F13" i="2"/>
  <c r="I12" i="2"/>
  <c r="F12" i="2"/>
  <c r="H11" i="2"/>
  <c r="J12" i="2" s="1"/>
  <c r="G11" i="2"/>
  <c r="I11" i="2" s="1"/>
  <c r="E11" i="2"/>
  <c r="D11" i="2"/>
  <c r="P58" i="1"/>
  <c r="O58" i="1"/>
  <c r="N58" i="1"/>
  <c r="M58" i="1"/>
  <c r="K58" i="1"/>
  <c r="J58" i="1"/>
  <c r="H58" i="1"/>
  <c r="G58" i="1"/>
  <c r="F58" i="1"/>
  <c r="E58" i="1"/>
  <c r="D58" i="1"/>
  <c r="P53" i="1"/>
  <c r="O53" i="1"/>
  <c r="N53" i="1"/>
  <c r="M53" i="1"/>
  <c r="L53" i="1"/>
  <c r="K53" i="1"/>
  <c r="J53" i="1"/>
  <c r="I53" i="1"/>
  <c r="H53" i="1"/>
  <c r="G53" i="1"/>
  <c r="F53" i="1"/>
  <c r="E53" i="1"/>
  <c r="D53" i="1"/>
  <c r="P48" i="1"/>
  <c r="O48" i="1"/>
  <c r="N48" i="1"/>
  <c r="M48" i="1"/>
  <c r="L48" i="1"/>
  <c r="K48" i="1"/>
  <c r="J48" i="1"/>
  <c r="I48" i="1"/>
  <c r="H48" i="1"/>
  <c r="G48" i="1"/>
  <c r="F48" i="1"/>
  <c r="E48" i="1"/>
  <c r="D48" i="1"/>
  <c r="Q35" i="1"/>
  <c r="Q34" i="1"/>
  <c r="Q33" i="1"/>
  <c r="Q32" i="1"/>
  <c r="Q31" i="1"/>
  <c r="Q30" i="1"/>
  <c r="Q29" i="1"/>
  <c r="Q28" i="1"/>
  <c r="Q27" i="1"/>
  <c r="Q26" i="1"/>
  <c r="Q25" i="1"/>
  <c r="Q24" i="1"/>
  <c r="Q23" i="1"/>
  <c r="Q22" i="1"/>
  <c r="I98" i="2" l="1"/>
  <c r="J43" i="2"/>
  <c r="J103" i="2"/>
  <c r="J65" i="3"/>
  <c r="J75" i="3"/>
  <c r="I58" i="3"/>
  <c r="J74" i="3"/>
  <c r="J43" i="3"/>
  <c r="J39" i="2"/>
  <c r="J62" i="2"/>
  <c r="J53" i="2"/>
  <c r="J18" i="2"/>
  <c r="F100" i="3"/>
  <c r="I92" i="3"/>
  <c r="F90" i="3"/>
  <c r="F58" i="3"/>
  <c r="J50" i="3"/>
  <c r="F111" i="3"/>
  <c r="J51" i="3"/>
  <c r="J87" i="3"/>
  <c r="J52" i="3"/>
  <c r="I118" i="3"/>
  <c r="J46" i="3"/>
  <c r="J69" i="3"/>
  <c r="I27" i="3"/>
  <c r="J80" i="3"/>
  <c r="I90" i="3"/>
  <c r="F77" i="3"/>
  <c r="F94" i="3"/>
  <c r="J53" i="3"/>
  <c r="J70" i="3"/>
  <c r="J59" i="3"/>
  <c r="F118" i="3"/>
  <c r="J47" i="3"/>
  <c r="J54" i="3"/>
  <c r="J63" i="3"/>
  <c r="J91" i="3"/>
  <c r="J90" i="3" s="1"/>
  <c r="J48" i="3"/>
  <c r="J55" i="3"/>
  <c r="F114" i="3"/>
  <c r="F92" i="3"/>
  <c r="F107" i="3"/>
  <c r="J64" i="3"/>
  <c r="J49" i="3"/>
  <c r="I102" i="2"/>
  <c r="F102" i="2"/>
  <c r="J99" i="2"/>
  <c r="F98" i="2"/>
  <c r="F82" i="2"/>
  <c r="J79" i="2"/>
  <c r="J80" i="2"/>
  <c r="F74" i="2"/>
  <c r="J72" i="2"/>
  <c r="J71" i="2" s="1"/>
  <c r="J58" i="2"/>
  <c r="J38" i="2"/>
  <c r="F35" i="2"/>
  <c r="J30" i="2"/>
  <c r="F23" i="2"/>
  <c r="J15" i="2"/>
  <c r="J16" i="2"/>
  <c r="J13" i="3"/>
  <c r="I23" i="2"/>
  <c r="I47" i="2"/>
  <c r="J63" i="2"/>
  <c r="I107" i="2"/>
  <c r="J16" i="3"/>
  <c r="J23" i="3"/>
  <c r="J54" i="2"/>
  <c r="F76" i="2"/>
  <c r="J22" i="3"/>
  <c r="F71" i="2"/>
  <c r="J92" i="2"/>
  <c r="I94" i="3"/>
  <c r="I100" i="3"/>
  <c r="I114" i="3"/>
  <c r="F11" i="2"/>
  <c r="J24" i="2"/>
  <c r="J48" i="2"/>
  <c r="I71" i="2"/>
  <c r="J93" i="2"/>
  <c r="J81" i="3"/>
  <c r="J101" i="3"/>
  <c r="J49" i="2"/>
  <c r="J94" i="2"/>
  <c r="F11" i="3"/>
  <c r="J102" i="3"/>
  <c r="F47" i="2"/>
  <c r="J34" i="2"/>
  <c r="J17" i="3"/>
  <c r="J24" i="3"/>
  <c r="J19" i="2"/>
  <c r="J32" i="3"/>
  <c r="J18" i="3"/>
  <c r="I11" i="3"/>
  <c r="J103" i="3"/>
  <c r="J13" i="2"/>
  <c r="J20" i="2"/>
  <c r="F59" i="2"/>
  <c r="J44" i="3"/>
  <c r="J44" i="2"/>
  <c r="J67" i="2"/>
  <c r="J19" i="3"/>
  <c r="J26" i="3"/>
  <c r="J99" i="3"/>
  <c r="J25" i="3"/>
  <c r="J12" i="3"/>
  <c r="J14" i="2"/>
  <c r="J29" i="2"/>
  <c r="J52" i="2"/>
  <c r="F27" i="3"/>
  <c r="J68" i="2"/>
  <c r="I74" i="2"/>
  <c r="F91" i="2"/>
  <c r="J20" i="3"/>
  <c r="J86" i="3"/>
  <c r="J106" i="3"/>
  <c r="I107" i="3"/>
  <c r="J25" i="2"/>
  <c r="I76" i="2"/>
  <c r="J39" i="3"/>
  <c r="I77" i="3"/>
  <c r="J115" i="3"/>
  <c r="J21" i="2"/>
  <c r="I35" i="2"/>
  <c r="J40" i="2"/>
  <c r="I59" i="2"/>
  <c r="J64" i="2"/>
  <c r="J95" i="2"/>
  <c r="J100" i="2"/>
  <c r="J104" i="2"/>
  <c r="J108" i="2"/>
  <c r="J14" i="3"/>
  <c r="J34" i="3"/>
  <c r="J56" i="3"/>
  <c r="J60" i="3"/>
  <c r="J88" i="3"/>
  <c r="J81" i="2"/>
  <c r="J89" i="2"/>
  <c r="J28" i="3"/>
  <c r="J45" i="2"/>
  <c r="J95" i="3"/>
  <c r="J29" i="3"/>
  <c r="J71" i="3"/>
  <c r="J26" i="2"/>
  <c r="J46" i="2"/>
  <c r="J50" i="2"/>
  <c r="J70" i="2"/>
  <c r="J84" i="2"/>
  <c r="J40" i="3"/>
  <c r="J66" i="3"/>
  <c r="J83" i="3"/>
  <c r="J96" i="3"/>
  <c r="J108" i="3"/>
  <c r="J112" i="3"/>
  <c r="J111" i="3" s="1"/>
  <c r="J116" i="3"/>
  <c r="I111" i="3"/>
  <c r="J82" i="3"/>
  <c r="J55" i="2"/>
  <c r="J22" i="2"/>
  <c r="J41" i="2"/>
  <c r="J65" i="2"/>
  <c r="J77" i="2"/>
  <c r="J105" i="2"/>
  <c r="J15" i="3"/>
  <c r="J35" i="3"/>
  <c r="J61" i="3"/>
  <c r="J78" i="3"/>
  <c r="J83" i="2"/>
  <c r="J31" i="2"/>
  <c r="J89" i="3"/>
  <c r="J17" i="2"/>
  <c r="J32" i="2"/>
  <c r="J36" i="2"/>
  <c r="J56" i="2"/>
  <c r="J60" i="2"/>
  <c r="J30" i="3"/>
  <c r="J72" i="3"/>
  <c r="J104" i="3"/>
  <c r="J69" i="2"/>
  <c r="J27" i="2"/>
  <c r="J51" i="2"/>
  <c r="J85" i="2"/>
  <c r="J41" i="3"/>
  <c r="J67" i="3"/>
  <c r="J84" i="3"/>
  <c r="J97" i="3"/>
  <c r="J109" i="3"/>
  <c r="J88" i="2"/>
  <c r="J42" i="2"/>
  <c r="J66" i="2"/>
  <c r="J36" i="3"/>
  <c r="J62" i="3"/>
  <c r="J73" i="3"/>
  <c r="J79" i="3"/>
  <c r="I82" i="2"/>
  <c r="J33" i="3"/>
  <c r="J33" i="2"/>
  <c r="J31" i="3"/>
  <c r="J38" i="3"/>
  <c r="J86" i="2"/>
  <c r="J42" i="3"/>
  <c r="J98" i="2" l="1"/>
  <c r="J100" i="3"/>
  <c r="J45" i="3"/>
  <c r="J11" i="2"/>
  <c r="J11" i="3"/>
  <c r="J35" i="2"/>
  <c r="J91" i="2"/>
  <c r="J94" i="3"/>
  <c r="J82" i="2"/>
  <c r="J58" i="3"/>
  <c r="J27" i="3"/>
  <c r="J23" i="2"/>
  <c r="J107" i="3"/>
  <c r="J76" i="2"/>
  <c r="J114" i="3"/>
  <c r="J77" i="3"/>
  <c r="J47" i="2"/>
  <c r="J102" i="2"/>
  <c r="J59" i="2"/>
</calcChain>
</file>

<file path=xl/sharedStrings.xml><?xml version="1.0" encoding="utf-8"?>
<sst xmlns="http://schemas.openxmlformats.org/spreadsheetml/2006/main" count="401" uniqueCount="152">
  <si>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</si>
  <si>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</si>
  <si>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</si>
  <si>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</si>
  <si>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</si>
  <si>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</si>
  <si>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</si>
  <si>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</si>
  <si>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</si>
  <si>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</si>
  <si>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</si>
  <si>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</si>
  <si>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</si>
  <si>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</si>
  <si>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</si>
  <si>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</si>
  <si>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</si>
  <si>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</si>
  <si>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</si>
  <si>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</si>
  <si>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</si>
  <si>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</si>
  <si>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</si>
  <si>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r>
      <t xml:space="preserve">Feb. / </t>
    </r>
    <r>
      <rPr>
        <i/>
        <sz val="10"/>
        <color rgb="FF000000"/>
        <rFont val="Calibri Light"/>
        <family val="2"/>
        <scheme val="major"/>
      </rPr>
      <t>Feb.</t>
    </r>
  </si>
  <si>
    <r>
      <t xml:space="preserve">Mar. / </t>
    </r>
    <r>
      <rPr>
        <i/>
        <sz val="10"/>
        <color rgb="FF000000"/>
        <rFont val="Calibri Light"/>
        <family val="2"/>
        <scheme val="major"/>
      </rPr>
      <t>Mar.</t>
    </r>
  </si>
  <si>
    <r>
      <t xml:space="preserve">Abr. / </t>
    </r>
    <r>
      <rPr>
        <i/>
        <sz val="10"/>
        <color rgb="FF000000"/>
        <rFont val="Calibri Light"/>
        <family val="2"/>
        <scheme val="major"/>
      </rPr>
      <t>Apr.</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</si>
  <si>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</si>
  <si>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</si>
  <si>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TMF :  Toneladas Métricas Finas / </t>
    </r>
    <r>
      <rPr>
        <i/>
        <sz val="10"/>
        <color rgb="FF000000"/>
        <rFont val="Calibri Light"/>
        <family val="2"/>
        <scheme val="major"/>
      </rPr>
      <t>FMT : Fine metric tons</t>
    </r>
    <r>
      <rPr>
        <sz val="10"/>
        <color rgb="FF000000"/>
        <rFont val="Calibri Light"/>
        <family val="2"/>
        <scheme val="major"/>
      </rPr>
      <t xml:space="preserve">
gf :  Gramos finos / </t>
    </r>
    <r>
      <rPr>
        <i/>
        <sz val="10"/>
        <color rgb="FF000000"/>
        <rFont val="Calibri Light"/>
        <family val="2"/>
        <scheme val="major"/>
      </rPr>
      <t>fg : Fine grams
kgf :  Kilogramos finos / fkg : Fine kilograms</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</si>
  <si>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</si>
  <si>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</si>
  <si>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</si>
  <si>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</si>
  <si>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</si>
  <si>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</si>
  <si>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SOUTHERN PERU COPPER CORPORATION SUCURSAL DEL PERU</t>
  </si>
  <si>
    <t>MINERA LAS BAMBAS S.A.</t>
  </si>
  <si>
    <t>COMPAÑIA MINERA ANTAMINA S.A.</t>
  </si>
  <si>
    <t>ANGLO AMERICAN QUELLAVECO S.A.</t>
  </si>
  <si>
    <t>MINERA CHINALCO PERU S.A.</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</si>
  <si>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</si>
  <si>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</si>
  <si>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</si>
  <si>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</si>
  <si>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</si>
  <si>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</si>
  <si>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</si>
  <si>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CONSORCIO MINERO HORIZONTE S.R.L.</t>
  </si>
  <si>
    <t>MINERA AURIFERA RETAMAS S.A.</t>
  </si>
  <si>
    <t>MINERA BOROO MISQUICHILCA S.A.</t>
  </si>
  <si>
    <t>COMPAÑIA MINERA ARES S.A.C.</t>
  </si>
  <si>
    <t>PALTARUMI S.A.C.</t>
  </si>
  <si>
    <t>SHAHUINDO S.A.C.</t>
  </si>
  <si>
    <t>GOLD FIELDS LA CIMA S.A.</t>
  </si>
  <si>
    <t>MINERA VETA DORADA S.A.C.</t>
  </si>
  <si>
    <r>
      <t xml:space="preserve">ZINC (TMF) / </t>
    </r>
    <r>
      <rPr>
        <i/>
        <sz val="9"/>
        <color theme="1"/>
        <rFont val="Calibri Light"/>
        <family val="2"/>
        <scheme val="major"/>
      </rPr>
      <t>Zinc (FTM)</t>
    </r>
  </si>
  <si>
    <t>VOLCAN COMPAÑIA MINERA S.A.A.</t>
  </si>
  <si>
    <t>NEXA RESOURCES PERU S.A.A.</t>
  </si>
  <si>
    <t>NEXA RESOURCES EL PORVENIR S.A.C.</t>
  </si>
  <si>
    <t>MINERA SHOUXIN PERU S.A.</t>
  </si>
  <si>
    <t>COMPAÑIA MINERA CHUNGAR S.A.C.</t>
  </si>
  <si>
    <t>COMPAÑIA MINERA RAURA S.A.</t>
  </si>
  <si>
    <t>SOBREANDES S.A.C.</t>
  </si>
  <si>
    <t>CATALINA HUANCA SOCIEDAD MINERA S.A.C.</t>
  </si>
  <si>
    <r>
      <t>PLATA (kg finos) /</t>
    </r>
    <r>
      <rPr>
        <i/>
        <sz val="9"/>
        <color theme="1"/>
        <rFont val="Calibri Light"/>
        <family val="2"/>
        <scheme val="major"/>
      </rPr>
      <t xml:space="preserve"> Silver (fkg)</t>
    </r>
  </si>
  <si>
    <t>COMPAÑIA DE MINAS BUENAVENTURA S.A.A.</t>
  </si>
  <si>
    <t>EMPRESA ADMINISTRADORA CERRO S.A.C.</t>
  </si>
  <si>
    <t>MARCOBRE S.A.C.</t>
  </si>
  <si>
    <r>
      <t xml:space="preserve">PLOMO (TMF) / </t>
    </r>
    <r>
      <rPr>
        <i/>
        <sz val="9"/>
        <color theme="1"/>
        <rFont val="Calibri Light"/>
        <family val="2"/>
        <scheme val="major"/>
      </rPr>
      <t>Lead (FTM)</t>
    </r>
  </si>
  <si>
    <t>COMPAÑIA MINERA KOLPA S.A.</t>
  </si>
  <si>
    <t>PAN AMERICAN SILVER HUARON S.A.</t>
  </si>
  <si>
    <t>MINERA BATEAS S.A.C.</t>
  </si>
  <si>
    <t>COMPAÑIA MINERA LINCUNA S.A.</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</si>
  <si>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</si>
  <si>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</si>
  <si>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</si>
  <si>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</si>
  <si>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</si>
  <si>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SOCIEDAD MINERA CERRO VERDE S.A.A.</t>
  </si>
  <si>
    <r>
      <t>ARSÉNICO (TMF) /</t>
    </r>
    <r>
      <rPr>
        <i/>
        <sz val="9"/>
        <color theme="1"/>
        <rFont val="Calibri Light"/>
        <family val="2"/>
        <scheme val="major"/>
      </rPr>
      <t xml:space="preserve"> Arsenic (FTM)</t>
    </r>
  </si>
  <si>
    <t>CMC CRITICAL MINERALS CORPORATION S.A.C.</t>
  </si>
  <si>
    <t>+</t>
  </si>
  <si>
    <t>SOCIEDAD MINERA ANDEREAL S.A.C.</t>
  </si>
  <si>
    <t>GLORE PERU S.A.C</t>
  </si>
  <si>
    <t>EL PACIFICO DORADO S.A.C.</t>
  </si>
  <si>
    <r>
      <t xml:space="preserve">BISMUTO (TMF) / </t>
    </r>
    <r>
      <rPr>
        <i/>
        <sz val="9"/>
        <color theme="1"/>
        <rFont val="Calibri Light"/>
        <family val="2"/>
        <scheme val="major"/>
      </rPr>
      <t>Bismuth (FTM)</t>
    </r>
  </si>
  <si>
    <t>NORCOBRE S.A.C.</t>
  </si>
  <si>
    <t>NEXA RESOURCES ATACOCHA S.A.A.</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</si>
  <si>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</si>
  <si>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</si>
  <si>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</si>
  <si>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</si>
  <si>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</si>
  <si>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</si>
  <si>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</si>
  <si>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MOQUEGUA</t>
  </si>
  <si>
    <t>APURÍMAC</t>
  </si>
  <si>
    <t>AREQUIPA</t>
  </si>
  <si>
    <t>ÁNCASH</t>
  </si>
  <si>
    <t>TACNA</t>
  </si>
  <si>
    <t>JUNÍN</t>
  </si>
  <si>
    <t>ICA</t>
  </si>
  <si>
    <t>CUSCO</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</si>
  <si>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</si>
  <si>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</si>
  <si>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</si>
  <si>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</si>
  <si>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</si>
  <si>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</si>
  <si>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</si>
  <si>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</si>
  <si>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</si>
  <si>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</si>
  <si>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</si>
  <si>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</si>
  <si>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</si>
  <si>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</si>
  <si>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</si>
  <si>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</si>
  <si>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</si>
  <si>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</si>
  <si>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</si>
  <si>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</si>
  <si>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</si>
  <si>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</si>
  <si>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r>
      <t xml:space="preserve">Jul. 2025
</t>
    </r>
    <r>
      <rPr>
        <i/>
        <sz val="8"/>
        <color rgb="FF000000"/>
        <rFont val="Calibri Light"/>
        <family val="2"/>
        <scheme val="major"/>
      </rPr>
      <t>(Jul. 2025)</t>
    </r>
  </si>
  <si>
    <t>OTROS (2024: 3 titulares mineros, 2025: 3 titulares mineros)</t>
  </si>
  <si>
    <r>
      <t xml:space="preserve">May. / </t>
    </r>
    <r>
      <rPr>
        <i/>
        <sz val="10"/>
        <color theme="1"/>
        <rFont val="Calibri Light"/>
        <family val="2"/>
        <scheme val="major"/>
      </rPr>
      <t>May.</t>
    </r>
  </si>
  <si>
    <r>
      <t xml:space="preserve">Jun. / </t>
    </r>
    <r>
      <rPr>
        <i/>
        <sz val="10"/>
        <color rgb="FF000000"/>
        <rFont val="Calibri Light"/>
        <family val="2"/>
        <scheme val="major"/>
      </rPr>
      <t>Jun.</t>
    </r>
  </si>
  <si>
    <t>OTROS** (2024: 3 departamentos, 2025: 3 departamentos)</t>
  </si>
  <si>
    <r>
      <rPr>
        <u/>
        <sz val="10"/>
        <color rgb="FF000000"/>
        <rFont val="Calibri Light"/>
        <family val="2"/>
        <scheme val="major"/>
      </rPr>
      <t>Fuente</t>
    </r>
    <r>
      <rPr>
        <sz val="10"/>
        <color rgb="FF000000"/>
        <rFont val="Calibri Light"/>
        <family val="2"/>
        <scheme val="major"/>
      </rPr>
      <t xml:space="preserve">:  Dirección de Gestión Minera, DGM. / </t>
    </r>
    <r>
      <rPr>
        <i/>
        <u/>
        <sz val="10"/>
        <color rgb="FF000000"/>
        <rFont val="Calibri Light"/>
        <family val="2"/>
        <scheme val="major"/>
      </rPr>
      <t>Source</t>
    </r>
    <r>
      <rPr>
        <i/>
        <sz val="10"/>
        <color rgb="FF000000"/>
        <rFont val="Calibri Light"/>
        <family val="2"/>
        <scheme val="major"/>
      </rPr>
      <t>: General Directorate of Mining, DGM.</t>
    </r>
    <r>
      <rPr>
        <sz val="10"/>
        <color rgb="FF000000"/>
        <rFont val="Calibri Light"/>
        <family val="2"/>
        <scheme val="major"/>
      </rPr>
      <t xml:space="preserve">
</t>
    </r>
    <r>
      <rPr>
        <u/>
        <sz val="10"/>
        <color rgb="FF000000"/>
        <rFont val="Calibri Light"/>
        <family val="2"/>
        <scheme val="major"/>
      </rPr>
      <t>Fecha de consulta</t>
    </r>
    <r>
      <rPr>
        <sz val="10"/>
        <color rgb="FF000000"/>
        <rFont val="Calibri Light"/>
        <family val="2"/>
        <scheme val="major"/>
      </rPr>
      <t>: 25 de setiembre de 2025. /</t>
    </r>
    <r>
      <rPr>
        <i/>
        <sz val="10"/>
        <color rgb="FF000000"/>
        <rFont val="Calibri Light"/>
        <family val="2"/>
        <scheme val="major"/>
      </rPr>
      <t xml:space="preserve"> </t>
    </r>
    <r>
      <rPr>
        <i/>
        <u/>
        <sz val="10"/>
        <color rgb="FF000000"/>
        <rFont val="Calibri Light"/>
        <family val="2"/>
        <scheme val="major"/>
      </rPr>
      <t>Date of consultation</t>
    </r>
    <r>
      <rPr>
        <i/>
        <sz val="10"/>
        <color rgb="FF000000"/>
        <rFont val="Calibri Light"/>
        <family val="2"/>
        <scheme val="major"/>
      </rPr>
      <t>: September 25, 2025.</t>
    </r>
    <r>
      <rPr>
        <sz val="10"/>
        <color rgb="FF000000"/>
        <rFont val="Calibri Light"/>
        <family val="2"/>
        <scheme val="major"/>
      </rPr>
      <t xml:space="preserve">
</t>
    </r>
    <r>
      <rPr>
        <u/>
        <sz val="10"/>
        <color rgb="FF000000"/>
        <rFont val="Calibri Light"/>
        <family val="2"/>
        <scheme val="major"/>
      </rPr>
      <t>Elaboración</t>
    </r>
    <r>
      <rPr>
        <sz val="10"/>
        <color rgb="FF000000"/>
        <rFont val="Calibri Light"/>
        <family val="2"/>
        <scheme val="major"/>
      </rPr>
      <t xml:space="preserve">: Dirección General de Promoción y Sostenibilidad Minera, DGPSM. / </t>
    </r>
    <r>
      <rPr>
        <i/>
        <u/>
        <sz val="10"/>
        <color rgb="FF000000"/>
        <rFont val="Calibri Light"/>
        <family val="2"/>
        <scheme val="major"/>
      </rPr>
      <t>Prepared by</t>
    </r>
    <r>
      <rPr>
        <i/>
        <sz val="10"/>
        <color rgb="FF000000"/>
        <rFont val="Calibri Light"/>
        <family val="2"/>
        <scheme val="major"/>
      </rPr>
      <t>: General Directorate of Mining Promotion and Sustainability, DGPSM.</t>
    </r>
    <r>
      <rPr>
        <sz val="10"/>
        <color rgb="FF000000"/>
        <rFont val="Calibri Light"/>
        <family val="2"/>
        <scheme val="major"/>
      </rPr>
      <t xml:space="preserve">
(*) Información preliminar. Incluye producción aurífera estimada de mineros artesanales de Madre de Dios, Puno, Piura y Arequipa. / </t>
    </r>
    <r>
      <rPr>
        <i/>
        <sz val="10"/>
        <color rgb="FF000000"/>
        <rFont val="Calibri Light"/>
        <family val="2"/>
        <scheme val="major"/>
      </rPr>
      <t>(*) Preliminary information. Includes estimated gold production from artisanal miners in Madre de Dios, Puno, Piura, and Arequipa.</t>
    </r>
    <r>
      <rPr>
        <sz val="10"/>
        <color rgb="FF000000"/>
        <rFont val="Calibri Light"/>
        <family val="2"/>
        <scheme val="major"/>
      </rPr>
      <t xml:space="preserve">
N/D: Información no disponible / </t>
    </r>
    <r>
      <rPr>
        <i/>
        <sz val="10"/>
        <color rgb="FF000000"/>
        <rFont val="Calibri Light"/>
        <family val="2"/>
        <scheme val="major"/>
      </rPr>
      <t>N/A: Information not available.</t>
    </r>
  </si>
  <si>
    <r>
      <rPr>
        <u/>
        <sz val="10"/>
        <color theme="1"/>
        <rFont val="Calibri Light"/>
        <family val="2"/>
        <scheme val="major"/>
      </rPr>
      <t>Fuente</t>
    </r>
    <r>
      <rPr>
        <sz val="10"/>
        <color theme="1"/>
        <rFont val="Calibri Light"/>
        <family val="2"/>
        <scheme val="major"/>
      </rPr>
      <t xml:space="preserve">:  Dirección de Gestión Minera, DGM. / </t>
    </r>
    <r>
      <rPr>
        <i/>
        <u/>
        <sz val="10"/>
        <color theme="1"/>
        <rFont val="Calibri Light"/>
        <family val="2"/>
        <scheme val="major"/>
      </rPr>
      <t>Source</t>
    </r>
    <r>
      <rPr>
        <i/>
        <sz val="10"/>
        <color theme="1"/>
        <rFont val="Calibri Light"/>
        <family val="2"/>
        <scheme val="major"/>
      </rPr>
      <t>: Mining Management Directorate, MMD.</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25 de setiembre de 2025. / </t>
    </r>
    <r>
      <rPr>
        <i/>
        <u/>
        <sz val="10"/>
        <color theme="1"/>
        <rFont val="Calibri Light"/>
        <family val="2"/>
        <scheme val="major"/>
      </rPr>
      <t>Date of consultation</t>
    </r>
    <r>
      <rPr>
        <i/>
        <sz val="10"/>
        <color theme="1"/>
        <rFont val="Calibri Light"/>
        <family val="2"/>
        <scheme val="major"/>
      </rPr>
      <t>: September 25,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General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GDPMS.</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</si>
  <si>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25 de setiembre de 2025. / </t>
    </r>
    <r>
      <rPr>
        <i/>
        <u/>
        <sz val="10"/>
        <color theme="1"/>
        <rFont val="Calibri Light"/>
        <family val="2"/>
        <scheme val="major"/>
      </rPr>
      <t>Date of consultation</t>
    </r>
    <r>
      <rPr>
        <i/>
        <sz val="10"/>
        <color theme="1"/>
        <rFont val="Calibri Light"/>
        <family val="2"/>
        <scheme val="major"/>
      </rPr>
      <t>:September 25,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(*)Incluye producción cuprífera por proceso de flotación (TMF), lixiviación y electro-obtención (TM). / </t>
    </r>
    <r>
      <rPr>
        <i/>
        <sz val="10"/>
        <color theme="1"/>
        <rFont val="Calibri Light"/>
        <family val="2"/>
        <scheme val="major"/>
      </rPr>
      <t>(*) Includes copper production through flotation process (FMT), leaching, and electrowinning (MT).</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</si>
  <si>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25 de setiembre de 2025. /</t>
    </r>
    <r>
      <rPr>
        <i/>
        <sz val="10"/>
        <color theme="1"/>
        <rFont val="Calibri Light"/>
        <family val="2"/>
        <scheme val="major"/>
      </rPr>
      <t xml:space="preserve"> </t>
    </r>
    <r>
      <rPr>
        <i/>
        <u/>
        <sz val="10"/>
        <color theme="1"/>
        <rFont val="Calibri Light"/>
        <family val="2"/>
        <scheme val="major"/>
      </rPr>
      <t>Date of consultation</t>
    </r>
    <r>
      <rPr>
        <i/>
        <sz val="10"/>
        <color theme="1"/>
        <rFont val="Calibri Light"/>
        <family val="2"/>
        <scheme val="major"/>
      </rPr>
      <t>: September 25, 2025.</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Dirección de Promoción y Sostenibilidad Minera, DGPSM. /</t>
    </r>
    <r>
      <rPr>
        <i/>
        <sz val="10"/>
        <color theme="1"/>
        <rFont val="Calibri Light"/>
        <family val="2"/>
        <scheme val="major"/>
      </rPr>
      <t xml:space="preserve">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 Información preliminar. Incluye producción aurífera estimada de mineros artesanales de Madre de Dios, Puno, Piura y Arequipa. /</t>
    </r>
    <r>
      <rPr>
        <i/>
        <sz val="10"/>
        <color theme="1"/>
        <rFont val="Calibri Light"/>
        <family val="2"/>
        <scheme val="major"/>
      </rPr>
      <t xml:space="preserve"> (*) Preliminary information. Includes estimated gold production from artisanal miners in Madre de Dios, Puno, Piura, and Arequipa.</t>
    </r>
    <r>
      <rPr>
        <sz val="10"/>
        <color theme="1"/>
        <rFont val="Calibri Light"/>
        <family val="2"/>
        <scheme val="major"/>
      </rPr>
      <t xml:space="preserve">
(**) Contempla la producción metálica de molibdeno de los departamentos de Apurímac, Cusco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 </t>
    </r>
    <r>
      <rPr>
        <i/>
        <sz val="10"/>
        <color theme="1"/>
        <rFont val="Calibri Light"/>
        <family val="2"/>
        <scheme val="major"/>
      </rPr>
      <t>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</si>
  <si>
    <r>
      <t xml:space="preserve">VARIACIÓN INTERANUAL, AGOSTO / </t>
    </r>
    <r>
      <rPr>
        <i/>
        <sz val="8"/>
        <color rgb="FF000000"/>
        <rFont val="Calibri Light"/>
        <family val="2"/>
        <scheme val="major"/>
      </rPr>
      <t>YEAR-OVER-YEAR VARIATION, AUGUST</t>
    </r>
  </si>
  <si>
    <r>
      <t xml:space="preserve">VARIACIÓN INTERANUAL ACUMULADA ENERO-AGOSTO / </t>
    </r>
    <r>
      <rPr>
        <sz val="8"/>
        <color rgb="FF000000"/>
        <rFont val="Calibri Light"/>
        <family val="2"/>
        <scheme val="major"/>
      </rPr>
      <t>CUMULATIVE YEAR-OVER-YEAR VARIATION, JANUARY–AUGUST</t>
    </r>
  </si>
  <si>
    <r>
      <t xml:space="preserve">Ago. 2025
</t>
    </r>
    <r>
      <rPr>
        <i/>
        <sz val="8"/>
        <color rgb="FF000000"/>
        <rFont val="Calibri Light"/>
        <family val="2"/>
        <scheme val="major"/>
      </rPr>
      <t>(Aug. 2025)</t>
    </r>
  </si>
  <si>
    <t>Jul. / Jul.</t>
  </si>
  <si>
    <r>
      <t>Ago. /</t>
    </r>
    <r>
      <rPr>
        <i/>
        <sz val="10"/>
        <color rgb="FF000000"/>
        <rFont val="Calibri Light"/>
        <family val="2"/>
        <scheme val="major"/>
      </rPr>
      <t xml:space="preserve"> Aug.</t>
    </r>
  </si>
  <si>
    <r>
      <t xml:space="preserve">Ene-Ago 2024
</t>
    </r>
    <r>
      <rPr>
        <i/>
        <sz val="8"/>
        <color theme="1"/>
        <rFont val="Calibri Light"/>
        <family val="2"/>
        <scheme val="major"/>
      </rPr>
      <t>(Jan-Aug. 2024)</t>
    </r>
  </si>
  <si>
    <r>
      <t xml:space="preserve">Ene-Ago 2025
</t>
    </r>
    <r>
      <rPr>
        <i/>
        <sz val="8"/>
        <color theme="1"/>
        <rFont val="Calibri Light"/>
        <family val="2"/>
        <scheme val="major"/>
      </rPr>
      <t>(Jan-Aug. 2025)</t>
    </r>
  </si>
  <si>
    <r>
      <t xml:space="preserve">Ago. 2024
</t>
    </r>
    <r>
      <rPr>
        <i/>
        <sz val="8"/>
        <color rgb="FF000000"/>
        <rFont val="Calibri Light"/>
        <family val="2"/>
        <scheme val="major"/>
      </rPr>
      <t>(Aug. 2024)</t>
    </r>
  </si>
  <si>
    <r>
      <t xml:space="preserve">AGOSTO
</t>
    </r>
    <r>
      <rPr>
        <i/>
        <sz val="10"/>
        <color theme="1"/>
        <rFont val="Calibri Light"/>
        <family val="2"/>
        <scheme val="major"/>
      </rPr>
      <t>August</t>
    </r>
  </si>
  <si>
    <r>
      <t xml:space="preserve">ENERO - AGOSTO
</t>
    </r>
    <r>
      <rPr>
        <i/>
        <sz val="8"/>
        <color theme="1"/>
        <rFont val="Calibri Light"/>
        <family val="2"/>
        <scheme val="major"/>
      </rPr>
      <t>January -August</t>
    </r>
  </si>
  <si>
    <r>
      <t xml:space="preserve">AGOSTO
</t>
    </r>
    <r>
      <rPr>
        <i/>
        <sz val="8"/>
        <color theme="1"/>
        <rFont val="Calibri Light"/>
        <family val="2"/>
        <scheme val="major"/>
      </rPr>
      <t>August</t>
    </r>
  </si>
  <si>
    <r>
      <t xml:space="preserve">ENERO - AGOSTO
</t>
    </r>
    <r>
      <rPr>
        <i/>
        <sz val="8"/>
        <color theme="1"/>
        <rFont val="Calibri Light"/>
        <family val="2"/>
        <scheme val="major"/>
      </rPr>
      <t>January - August</t>
    </r>
  </si>
  <si>
    <t>OTROS (2024: 50 titulares mineros, 2025: 46 titulares mineros)</t>
  </si>
  <si>
    <t>OTROS (2024: 258 titulares mineros, 2025: 263 titulares mineros)</t>
  </si>
  <si>
    <t>OTROS (2024: 32 titulares mineros, 2025: 32 titulares mineros)</t>
  </si>
  <si>
    <t>OTROS (2024: 87 titulares mineros, 2025: 82 titulares mineros)</t>
  </si>
  <si>
    <t>OTROS (2024: 31 titulares mineros, 2025: 32 titulares mineros)</t>
  </si>
  <si>
    <r>
      <t xml:space="preserve">2025
(Ene-Ago)
</t>
    </r>
    <r>
      <rPr>
        <i/>
        <sz val="10"/>
        <color rgb="FF000000"/>
        <rFont val="Calibri Light"/>
        <family val="2"/>
        <scheme val="major"/>
      </rPr>
      <t>(Jan-Aug.)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</si>
</sst>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_-* #,##0_-;\-* #,##0_-;_-* &quot;-&quot;??_-;_-@_-"/>
    <numFmt numFmtId="166" formatCode="0.0%"/>
    <numFmt numFmtId="167" formatCode="_ * #,##0.00_ ;_ * \-#,##0.00_ ;_ * &quot;-&quot;??_ ;_ @_ "/>
    <numFmt numFmtId="168" formatCode="_ * #,##0_ ;_ * \-#,##0_ ;_ * &quot;-&quot;??_ ;_ @_ "/>
    <numFmt numFmtId="169" formatCode="0.000%"/>
    <numFmt numFmtId="170" formatCode="0.0000%"/>
  </numFmts>
  <fonts count="35" x14ac:knownFonts="1">
    <font>
      <sz val="11"/>
      <color theme="1"/>
      <name val="Calibri"/>
      <family val="2"/>
      <scheme val="minor"/>
    </font>
    <font>
      <sz val="11"/>
      <color theme="1"/>
      <name val="Calibri"/>
      <family val="2"/>
      <scheme val="minor"/>
    </font>
    <font>
      <sz val="11"/>
      <color rgb="FF000000"/>
      <name val="Calibri"/>
      <family val="2"/>
    </font>
    <font>
      <b/>
      <sz val="12"/>
      <color rgb="FF000000"/>
      <name val="Calibri Light"/>
      <family val="2"/>
      <scheme val="major"/>
    </font>
    <font>
      <sz val="10"/>
      <color theme="1"/>
      <name val="Calibri Light"/>
      <family val="2"/>
      <scheme val="major"/>
    </font>
    <font>
      <i/>
      <sz val="9"/>
      <color rgb="FF000000"/>
      <name val="Calibri Light"/>
      <family val="2"/>
      <scheme val="major"/>
    </font>
    <font>
      <b/>
      <sz val="10"/>
      <color rgb="FF000000"/>
      <name val="Calibri Light"/>
      <family val="2"/>
      <scheme val="major"/>
    </font>
    <font>
      <sz val="10"/>
      <color rgb="FF000000"/>
      <name val="Calibri Light"/>
      <family val="2"/>
      <scheme val="major"/>
    </font>
    <font>
      <b/>
      <sz val="16"/>
      <color rgb="FF000000"/>
      <name val="Calibri Light"/>
      <family val="2"/>
      <scheme val="major"/>
    </font>
    <font>
      <sz val="10"/>
      <color theme="0"/>
      <name val="Calibri Light"/>
      <family val="2"/>
      <scheme val="major"/>
    </font>
    <font>
      <i/>
      <sz val="9"/>
      <color theme="1"/>
      <name val="Calibri Light"/>
      <family val="2"/>
      <scheme val="major"/>
    </font>
    <font>
      <b/>
      <sz val="10"/>
      <color theme="1"/>
      <name val="Calibri Light"/>
      <family val="2"/>
      <scheme val="major"/>
    </font>
    <font>
      <i/>
      <sz val="10"/>
      <color theme="1"/>
      <name val="Calibri Light"/>
      <family val="2"/>
      <scheme val="major"/>
    </font>
    <font>
      <i/>
      <sz val="8"/>
      <color rgb="FF000000"/>
      <name val="Calibri Light"/>
      <family val="2"/>
      <scheme val="major"/>
    </font>
    <font>
      <i/>
      <sz val="10"/>
      <color rgb="FF000000"/>
      <name val="Calibri Light"/>
      <family val="2"/>
      <scheme val="major"/>
    </font>
    <font>
      <sz val="10"/>
      <name val="Calibri Light"/>
      <family val="2"/>
      <scheme val="major"/>
    </font>
    <font>
      <b/>
      <sz val="10"/>
      <name val="Calibri Light"/>
      <family val="2"/>
      <scheme val="major"/>
    </font>
    <font>
      <sz val="8"/>
      <color rgb="FF000000"/>
      <name val="Calibri Light"/>
      <family val="2"/>
      <scheme val="major"/>
    </font>
    <font>
      <sz val="9"/>
      <color theme="1"/>
      <name val="Calibri"/>
      <family val="2"/>
      <scheme val="minor"/>
    </font>
    <font>
      <i/>
      <sz val="8"/>
      <color theme="1"/>
      <name val="Calibri Light"/>
      <family val="2"/>
      <scheme val="major"/>
    </font>
    <font>
      <u/>
      <sz val="10"/>
      <color rgb="FF000000"/>
      <name val="Calibri Light"/>
      <family val="2"/>
      <scheme val="major"/>
    </font>
    <font>
      <i/>
      <u/>
      <sz val="10"/>
      <color rgb="FF000000"/>
      <name val="Calibri Light"/>
      <family val="2"/>
      <scheme val="major"/>
    </font>
    <font>
      <sz val="11"/>
      <color theme="0"/>
      <name val="Calibri Light"/>
      <family val="2"/>
      <scheme val="major"/>
    </font>
    <font>
      <sz val="11"/>
      <color theme="1"/>
      <name val="Calibri Light"/>
      <family val="2"/>
      <scheme val="major"/>
    </font>
    <font>
      <b/>
      <sz val="10"/>
      <color indexed="8"/>
      <name val="Calibri Light"/>
      <family val="2"/>
      <scheme val="major"/>
    </font>
    <font>
      <u/>
      <sz val="10"/>
      <color theme="1"/>
      <name val="Calibri Light"/>
      <family val="2"/>
      <scheme val="major"/>
    </font>
    <font>
      <i/>
      <u/>
      <sz val="10"/>
      <color theme="1"/>
      <name val="Calibri Light"/>
      <family val="2"/>
      <scheme val="major"/>
    </font>
    <font>
      <b/>
      <sz val="12"/>
      <color theme="1"/>
      <name val="Calibri Light"/>
      <family val="2"/>
      <scheme val="major"/>
    </font>
    <font>
      <b/>
      <i/>
      <sz val="10"/>
      <color theme="0" tint="-0.499984740745262"/>
      <name val="Calibri Light"/>
      <family val="2"/>
      <scheme val="major"/>
    </font>
    <font>
      <b/>
      <sz val="11"/>
      <color theme="1"/>
      <name val="Calibri Light"/>
      <family val="2"/>
      <scheme val="major"/>
    </font>
    <font>
      <b/>
      <sz val="12"/>
      <name val="Calibri Light"/>
      <family val="2"/>
      <scheme val="major"/>
    </font>
    <font>
      <i/>
      <sz val="9"/>
      <name val="Calibri Light"/>
      <family val="2"/>
      <scheme val="major"/>
    </font>
    <font>
      <i/>
      <sz val="8"/>
      <name val="Calibri Light"/>
      <family val="2"/>
      <scheme val="major"/>
    </font>
    <font>
      <sz val="8"/>
      <name val="Calibri Light"/>
      <family val="2"/>
      <scheme val="major"/>
    </font>
    <font>
      <sz val="10"/>
      <color theme="1"/>
      <name val="Calibri"/>
      <family val="2"/>
      <scheme val="minor"/>
    </font>
  </fonts>
  <fills count="11">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2" tint="-9.9978637043366805E-2"/>
        <bgColor indexed="64"/>
      </patternFill>
    </fill>
    <fill>
      <patternFill patternType="solid">
        <fgColor rgb="FFF2F2F2"/>
        <bgColor rgb="FFFFFFFF"/>
      </patternFill>
    </fill>
    <fill>
      <patternFill patternType="solid">
        <fgColor theme="0"/>
        <bgColor rgb="FFFFFFFF"/>
      </patternFill>
    </fill>
    <fill>
      <patternFill patternType="solid">
        <fgColor rgb="FFD9D9D9"/>
        <bgColor rgb="FFFFFFFF"/>
      </patternFill>
    </fill>
    <fill>
      <patternFill patternType="solid">
        <fgColor theme="0" tint="-0.14999847407452621"/>
        <bgColor indexed="64"/>
      </patternFill>
    </fill>
    <fill>
      <patternFill patternType="solid">
        <fgColor theme="0" tint="-0.14999847407452621"/>
        <bgColor rgb="FFFFFFFF"/>
      </patternFill>
    </fill>
    <fill>
      <patternFill patternType="solid">
        <fgColor rgb="FFD0CECE"/>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8" fillId="3" borderId="0">
      <alignment horizontal="left"/>
    </xf>
    <xf numFmtId="167" fontId="1" fillId="0" borderId="0" applyFont="0" applyFill="0" applyBorder="0" applyAlignment="0" applyProtection="0"/>
  </cellStyleXfs>
  <cellXfs count="285">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3" fillId="2" borderId="0" xfId="3" applyFont="1" applyFill="1" applyAlignment="1">
      <alignment horizontal="left" vertical="center" wrapText="1"/>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9" fillId="3" borderId="0" xfId="0" applyFont="1" applyFill="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3" fontId="7" fillId="0" borderId="5" xfId="3" applyNumberFormat="1" applyFont="1" applyBorder="1" applyAlignment="1">
      <alignment horizontal="center" vertical="center"/>
    </xf>
    <xf numFmtId="3" fontId="7" fillId="0" borderId="6" xfId="3" applyNumberFormat="1" applyFont="1" applyBorder="1" applyAlignment="1">
      <alignment horizontal="center" vertical="center"/>
    </xf>
    <xf numFmtId="0" fontId="6" fillId="4" borderId="9" xfId="3" applyFont="1" applyFill="1" applyBorder="1" applyAlignment="1">
      <alignment horizontal="center" vertical="center" wrapText="1"/>
    </xf>
    <xf numFmtId="3" fontId="6" fillId="4" borderId="10" xfId="3" applyNumberFormat="1" applyFont="1" applyFill="1" applyBorder="1" applyAlignment="1">
      <alignment horizontal="center" vertical="center"/>
    </xf>
    <xf numFmtId="2" fontId="7" fillId="0" borderId="1" xfId="3" applyNumberFormat="1" applyFont="1" applyBorder="1" applyAlignment="1">
      <alignment horizontal="center" vertical="center" wrapText="1"/>
    </xf>
    <xf numFmtId="3" fontId="7" fillId="0" borderId="2" xfId="3" applyNumberFormat="1" applyFont="1" applyBorder="1" applyAlignment="1">
      <alignment horizontal="center" vertical="center"/>
    </xf>
    <xf numFmtId="164" fontId="7" fillId="0" borderId="3" xfId="3" applyNumberFormat="1" applyFont="1" applyBorder="1" applyAlignment="1">
      <alignment horizontal="center" vertical="center"/>
    </xf>
    <xf numFmtId="3" fontId="9" fillId="2" borderId="0" xfId="3" applyNumberFormat="1" applyFont="1" applyFill="1" applyAlignment="1">
      <alignment horizontal="center" vertical="center"/>
    </xf>
    <xf numFmtId="165" fontId="4" fillId="3" borderId="0" xfId="1" applyNumberFormat="1" applyFont="1" applyFill="1" applyAlignment="1">
      <alignment vertical="center"/>
    </xf>
    <xf numFmtId="2" fontId="7" fillId="0" borderId="7" xfId="3" applyNumberFormat="1" applyFont="1" applyBorder="1" applyAlignment="1">
      <alignment horizontal="center" vertical="center"/>
    </xf>
    <xf numFmtId="164" fontId="7" fillId="0" borderId="8" xfId="3" applyNumberFormat="1" applyFont="1" applyBorder="1" applyAlignment="1">
      <alignment horizontal="center" vertical="center"/>
    </xf>
    <xf numFmtId="2" fontId="7" fillId="2" borderId="7" xfId="3" applyNumberFormat="1" applyFont="1" applyFill="1" applyBorder="1" applyAlignment="1">
      <alignment horizontal="center" vertical="center"/>
    </xf>
    <xf numFmtId="3" fontId="7" fillId="2" borderId="0" xfId="3" applyNumberFormat="1" applyFont="1" applyFill="1" applyAlignment="1">
      <alignment horizontal="center" vertical="center"/>
    </xf>
    <xf numFmtId="164"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3" fontId="7" fillId="2" borderId="5"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0" fontId="7" fillId="2" borderId="7" xfId="3" applyFont="1" applyFill="1" applyBorder="1" applyAlignment="1">
      <alignment horizontal="center" vertical="center" wrapText="1"/>
    </xf>
    <xf numFmtId="3" fontId="15" fillId="3" borderId="0" xfId="3" applyNumberFormat="1" applyFont="1" applyFill="1" applyAlignment="1">
      <alignment horizontal="center" vertical="center"/>
    </xf>
    <xf numFmtId="3" fontId="15" fillId="6" borderId="0" xfId="3" applyNumberFormat="1" applyFont="1" applyFill="1" applyAlignment="1">
      <alignment horizontal="center" vertical="center"/>
    </xf>
    <xf numFmtId="3" fontId="15" fillId="2" borderId="0" xfId="3" applyNumberFormat="1" applyFont="1" applyFill="1" applyAlignment="1">
      <alignment horizontal="center" vertical="center"/>
    </xf>
    <xf numFmtId="0" fontId="7" fillId="2" borderId="4" xfId="3" applyFont="1" applyFill="1" applyBorder="1" applyAlignment="1">
      <alignment horizontal="center" vertical="center" wrapText="1"/>
    </xf>
    <xf numFmtId="3" fontId="15" fillId="6" borderId="5" xfId="3" applyNumberFormat="1" applyFont="1" applyFill="1" applyBorder="1" applyAlignment="1">
      <alignment horizontal="center" vertical="center"/>
    </xf>
    <xf numFmtId="3" fontId="9" fillId="3" borderId="0" xfId="0" applyNumberFormat="1" applyFont="1" applyFill="1" applyAlignment="1">
      <alignment vertical="center"/>
    </xf>
    <xf numFmtId="0" fontId="6" fillId="7" borderId="9" xfId="3" applyFont="1" applyFill="1" applyBorder="1" applyAlignment="1">
      <alignment horizontal="center" vertical="center"/>
    </xf>
    <xf numFmtId="166" fontId="6" fillId="7" borderId="10" xfId="3" applyNumberFormat="1" applyFont="1" applyFill="1" applyBorder="1" applyAlignment="1">
      <alignment horizontal="center" vertical="center"/>
    </xf>
    <xf numFmtId="166" fontId="16" fillId="7" borderId="10" xfId="3" applyNumberFormat="1" applyFont="1" applyFill="1" applyBorder="1" applyAlignment="1">
      <alignment horizontal="center" vertical="center"/>
    </xf>
    <xf numFmtId="166" fontId="6" fillId="7" borderId="11" xfId="3" applyNumberFormat="1" applyFont="1" applyFill="1" applyBorder="1" applyAlignment="1">
      <alignment horizontal="center" vertical="center"/>
    </xf>
    <xf numFmtId="0" fontId="4" fillId="3" borderId="7" xfId="4" applyFont="1" applyBorder="1" applyAlignment="1">
      <alignment horizontal="center" vertical="center" wrapText="1"/>
    </xf>
    <xf numFmtId="0" fontId="16" fillId="8" borderId="9" xfId="4" applyFont="1" applyFill="1" applyBorder="1" applyAlignment="1">
      <alignment horizontal="center" vertical="center"/>
    </xf>
    <xf numFmtId="166" fontId="16" fillId="9" borderId="10" xfId="3" applyNumberFormat="1" applyFont="1" applyFill="1" applyBorder="1" applyAlignment="1">
      <alignment horizontal="center" vertical="center"/>
    </xf>
    <xf numFmtId="166" fontId="6" fillId="9" borderId="10" xfId="3" applyNumberFormat="1" applyFont="1" applyFill="1" applyBorder="1" applyAlignment="1">
      <alignment horizontal="center" vertical="center"/>
    </xf>
    <xf numFmtId="166" fontId="6" fillId="9" borderId="11" xfId="3" applyNumberFormat="1" applyFont="1" applyFill="1" applyBorder="1" applyAlignment="1">
      <alignment horizontal="center" vertical="center"/>
    </xf>
    <xf numFmtId="3" fontId="7" fillId="2" borderId="7" xfId="3" applyNumberFormat="1" applyFont="1" applyFill="1" applyBorder="1" applyAlignment="1">
      <alignment horizontal="center" vertical="center" wrapText="1"/>
    </xf>
    <xf numFmtId="3" fontId="15" fillId="3" borderId="0" xfId="4" applyNumberFormat="1" applyFont="1" applyAlignment="1">
      <alignment horizontal="center" vertical="center"/>
    </xf>
    <xf numFmtId="3" fontId="7" fillId="2" borderId="4" xfId="3" applyNumberFormat="1" applyFont="1" applyFill="1" applyBorder="1" applyAlignment="1">
      <alignment horizontal="center" vertical="center" wrapText="1"/>
    </xf>
    <xf numFmtId="0" fontId="6" fillId="9"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22" fillId="0" borderId="0" xfId="0" applyFont="1" applyAlignment="1">
      <alignment vertical="center"/>
    </xf>
    <xf numFmtId="0" fontId="23" fillId="0" borderId="0" xfId="0" applyFont="1" applyAlignment="1">
      <alignment vertical="center"/>
    </xf>
    <xf numFmtId="0" fontId="4" fillId="3" borderId="5" xfId="0" applyFont="1" applyFill="1" applyBorder="1" applyAlignment="1">
      <alignment vertical="center"/>
    </xf>
    <xf numFmtId="10" fontId="23" fillId="0" borderId="0" xfId="0" applyNumberFormat="1" applyFont="1" applyAlignment="1">
      <alignment horizontal="center" vertical="center"/>
    </xf>
    <xf numFmtId="0" fontId="23" fillId="0" borderId="0" xfId="0" applyFont="1" applyAlignment="1">
      <alignment horizontal="center" vertical="center"/>
    </xf>
    <xf numFmtId="0" fontId="27" fillId="3" borderId="0" xfId="0" applyFont="1" applyFill="1" applyAlignment="1">
      <alignment horizontal="left" vertical="center"/>
    </xf>
    <xf numFmtId="168" fontId="4" fillId="3" borderId="0" xfId="5" applyNumberFormat="1" applyFont="1" applyFill="1" applyAlignment="1">
      <alignment horizontal="center" vertical="center"/>
    </xf>
    <xf numFmtId="10" fontId="4" fillId="3" borderId="0" xfId="2" applyNumberFormat="1" applyFont="1" applyFill="1" applyAlignment="1">
      <alignment horizontal="center" vertical="center"/>
    </xf>
    <xf numFmtId="0" fontId="10" fillId="3" borderId="0" xfId="4" applyFont="1" applyAlignment="1">
      <alignment horizontal="left" vertical="center"/>
    </xf>
    <xf numFmtId="168" fontId="28" fillId="3" borderId="0" xfId="5" applyNumberFormat="1" applyFont="1" applyFill="1" applyAlignment="1">
      <alignment horizontal="center" vertical="center"/>
    </xf>
    <xf numFmtId="10" fontId="28" fillId="3" borderId="0" xfId="2" applyNumberFormat="1" applyFont="1" applyFill="1" applyAlignment="1">
      <alignment horizontal="center"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0" fillId="0" borderId="0" xfId="0" applyAlignment="1">
      <alignment vertical="center"/>
    </xf>
    <xf numFmtId="0" fontId="23" fillId="4" borderId="12" xfId="0" applyFont="1" applyFill="1" applyBorder="1" applyAlignment="1">
      <alignment vertical="center"/>
    </xf>
    <xf numFmtId="0" fontId="4" fillId="3" borderId="13" xfId="4" applyFont="1" applyBorder="1" applyAlignment="1">
      <alignment horizontal="left" vertical="center"/>
    </xf>
    <xf numFmtId="0" fontId="4" fillId="3" borderId="14" xfId="4" applyFont="1" applyBorder="1" applyAlignment="1">
      <alignment horizontal="left" vertical="center"/>
    </xf>
    <xf numFmtId="0" fontId="4" fillId="0" borderId="14" xfId="4" applyFont="1" applyFill="1" applyBorder="1" applyAlignment="1">
      <alignment horizontal="left" vertical="center"/>
    </xf>
    <xf numFmtId="0" fontId="15" fillId="0" borderId="15" xfId="4" applyFont="1" applyFill="1" applyBorder="1" applyAlignment="1">
      <alignment horizontal="left" vertical="center"/>
    </xf>
    <xf numFmtId="0" fontId="29" fillId="4" borderId="12" xfId="0" applyFont="1" applyFill="1" applyBorder="1" applyAlignment="1">
      <alignment vertical="center"/>
    </xf>
    <xf numFmtId="0" fontId="4" fillId="3" borderId="15" xfId="4" applyFont="1" applyBorder="1" applyAlignment="1">
      <alignment horizontal="left" vertical="center"/>
    </xf>
    <xf numFmtId="0" fontId="4" fillId="0" borderId="12" xfId="4" applyFont="1" applyFill="1" applyBorder="1" applyAlignment="1">
      <alignment horizontal="lef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9" fillId="10" borderId="12" xfId="0" applyFont="1" applyFill="1" applyBorder="1" applyAlignment="1">
      <alignment vertical="center"/>
    </xf>
    <xf numFmtId="0" fontId="5" fillId="2" borderId="0" xfId="3" applyFont="1" applyFill="1" applyAlignment="1">
      <alignment vertical="center"/>
    </xf>
    <xf numFmtId="0" fontId="30" fillId="3" borderId="0" xfId="0" applyFont="1" applyFill="1" applyAlignment="1">
      <alignment horizontal="left" vertical="center"/>
    </xf>
    <xf numFmtId="166" fontId="15" fillId="3" borderId="0" xfId="2" applyNumberFormat="1" applyFont="1" applyFill="1" applyAlignment="1">
      <alignment horizontal="center" vertical="center"/>
    </xf>
    <xf numFmtId="0" fontId="31" fillId="3" borderId="0" xfId="4" applyFont="1" applyAlignment="1">
      <alignment horizontal="left" vertical="center"/>
    </xf>
    <xf numFmtId="168" fontId="15" fillId="3" borderId="0" xfId="5" applyNumberFormat="1" applyFont="1" applyFill="1" applyAlignment="1">
      <alignment horizontal="center"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6" fillId="4" borderId="12" xfId="4" applyFont="1" applyFill="1" applyBorder="1" applyAlignment="1">
      <alignment horizontal="left" vertical="center"/>
    </xf>
    <xf numFmtId="0" fontId="15" fillId="3" borderId="14" xfId="4" applyFont="1" applyBorder="1" applyAlignment="1">
      <alignment horizontal="left" vertical="center"/>
    </xf>
    <xf numFmtId="0" fontId="15" fillId="0" borderId="14" xfId="5" applyNumberFormat="1" applyFont="1" applyFill="1" applyBorder="1" applyAlignment="1">
      <alignment horizontal="left" vertical="center"/>
    </xf>
    <xf numFmtId="0" fontId="15" fillId="0" borderId="14" xfId="4" applyFont="1" applyFill="1" applyBorder="1" applyAlignment="1">
      <alignment horizontal="left" vertical="center"/>
    </xf>
    <xf numFmtId="0" fontId="15" fillId="3" borderId="13" xfId="4" applyFont="1" applyBorder="1" applyAlignment="1">
      <alignment horizontal="left" vertical="center"/>
    </xf>
    <xf numFmtId="0" fontId="15" fillId="3" borderId="15" xfId="4" applyFont="1" applyBorder="1" applyAlignment="1">
      <alignment horizontal="left" vertical="center"/>
    </xf>
    <xf numFmtId="0" fontId="15" fillId="0" borderId="12" xfId="4" applyFont="1" applyFill="1" applyBorder="1" applyAlignment="1">
      <alignment horizontal="left" vertical="center"/>
    </xf>
    <xf numFmtId="0" fontId="4" fillId="0" borderId="9" xfId="4" applyFont="1" applyFill="1" applyBorder="1" applyAlignment="1">
      <alignment horizontal="left" vertical="center"/>
    </xf>
    <xf numFmtId="168" fontId="23" fillId="0" borderId="0" xfId="0" applyNumberFormat="1" applyFont="1" applyAlignment="1">
      <alignment vertical="center"/>
    </xf>
    <xf numFmtId="166" fontId="23" fillId="0" borderId="0" xfId="0" applyNumberFormat="1" applyFont="1" applyAlignment="1">
      <alignment horizontal="center" vertical="center"/>
    </xf>
    <xf numFmtId="0" fontId="4" fillId="3" borderId="7" xfId="0" applyFont="1" applyFill="1" applyBorder="1" applyAlignment="1">
      <alignment horizontal="center" vertical="center"/>
    </xf>
    <xf numFmtId="0" fontId="4" fillId="0" borderId="1" xfId="4" applyFont="1" applyFill="1" applyBorder="1" applyAlignment="1">
      <alignment horizontal="left" vertical="center"/>
    </xf>
    <xf numFmtId="0" fontId="4" fillId="0" borderId="7" xfId="4" applyFont="1" applyFill="1" applyBorder="1" applyAlignment="1">
      <alignment horizontal="left" vertical="center"/>
    </xf>
    <xf numFmtId="0" fontId="4" fillId="0" borderId="4" xfId="4" applyFont="1" applyFill="1" applyBorder="1" applyAlignment="1">
      <alignment horizontal="left" vertical="center"/>
    </xf>
    <xf numFmtId="0" fontId="0" fillId="0" borderId="0" xfId="0" applyAlignment="1">
      <alignment horizontal="right" vertical="center"/>
    </xf>
    <xf numFmtId="3" fontId="7" fillId="6" borderId="5" xfId="3" applyNumberFormat="1" applyFont="1" applyFill="1" applyBorder="1" applyAlignment="1">
      <alignment horizontal="center"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4" fillId="0" borderId="7" xfId="5" applyNumberFormat="1" applyFont="1" applyFill="1" applyBorder="1" applyAlignment="1">
      <alignment horizontal="center" vertical="center"/>
    </xf>
    <xf numFmtId="3" fontId="4" fillId="0" borderId="0" xfId="5" applyNumberFormat="1" applyFont="1" applyFill="1" applyBorder="1" applyAlignment="1">
      <alignment horizontal="center" vertical="center"/>
    </xf>
    <xf numFmtId="3" fontId="4" fillId="0" borderId="4" xfId="5" applyNumberFormat="1" applyFont="1" applyFill="1" applyBorder="1" applyAlignment="1">
      <alignment horizontal="center" vertical="center"/>
    </xf>
    <xf numFmtId="3" fontId="4" fillId="0" borderId="5"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0"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3" fontId="4" fillId="0" borderId="1" xfId="5" applyNumberFormat="1" applyFont="1" applyFill="1" applyBorder="1" applyAlignment="1">
      <alignment horizontal="center" vertical="center"/>
    </xf>
    <xf numFmtId="3" fontId="4" fillId="0" borderId="2" xfId="5"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0"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11" fillId="4" borderId="0" xfId="5" applyNumberFormat="1" applyFont="1" applyFill="1" applyBorder="1" applyAlignment="1">
      <alignment horizontal="center" vertical="center"/>
    </xf>
    <xf numFmtId="166" fontId="11" fillId="4" borderId="0" xfId="2" applyNumberFormat="1" applyFont="1" applyFill="1" applyBorder="1" applyAlignment="1">
      <alignment horizontal="center" vertical="center"/>
    </xf>
    <xf numFmtId="10" fontId="4" fillId="3" borderId="14"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0" borderId="4" xfId="5" applyNumberFormat="1" applyFont="1" applyBorder="1" applyAlignment="1">
      <alignment horizontal="center" vertical="center"/>
    </xf>
    <xf numFmtId="3" fontId="4" fillId="0" borderId="5" xfId="5" applyNumberFormat="1" applyFont="1" applyBorder="1" applyAlignment="1">
      <alignment horizontal="center" vertical="center"/>
    </xf>
    <xf numFmtId="3" fontId="4" fillId="3" borderId="9"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166" fontId="4" fillId="3" borderId="12"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15" fillId="0" borderId="7" xfId="5" applyNumberFormat="1" applyFont="1" applyFill="1" applyBorder="1" applyAlignment="1">
      <alignment horizontal="center" vertical="center"/>
    </xf>
    <xf numFmtId="3" fontId="11" fillId="4" borderId="1" xfId="5" applyNumberFormat="1" applyFont="1" applyFill="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166" fontId="4" fillId="3" borderId="5" xfId="2" applyNumberFormat="1" applyFont="1" applyFill="1" applyBorder="1" applyAlignment="1">
      <alignment horizontal="center" vertical="center"/>
    </xf>
    <xf numFmtId="3" fontId="11" fillId="4" borderId="4" xfId="5" applyNumberFormat="1" applyFont="1" applyFill="1" applyBorder="1" applyAlignment="1">
      <alignment horizontal="center" vertical="center"/>
    </xf>
    <xf numFmtId="3" fontId="4" fillId="3" borderId="2" xfId="2" applyNumberFormat="1" applyFont="1" applyFill="1" applyBorder="1" applyAlignment="1">
      <alignment horizontal="center" vertical="center"/>
    </xf>
    <xf numFmtId="166" fontId="34" fillId="3" borderId="0" xfId="2" applyNumberFormat="1" applyFont="1" applyFill="1" applyBorder="1" applyAlignment="1">
      <alignment horizontal="center" vertical="center"/>
    </xf>
    <xf numFmtId="4" fontId="4" fillId="3" borderId="0" xfId="2" applyNumberFormat="1" applyFont="1" applyFill="1" applyBorder="1" applyAlignment="1">
      <alignment horizontal="center" vertical="center"/>
    </xf>
    <xf numFmtId="3" fontId="4" fillId="3" borderId="4"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0" fontId="0" fillId="0" borderId="0" xfId="0" applyAlignment="1">
      <alignment horizontal="center" vertical="center"/>
    </xf>
    <xf numFmtId="3" fontId="4" fillId="3" borderId="7" xfId="1"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4" fillId="0" borderId="10" xfId="5" applyNumberFormat="1" applyFont="1" applyFill="1" applyBorder="1" applyAlignment="1">
      <alignment horizontal="center" vertical="center"/>
    </xf>
    <xf numFmtId="3" fontId="34" fillId="3" borderId="1" xfId="5" applyNumberFormat="1" applyFont="1" applyFill="1" applyBorder="1" applyAlignment="1">
      <alignment horizontal="center" vertical="center"/>
    </xf>
    <xf numFmtId="3" fontId="34" fillId="3" borderId="0" xfId="5" applyNumberFormat="1" applyFont="1" applyFill="1" applyBorder="1" applyAlignment="1">
      <alignment horizontal="center" vertical="center"/>
    </xf>
    <xf numFmtId="3" fontId="34" fillId="3" borderId="7" xfId="5" applyNumberFormat="1" applyFont="1" applyFill="1" applyBorder="1" applyAlignment="1">
      <alignment horizontal="center" vertical="center"/>
    </xf>
    <xf numFmtId="3" fontId="34" fillId="3" borderId="4" xfId="5" applyNumberFormat="1" applyFont="1" applyFill="1" applyBorder="1" applyAlignment="1">
      <alignment horizontal="center" vertical="center"/>
    </xf>
    <xf numFmtId="3" fontId="16" fillId="4" borderId="10" xfId="5" applyNumberFormat="1" applyFont="1" applyFill="1" applyBorder="1" applyAlignment="1">
      <alignment horizontal="center" vertical="center"/>
    </xf>
    <xf numFmtId="3" fontId="15" fillId="3" borderId="0" xfId="5" applyNumberFormat="1" applyFont="1" applyFill="1" applyBorder="1" applyAlignment="1">
      <alignment horizontal="center" vertical="center"/>
    </xf>
    <xf numFmtId="3" fontId="15" fillId="0" borderId="0" xfId="5" applyNumberFormat="1" applyFont="1" applyFill="1" applyBorder="1" applyAlignment="1">
      <alignment horizontal="center" vertical="center"/>
    </xf>
    <xf numFmtId="3" fontId="15" fillId="0" borderId="5" xfId="5" applyNumberFormat="1" applyFont="1" applyFill="1" applyBorder="1" applyAlignment="1">
      <alignment horizontal="center" vertical="center"/>
    </xf>
    <xf numFmtId="3" fontId="16" fillId="4" borderId="9" xfId="5" applyNumberFormat="1" applyFont="1" applyFill="1" applyBorder="1" applyAlignment="1">
      <alignment horizontal="center" vertical="center"/>
    </xf>
    <xf numFmtId="3" fontId="15" fillId="3" borderId="0" xfId="5" applyNumberFormat="1" applyFont="1" applyFill="1" applyAlignment="1">
      <alignment horizontal="center" vertical="center"/>
    </xf>
    <xf numFmtId="3" fontId="15" fillId="0" borderId="0" xfId="5" applyNumberFormat="1" applyFont="1" applyFill="1" applyAlignment="1">
      <alignment horizontal="center" vertical="center"/>
    </xf>
    <xf numFmtId="3" fontId="15" fillId="0" borderId="0" xfId="1" applyNumberFormat="1" applyFont="1" applyFill="1" applyBorder="1" applyAlignment="1">
      <alignment horizontal="center" vertical="center"/>
    </xf>
    <xf numFmtId="3" fontId="15" fillId="3" borderId="1" xfId="5" applyNumberFormat="1" applyFont="1" applyFill="1" applyBorder="1" applyAlignment="1">
      <alignment horizontal="center" vertical="center"/>
    </xf>
    <xf numFmtId="3" fontId="15" fillId="3" borderId="2" xfId="5" applyNumberFormat="1" applyFont="1" applyFill="1" applyBorder="1" applyAlignment="1">
      <alignment horizontal="center" vertical="center"/>
    </xf>
    <xf numFmtId="3" fontId="15" fillId="3" borderId="7" xfId="5" applyNumberFormat="1" applyFont="1" applyFill="1" applyBorder="1" applyAlignment="1">
      <alignment horizontal="center" vertical="center"/>
    </xf>
    <xf numFmtId="3" fontId="15" fillId="0" borderId="7" xfId="1" applyNumberFormat="1" applyFont="1" applyFill="1" applyBorder="1" applyAlignment="1">
      <alignment horizontal="center" vertical="center"/>
    </xf>
    <xf numFmtId="3" fontId="15" fillId="0" borderId="4" xfId="1" applyNumberFormat="1" applyFont="1" applyFill="1" applyBorder="1" applyAlignment="1">
      <alignment horizontal="center" vertical="center"/>
    </xf>
    <xf numFmtId="3" fontId="15" fillId="0" borderId="5" xfId="1" applyNumberFormat="1" applyFont="1" applyFill="1" applyBorder="1" applyAlignment="1">
      <alignment horizontal="center" vertical="center"/>
    </xf>
    <xf numFmtId="3" fontId="15" fillId="0" borderId="0" xfId="1" applyNumberFormat="1" applyFont="1" applyFill="1" applyAlignment="1">
      <alignment horizontal="center" vertical="center"/>
    </xf>
    <xf numFmtId="3" fontId="15" fillId="0" borderId="9" xfId="5" applyNumberFormat="1" applyFont="1" applyFill="1" applyBorder="1" applyAlignment="1">
      <alignment horizontal="center" vertical="center"/>
    </xf>
    <xf numFmtId="3" fontId="15" fillId="0" borderId="10" xfId="5" applyNumberFormat="1" applyFont="1" applyFill="1" applyBorder="1" applyAlignment="1">
      <alignment horizontal="center" vertical="center"/>
    </xf>
    <xf numFmtId="3" fontId="15" fillId="3" borderId="4" xfId="5" applyNumberFormat="1" applyFont="1" applyFill="1" applyBorder="1" applyAlignment="1">
      <alignment horizontal="center" vertical="center"/>
    </xf>
    <xf numFmtId="3" fontId="15" fillId="3" borderId="5" xfId="5" applyNumberFormat="1" applyFont="1" applyFill="1" applyBorder="1" applyAlignment="1">
      <alignment horizontal="center" vertical="center"/>
    </xf>
    <xf numFmtId="3" fontId="15" fillId="3" borderId="4" xfId="1" applyNumberFormat="1" applyFont="1" applyFill="1" applyBorder="1" applyAlignment="1">
      <alignment horizontal="center" vertical="center"/>
    </xf>
    <xf numFmtId="3" fontId="15" fillId="3" borderId="0" xfId="1" applyNumberFormat="1" applyFont="1" applyFill="1" applyBorder="1" applyAlignment="1">
      <alignment horizontal="center" vertical="center"/>
    </xf>
    <xf numFmtId="3" fontId="15" fillId="3" borderId="5" xfId="1" applyNumberFormat="1" applyFont="1" applyFill="1" applyBorder="1" applyAlignment="1">
      <alignment horizontal="center" vertical="center"/>
    </xf>
    <xf numFmtId="3" fontId="15" fillId="3" borderId="9" xfId="5" applyNumberFormat="1" applyFont="1" applyFill="1" applyBorder="1" applyAlignment="1">
      <alignment horizontal="center" vertical="center"/>
    </xf>
    <xf numFmtId="3" fontId="15"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6" fillId="4" borderId="10" xfId="2" applyNumberFormat="1" applyFont="1" applyFill="1" applyBorder="1" applyAlignment="1">
      <alignment horizontal="center" vertical="center"/>
    </xf>
    <xf numFmtId="166" fontId="15" fillId="3" borderId="0" xfId="2" applyNumberFormat="1" applyFont="1" applyFill="1" applyBorder="1" applyAlignment="1">
      <alignment horizontal="center" vertical="center"/>
    </xf>
    <xf numFmtId="166" fontId="15" fillId="3" borderId="5" xfId="2" applyNumberFormat="1" applyFont="1" applyFill="1" applyBorder="1" applyAlignment="1">
      <alignment horizontal="center" vertical="center"/>
    </xf>
    <xf numFmtId="166" fontId="16" fillId="4" borderId="11" xfId="2" applyNumberFormat="1" applyFont="1" applyFill="1" applyBorder="1" applyAlignment="1">
      <alignment horizontal="center" vertical="center"/>
    </xf>
    <xf numFmtId="166" fontId="15" fillId="3" borderId="3" xfId="2" applyNumberFormat="1" applyFont="1" applyFill="1" applyBorder="1" applyAlignment="1">
      <alignment horizontal="center" vertical="center"/>
    </xf>
    <xf numFmtId="166" fontId="15" fillId="3" borderId="8" xfId="2" applyNumberFormat="1" applyFont="1" applyFill="1" applyBorder="1" applyAlignment="1">
      <alignment horizontal="center" vertical="center"/>
    </xf>
    <xf numFmtId="166" fontId="15" fillId="3" borderId="6" xfId="2" applyNumberFormat="1" applyFont="1" applyFill="1" applyBorder="1" applyAlignment="1">
      <alignment horizontal="center" vertical="center"/>
    </xf>
    <xf numFmtId="166" fontId="15" fillId="3" borderId="11" xfId="2" applyNumberFormat="1" applyFont="1" applyFill="1" applyBorder="1" applyAlignment="1">
      <alignment horizontal="center" vertical="center"/>
    </xf>
    <xf numFmtId="166" fontId="4" fillId="3" borderId="10" xfId="2" applyNumberFormat="1" applyFont="1" applyFill="1" applyBorder="1" applyAlignment="1">
      <alignment horizontal="center" vertical="center"/>
    </xf>
    <xf numFmtId="168" fontId="23" fillId="0" borderId="0" xfId="0" applyNumberFormat="1" applyFont="1" applyAlignment="1">
      <alignment horizontal="center" vertical="center"/>
    </xf>
    <xf numFmtId="166" fontId="16" fillId="4" borderId="0" xfId="2" applyNumberFormat="1" applyFont="1" applyFill="1" applyBorder="1" applyAlignment="1">
      <alignment horizontal="center" vertical="center"/>
    </xf>
    <xf numFmtId="10" fontId="15" fillId="3" borderId="8" xfId="2" applyNumberFormat="1" applyFont="1" applyFill="1" applyBorder="1" applyAlignment="1">
      <alignment horizontal="center" vertical="center"/>
    </xf>
    <xf numFmtId="10" fontId="15" fillId="3" borderId="6" xfId="2" applyNumberFormat="1" applyFont="1" applyFill="1" applyBorder="1" applyAlignment="1">
      <alignment horizontal="center" vertical="center"/>
    </xf>
    <xf numFmtId="166" fontId="16" fillId="4" borderId="12" xfId="2" applyNumberFormat="1" applyFont="1" applyFill="1" applyBorder="1" applyAlignment="1">
      <alignment horizontal="center" vertical="center"/>
    </xf>
    <xf numFmtId="166" fontId="15" fillId="3" borderId="13" xfId="2" applyNumberFormat="1" applyFont="1" applyFill="1" applyBorder="1" applyAlignment="1">
      <alignment horizontal="center" vertical="center"/>
    </xf>
    <xf numFmtId="166" fontId="15" fillId="3" borderId="14" xfId="2" applyNumberFormat="1" applyFont="1" applyFill="1" applyBorder="1" applyAlignment="1">
      <alignment horizontal="center" vertical="center"/>
    </xf>
    <xf numFmtId="10" fontId="15" fillId="3" borderId="14" xfId="2" applyNumberFormat="1" applyFont="1" applyFill="1" applyBorder="1" applyAlignment="1">
      <alignment horizontal="center" vertical="center"/>
    </xf>
    <xf numFmtId="169" fontId="15" fillId="3" borderId="15" xfId="2" applyNumberFormat="1" applyFont="1" applyFill="1" applyBorder="1" applyAlignment="1">
      <alignment horizontal="center" vertical="center"/>
    </xf>
    <xf numFmtId="170" fontId="15" fillId="3" borderId="14" xfId="2" applyNumberFormat="1" applyFont="1" applyFill="1" applyBorder="1" applyAlignment="1">
      <alignment horizontal="center" vertical="center"/>
    </xf>
    <xf numFmtId="166" fontId="15" fillId="3" borderId="15" xfId="2" applyNumberFormat="1" applyFont="1" applyFill="1" applyBorder="1" applyAlignment="1">
      <alignment horizontal="center" vertical="center"/>
    </xf>
    <xf numFmtId="166" fontId="15" fillId="3" borderId="12" xfId="2" applyNumberFormat="1" applyFont="1" applyFill="1" applyBorder="1" applyAlignment="1">
      <alignment horizontal="center" vertical="center"/>
    </xf>
    <xf numFmtId="164" fontId="4" fillId="0" borderId="5" xfId="5" applyNumberFormat="1" applyFont="1" applyFill="1" applyBorder="1" applyAlignment="1">
      <alignment horizontal="center" vertical="center"/>
    </xf>
    <xf numFmtId="4" fontId="4" fillId="0" borderId="5" xfId="5" applyNumberFormat="1" applyFont="1" applyFill="1" applyBorder="1" applyAlignment="1">
      <alignment horizontal="center" vertical="center"/>
    </xf>
    <xf numFmtId="4" fontId="4" fillId="0" borderId="4" xfId="5" applyNumberFormat="1" applyFont="1" applyFill="1" applyBorder="1" applyAlignment="1">
      <alignment horizontal="center" vertical="center"/>
    </xf>
    <xf numFmtId="10" fontId="6" fillId="9" borderId="10" xfId="3" applyNumberFormat="1" applyFont="1" applyFill="1" applyBorder="1" applyAlignment="1">
      <alignment horizontal="center" vertical="center"/>
    </xf>
    <xf numFmtId="164" fontId="4" fillId="0" borderId="4" xfId="5" applyNumberFormat="1" applyFont="1" applyFill="1" applyBorder="1" applyAlignment="1">
      <alignment horizontal="center" vertical="center"/>
    </xf>
    <xf numFmtId="164" fontId="4" fillId="3" borderId="4" xfId="5" applyNumberFormat="1" applyFont="1" applyFill="1" applyBorder="1" applyAlignment="1">
      <alignment horizontal="center" vertical="center"/>
    </xf>
    <xf numFmtId="164" fontId="4" fillId="3" borderId="5" xfId="5" applyNumberFormat="1" applyFont="1" applyFill="1" applyBorder="1" applyAlignment="1">
      <alignment horizontal="center" vertical="center"/>
    </xf>
    <xf numFmtId="164" fontId="4" fillId="0" borderId="7" xfId="1" applyNumberFormat="1" applyFont="1" applyFill="1" applyBorder="1" applyAlignment="1">
      <alignment horizontal="center" vertical="center"/>
    </xf>
    <xf numFmtId="164" fontId="4" fillId="0" borderId="0" xfId="5" applyNumberFormat="1" applyFont="1" applyFill="1" applyBorder="1" applyAlignment="1">
      <alignment horizontal="center" vertical="center"/>
    </xf>
    <xf numFmtId="164" fontId="4" fillId="3" borderId="7" xfId="1" applyNumberFormat="1" applyFont="1" applyFill="1" applyBorder="1" applyAlignment="1">
      <alignment horizontal="center" vertical="center"/>
    </xf>
    <xf numFmtId="4" fontId="4" fillId="3" borderId="7" xfId="2" applyNumberFormat="1" applyFont="1" applyFill="1" applyBorder="1" applyAlignment="1">
      <alignment horizontal="center" vertical="center"/>
    </xf>
    <xf numFmtId="164" fontId="15" fillId="0" borderId="4" xfId="5" applyNumberFormat="1" applyFont="1" applyFill="1" applyBorder="1" applyAlignment="1">
      <alignment horizontal="center" vertical="center"/>
    </xf>
    <xf numFmtId="3" fontId="15" fillId="2" borderId="3" xfId="3" applyNumberFormat="1" applyFont="1" applyFill="1" applyBorder="1" applyAlignment="1">
      <alignment horizontal="center" vertical="center"/>
    </xf>
    <xf numFmtId="3" fontId="7" fillId="2" borderId="6" xfId="3" applyNumberFormat="1" applyFont="1" applyFill="1" applyBorder="1" applyAlignment="1">
      <alignment horizontal="center" vertical="center"/>
    </xf>
    <xf numFmtId="164" fontId="15" fillId="3" borderId="8" xfId="3" applyNumberFormat="1" applyFont="1" applyFill="1" applyBorder="1" applyAlignment="1">
      <alignment horizontal="center" vertical="center"/>
    </xf>
    <xf numFmtId="164" fontId="15" fillId="3" borderId="0" xfId="4" applyNumberFormat="1" applyFont="1" applyAlignment="1">
      <alignment horizontal="center" vertical="center"/>
    </xf>
    <xf numFmtId="164" fontId="7" fillId="2" borderId="5" xfId="3" applyNumberFormat="1" applyFont="1" applyFill="1" applyBorder="1" applyAlignment="1">
      <alignment horizontal="center" vertical="center"/>
    </xf>
    <xf numFmtId="3" fontId="15" fillId="3" borderId="8" xfId="4" applyNumberFormat="1" applyFont="1" applyBorder="1" applyAlignment="1">
      <alignment horizontal="center" vertical="center"/>
    </xf>
    <xf numFmtId="164" fontId="7" fillId="0" borderId="2" xfId="3" applyNumberFormat="1" applyFont="1" applyBorder="1" applyAlignment="1">
      <alignment horizontal="center" vertical="center"/>
    </xf>
    <xf numFmtId="164" fontId="7" fillId="0" borderId="0" xfId="3" applyNumberFormat="1" applyFont="1" applyAlignment="1">
      <alignment horizontal="center" vertical="center"/>
    </xf>
    <xf numFmtId="164" fontId="4" fillId="3" borderId="7" xfId="2" applyNumberFormat="1" applyFont="1" applyFill="1" applyBorder="1" applyAlignment="1">
      <alignment horizontal="center" vertical="center"/>
    </xf>
    <xf numFmtId="164" fontId="34" fillId="3" borderId="7" xfId="5" applyNumberFormat="1" applyFont="1" applyFill="1" applyBorder="1" applyAlignment="1">
      <alignment horizontal="center" vertical="center"/>
    </xf>
    <xf numFmtId="164" fontId="34" fillId="3" borderId="0" xfId="5" applyNumberFormat="1" applyFont="1" applyFill="1" applyBorder="1" applyAlignment="1">
      <alignment horizontal="center" vertical="center"/>
    </xf>
    <xf numFmtId="164" fontId="4" fillId="3" borderId="4" xfId="2" applyNumberFormat="1" applyFont="1" applyFill="1" applyBorder="1" applyAlignment="1">
      <alignment horizontal="center" vertical="center"/>
    </xf>
    <xf numFmtId="164" fontId="4" fillId="3" borderId="5" xfId="2" applyNumberFormat="1" applyFont="1" applyFill="1" applyBorder="1" applyAlignment="1">
      <alignment horizontal="center" vertical="center"/>
    </xf>
    <xf numFmtId="164" fontId="11" fillId="4" borderId="9" xfId="5" applyNumberFormat="1" applyFont="1" applyFill="1" applyBorder="1" applyAlignment="1">
      <alignment horizontal="center" vertical="center"/>
    </xf>
    <xf numFmtId="164" fontId="11" fillId="4" borderId="10" xfId="5" applyNumberFormat="1" applyFont="1" applyFill="1" applyBorder="1" applyAlignment="1">
      <alignment horizontal="center" vertical="center"/>
    </xf>
    <xf numFmtId="164" fontId="15" fillId="0" borderId="5" xfId="5" applyNumberFormat="1" applyFont="1" applyFill="1" applyBorder="1" applyAlignment="1">
      <alignment horizontal="center" vertical="center"/>
    </xf>
    <xf numFmtId="164" fontId="16" fillId="4" borderId="0" xfId="5" applyNumberFormat="1" applyFont="1" applyFill="1" applyBorder="1" applyAlignment="1">
      <alignment horizontal="center" vertical="center"/>
    </xf>
    <xf numFmtId="164" fontId="4" fillId="3" borderId="10" xfId="5" applyNumberFormat="1" applyFont="1" applyFill="1" applyBorder="1" applyAlignment="1">
      <alignment horizontal="center" vertical="center"/>
    </xf>
    <xf numFmtId="10" fontId="15" fillId="3" borderId="15" xfId="2" applyNumberFormat="1" applyFont="1" applyFill="1" applyBorder="1" applyAlignment="1">
      <alignment horizontal="center"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24" fillId="0" borderId="0" xfId="0" applyFont="1" applyAlignment="1">
      <alignment horizontal="center" vertical="center" wrapText="1"/>
    </xf>
    <xf numFmtId="0" fontId="14" fillId="2" borderId="0" xfId="3" applyFont="1" applyFill="1" applyAlignment="1">
      <alignment horizontal="center" vertical="center"/>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3" fontId="11" fillId="4" borderId="1" xfId="4" applyNumberFormat="1" applyFont="1" applyFill="1" applyBorder="1" applyAlignment="1">
      <alignment horizontal="center" vertical="center" wrapText="1"/>
    </xf>
    <xf numFmtId="3" fontId="11" fillId="4" borderId="2" xfId="4" applyNumberFormat="1" applyFont="1" applyFill="1" applyBorder="1" applyAlignment="1">
      <alignment horizontal="center" vertical="center"/>
    </xf>
  </cellXfs>
  <cellStyles count="6">
    <cellStyle name="Millares" xfId="1" builtinId="3"/>
    <cellStyle name="Millares 2 3" xfId="5" xr:uid="{91F79B58-C3C6-403F-A8E9-4300BB98F3CB}"/>
    <cellStyle name="Normal" xfId="0" builtinId="0"/>
    <cellStyle name="Normal 4 3" xfId="3" xr:uid="{D267B31E-527F-4464-A87D-B67EB82B966C}"/>
    <cellStyle name="Porcentaje" xfId="2" builtinId="5"/>
    <cellStyle name="TEXTO NORMAL" xfId="4" xr:uid="{EDAE4161-A78A-4A5B-A559-60E5C027FF5D}"/>
  </cellStyles>
  <dxfs count="1">
    <dxf>
      <fill>
        <patternFill patternType="none"/>
      </fill>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30196"/>
              </a:srgbClr>
            </a:solidFill>
          </c:spPr>
          <c:invertIfNegative val="0"/>
          <c:dPt>
            <c:idx val="7"/>
            <c:invertIfNegative val="0"/>
            <c:bubble3D val="0"/>
            <c:extLst>
              <c:ext xmlns:c16="http://schemas.microsoft.com/office/drawing/2014/chart" uri="{C3380CC4-5D6E-409C-BE32-E72D297353CC}">
                <c16:uniqueId val="{00000000-9898-4371-A9E4-B533EE1B1C1E}"/>
              </c:ext>
            </c:extLst>
          </c:dPt>
          <c:dPt>
            <c:idx val="9"/>
            <c:invertIfNegative val="0"/>
            <c:bubble3D val="0"/>
            <c:spPr>
              <a:solidFill>
                <a:srgbClr val="C00000"/>
              </a:solidFill>
            </c:spPr>
            <c:extLst>
              <c:ext xmlns:c16="http://schemas.microsoft.com/office/drawing/2014/chart" uri="{C3380CC4-5D6E-409C-BE32-E72D297353CC}">
                <c16:uniqueId val="{00000002-9898-4371-A9E4-B533EE1B1C1E}"/>
              </c:ext>
            </c:extLst>
          </c:dPt>
          <c:dLbls>
            <c:dLbl>
              <c:idx val="9"/>
              <c:spPr>
                <a:noFill/>
                <a:ln>
                  <a:noFill/>
                </a:ln>
                <a:effectLst/>
              </c:spPr>
              <c:txPr>
                <a:bodyPr/>
                <a:lstStyle/>
                <a:p>
                  <a:pPr>
                    <a:defRPr sz="1100" b="1"/>
                  </a:pPr>
                  <a:endParaRPr lang="es-PE"/>
                </a:p>
              </c:txPr>
              <c:dLblPos val="outEnd"/>
              <c:showLegendKey val="0"/>
              <c:showVal val="1"/>
              <c:showCatName val="0"/>
              <c:showSerName val="0"/>
              <c:showPercent val="0"/>
              <c:showBubbleSize val="0"/>
              <c:extLst>
                <c:ext xmlns:c16="http://schemas.microsoft.com/office/drawing/2014/chart" uri="{C3380CC4-5D6E-409C-BE32-E72D297353CC}">
                  <c16:uniqueId val="{00000002-9898-4371-A9E4-B533EE1B1C1E}"/>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'S01.C01'!$C$27:$C$36</c:f>
              <c:strCache>
                <c:ptCount val="10"/>
                <c:pt idx="0">
                  <c:v>2016</c:v>
                </c:pt>
                <c:pt idx="1">
                  <c:v>2017</c:v>
                </c:pt>
                <c:pt idx="2">
                  <c:v>2018</c:v>
                </c:pt>
                <c:pt idx="3">
                  <c:v>2019</c:v>
                </c:pt>
                <c:pt idx="4">
                  <c:v>2020</c:v>
                </c:pt>
                <c:pt idx="5">
                  <c:v>2021</c:v>
                </c:pt>
                <c:pt idx="6">
                  <c:v>2022</c:v>
                </c:pt>
                <c:pt idx="7">
                  <c:v>2023</c:v>
                </c:pt>
                <c:pt idx="8">
                  <c:v>2024</c:v>
                </c:pt>
                <c:pt idx="9">
                  <c:v>2025
(Ene-Ago)
(Jan-Aug.)</c:v>
                </c:pt>
              </c:strCache>
            </c:strRef>
          </c:cat>
          <c:val>
            <c:numRef>
              <c:f>'S01.C01'!$Q$27:$Q$36</c:f>
              <c:numCache>
                <c:formatCode>#,##0</c:formatCode>
                <c:ptCount val="10"/>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2736.2371072517262</c:v>
                </c:pt>
                <c:pt idx="9">
                  <c:v>1807.4058757616117</c:v>
                </c:pt>
              </c:numCache>
            </c:numRef>
          </c:val>
          <c:extLst>
            <c:ext xmlns:c16="http://schemas.microsoft.com/office/drawing/2014/chart" uri="{C3380CC4-5D6E-409C-BE32-E72D297353CC}">
              <c16:uniqueId val="{00000003-9898-4371-A9E4-B533EE1B1C1E}"/>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gap"/>
    <c:showDLblsOverMax val="0"/>
  </c:chart>
  <c:spPr>
    <a:ln>
      <a:noFill/>
    </a:ln>
  </c:spPr>
  <c:txPr>
    <a:bodyPr/>
    <a:lstStyle/>
    <a:p>
      <a:pPr>
        <a:defRPr>
          <a:latin typeface="+mj-lt"/>
        </a:defRPr>
      </a:pPr>
      <a:endParaRPr lang="es-PE"/>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63</xdr:row>
      <xdr:rowOff>19050</xdr:rowOff>
    </xdr:from>
    <xdr:to>
      <xdr:col>15</xdr:col>
      <xdr:colOff>542924</xdr:colOff>
      <xdr:row>70</xdr:row>
      <xdr:rowOff>1</xdr:rowOff>
    </xdr:to>
    <xdr:graphicFrame macro="">
      <xdr:nvGraphicFramePr>
        <xdr:cNvPr id="2" name="2 Gráfico">
          <a:extLst>
            <a:ext uri="{FF2B5EF4-FFF2-40B4-BE49-F238E27FC236}">
              <a16:creationId xmlns:a16="http://schemas.microsoft.com/office/drawing/2014/main" id="{7A05BD03-B28A-43AA-BB20-4FA32B326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D1A5-1E2C-4C4B-962C-18DF0D6A85A6}">
  <sheetPr>
    <tabColor rgb="FFC00000"/>
    <pageSetUpPr fitToPage="1"/>
  </sheetPr>
  <dimension ref="C3:AJ72"/>
  <sheetViews>
    <sheetView showGridLines="0" tabSelected="1" view="pageBreakPreview" zoomScaleNormal="100" zoomScaleSheetLayoutView="100" workbookViewId="0">
      <selection activeCell="K38" sqref="K38"/>
    </sheetView>
  </sheetViews>
  <sheetFormatPr baseColWidth="10" defaultColWidth="11.42578125" defaultRowHeight="12.75" x14ac:dyDescent="0.25"/>
  <cols>
    <col min="1" max="2" width="2.7109375" style="2" customWidth="1"/>
    <col min="3" max="3" width="12.85546875" style="46" customWidth="1"/>
    <col min="4" max="4" width="12.42578125" style="2" customWidth="1"/>
    <col min="5" max="5" width="13.28515625" style="2" bestFit="1" customWidth="1"/>
    <col min="6" max="16" width="12.42578125" style="2" customWidth="1"/>
    <col min="17" max="17" width="2.42578125" style="8" customWidth="1"/>
    <col min="18" max="18" width="11.42578125" style="2"/>
    <col min="19" max="19" width="12.42578125" style="2" bestFit="1" customWidth="1"/>
    <col min="20" max="20" width="14.42578125" style="2" bestFit="1" customWidth="1"/>
    <col min="21" max="22" width="12.42578125" style="2" bestFit="1" customWidth="1"/>
    <col min="23" max="23" width="11.5703125" style="2" bestFit="1" customWidth="1"/>
    <col min="24" max="24" width="13.42578125" style="2" bestFit="1" customWidth="1"/>
    <col min="25" max="26" width="11.5703125" style="2" bestFit="1" customWidth="1"/>
    <col min="27" max="27" width="11.42578125" style="2"/>
    <col min="28" max="28" width="11.5703125" style="2" bestFit="1" customWidth="1"/>
    <col min="29" max="29" width="13.42578125" style="2" bestFit="1" customWidth="1"/>
    <col min="30" max="32" width="11.5703125" style="2" bestFit="1" customWidth="1"/>
    <col min="33" max="33" width="12.42578125" style="2" bestFit="1" customWidth="1"/>
    <col min="34" max="35" width="11.5703125" style="2" bestFit="1" customWidth="1"/>
    <col min="36" max="16384" width="11.42578125" style="2"/>
  </cols>
  <sheetData>
    <row r="3" spans="3:17" ht="15.75" customHeight="1" x14ac:dyDescent="0.25">
      <c r="C3" s="266" t="s">
        <v>0</v>
      </c>
      <c r="D3" s="266"/>
      <c r="E3" s="266"/>
      <c r="F3" s="266"/>
      <c r="G3" s="266"/>
      <c r="H3" s="266"/>
      <c r="I3" s="266"/>
      <c r="J3" s="266"/>
      <c r="K3" s="266"/>
      <c r="L3" s="266"/>
      <c r="M3" s="266"/>
      <c r="N3" s="266"/>
      <c r="O3" s="266"/>
      <c r="P3" s="266"/>
      <c r="Q3" s="1"/>
    </row>
    <row r="4" spans="3:17" ht="14.25" customHeight="1" x14ac:dyDescent="0.25">
      <c r="C4" s="267" t="s">
        <v>1</v>
      </c>
      <c r="D4" s="267"/>
      <c r="E4" s="267"/>
      <c r="F4" s="267"/>
      <c r="G4" s="267"/>
      <c r="H4" s="267"/>
      <c r="I4" s="267"/>
      <c r="J4" s="267"/>
      <c r="K4" s="267"/>
      <c r="L4" s="267"/>
      <c r="M4" s="267"/>
      <c r="N4" s="267"/>
      <c r="O4" s="267"/>
      <c r="P4" s="267"/>
      <c r="Q4" s="3"/>
    </row>
    <row r="5" spans="3:17" ht="9" customHeight="1" x14ac:dyDescent="0.25">
      <c r="C5" s="4"/>
      <c r="D5" s="5"/>
      <c r="E5" s="5"/>
      <c r="F5" s="5"/>
      <c r="G5" s="5"/>
      <c r="H5" s="6"/>
      <c r="I5" s="7"/>
      <c r="J5" s="6"/>
      <c r="K5" s="5"/>
      <c r="L5" s="5"/>
      <c r="M5" s="5"/>
      <c r="N5" s="5"/>
      <c r="O5" s="5"/>
      <c r="P5" s="5"/>
    </row>
    <row r="6" spans="3:17" ht="14.45" customHeight="1" x14ac:dyDescent="0.25">
      <c r="C6" s="268" t="s">
        <v>2</v>
      </c>
      <c r="D6" s="268"/>
      <c r="E6" s="268"/>
      <c r="F6" s="268"/>
      <c r="G6" s="268"/>
      <c r="H6" s="268"/>
      <c r="I6" s="268"/>
      <c r="J6" s="268"/>
      <c r="K6" s="268"/>
      <c r="L6" s="9"/>
      <c r="M6" s="9"/>
      <c r="N6" s="9"/>
      <c r="O6" s="9"/>
      <c r="P6" s="9"/>
    </row>
    <row r="7" spans="3:17" ht="14.45" customHeight="1" x14ac:dyDescent="0.25">
      <c r="C7" s="10" t="s">
        <v>3</v>
      </c>
      <c r="D7" s="9"/>
      <c r="E7" s="9"/>
      <c r="F7" s="9"/>
      <c r="G7" s="9"/>
      <c r="H7" s="9"/>
      <c r="I7" s="9"/>
      <c r="J7" s="9"/>
      <c r="K7" s="9"/>
      <c r="L7" s="9"/>
      <c r="M7" s="9"/>
      <c r="N7" s="9"/>
      <c r="O7" s="9"/>
      <c r="P7" s="9"/>
    </row>
    <row r="8" spans="3:17" x14ac:dyDescent="0.25">
      <c r="C8" s="5"/>
      <c r="D8" s="5"/>
      <c r="E8" s="5"/>
      <c r="F8" s="5"/>
      <c r="G8" s="5"/>
      <c r="H8" s="5"/>
      <c r="I8" s="5"/>
      <c r="J8" s="5"/>
      <c r="K8" s="5"/>
      <c r="L8" s="5"/>
      <c r="M8" s="5"/>
      <c r="N8" s="5"/>
      <c r="O8" s="5"/>
      <c r="P8" s="5"/>
    </row>
    <row r="9" spans="3:17" s="15" customFormat="1" ht="29.25" customHeight="1" x14ac:dyDescent="0.25">
      <c r="C9" s="11" t="s">
        <v>4</v>
      </c>
      <c r="D9" s="12" t="s">
        <v>5</v>
      </c>
      <c r="E9" s="12" t="s">
        <v>6</v>
      </c>
      <c r="F9" s="12" t="s">
        <v>7</v>
      </c>
      <c r="G9" s="12" t="s">
        <v>8</v>
      </c>
      <c r="H9" s="12" t="s">
        <v>9</v>
      </c>
      <c r="I9" s="12" t="s">
        <v>10</v>
      </c>
      <c r="J9" s="12" t="s">
        <v>11</v>
      </c>
      <c r="K9" s="12" t="s">
        <v>12</v>
      </c>
      <c r="L9" s="12" t="s">
        <v>13</v>
      </c>
      <c r="M9" s="12" t="s">
        <v>14</v>
      </c>
      <c r="N9" s="12" t="s">
        <v>15</v>
      </c>
      <c r="O9" s="12" t="s">
        <v>16</v>
      </c>
      <c r="P9" s="13" t="s">
        <v>17</v>
      </c>
      <c r="Q9" s="14"/>
    </row>
    <row r="10" spans="3:17" ht="24" x14ac:dyDescent="0.25">
      <c r="C10" s="16"/>
      <c r="D10" s="17" t="s">
        <v>18</v>
      </c>
      <c r="E10" s="17" t="s">
        <v>19</v>
      </c>
      <c r="F10" s="17" t="s">
        <v>18</v>
      </c>
      <c r="G10" s="17" t="s">
        <v>20</v>
      </c>
      <c r="H10" s="17" t="s">
        <v>18</v>
      </c>
      <c r="I10" s="17" t="s">
        <v>18</v>
      </c>
      <c r="J10" s="17" t="s">
        <v>18</v>
      </c>
      <c r="K10" s="17" t="s">
        <v>18</v>
      </c>
      <c r="L10" s="17" t="s">
        <v>18</v>
      </c>
      <c r="M10" s="17" t="s">
        <v>18</v>
      </c>
      <c r="N10" s="17" t="s">
        <v>18</v>
      </c>
      <c r="O10" s="17" t="s">
        <v>18</v>
      </c>
      <c r="P10" s="18" t="s">
        <v>18</v>
      </c>
    </row>
    <row r="11" spans="3:17" x14ac:dyDescent="0.25">
      <c r="C11" s="19">
        <v>2000</v>
      </c>
      <c r="D11" s="20">
        <v>553924</v>
      </c>
      <c r="E11" s="20">
        <v>132585078.00000001</v>
      </c>
      <c r="F11" s="20">
        <v>910303</v>
      </c>
      <c r="G11" s="20">
        <v>2437706</v>
      </c>
      <c r="H11" s="20">
        <v>270576</v>
      </c>
      <c r="I11" s="20">
        <v>2812784.7804642497</v>
      </c>
      <c r="J11" s="20">
        <v>37410</v>
      </c>
      <c r="K11" s="20">
        <v>7193</v>
      </c>
      <c r="L11" s="20" t="s">
        <v>21</v>
      </c>
      <c r="M11" s="20" t="s">
        <v>21</v>
      </c>
      <c r="N11" s="20" t="s">
        <v>21</v>
      </c>
      <c r="O11" s="20" t="s">
        <v>21</v>
      </c>
      <c r="P11" s="21" t="s">
        <v>21</v>
      </c>
    </row>
    <row r="12" spans="3:17" x14ac:dyDescent="0.25">
      <c r="C12" s="19">
        <v>2001</v>
      </c>
      <c r="D12" s="20">
        <v>722355.34555900015</v>
      </c>
      <c r="E12" s="20">
        <v>138522109.261338</v>
      </c>
      <c r="F12" s="20">
        <v>1056629.375614</v>
      </c>
      <c r="G12" s="20">
        <v>2571113.7884550001</v>
      </c>
      <c r="H12" s="20">
        <v>289546.06610700005</v>
      </c>
      <c r="I12" s="20">
        <v>3038401.494655</v>
      </c>
      <c r="J12" s="20">
        <v>38182.076774000001</v>
      </c>
      <c r="K12" s="20">
        <v>9499.2289039999996</v>
      </c>
      <c r="L12" s="20" t="s">
        <v>21</v>
      </c>
      <c r="M12" s="20" t="s">
        <v>21</v>
      </c>
      <c r="N12" s="20" t="s">
        <v>21</v>
      </c>
      <c r="O12" s="20" t="s">
        <v>21</v>
      </c>
      <c r="P12" s="21" t="s">
        <v>21</v>
      </c>
    </row>
    <row r="13" spans="3:17" x14ac:dyDescent="0.25">
      <c r="C13" s="19">
        <v>2002</v>
      </c>
      <c r="D13" s="20">
        <v>844552.87496099994</v>
      </c>
      <c r="E13" s="20">
        <v>157529918.53579301</v>
      </c>
      <c r="F13" s="20">
        <v>1232996.9204689998</v>
      </c>
      <c r="G13" s="20">
        <v>2869638.9847490001</v>
      </c>
      <c r="H13" s="20">
        <v>305650.71951300005</v>
      </c>
      <c r="I13" s="20">
        <v>3056055.2522</v>
      </c>
      <c r="J13" s="20">
        <v>38815.044966000001</v>
      </c>
      <c r="K13" s="20">
        <v>8612.8507310000005</v>
      </c>
      <c r="L13" s="20" t="s">
        <v>21</v>
      </c>
      <c r="M13" s="20" t="s">
        <v>21</v>
      </c>
      <c r="N13" s="20" t="s">
        <v>21</v>
      </c>
      <c r="O13" s="20" t="s">
        <v>21</v>
      </c>
      <c r="P13" s="21" t="s">
        <v>21</v>
      </c>
    </row>
    <row r="14" spans="3:17" x14ac:dyDescent="0.25">
      <c r="C14" s="19">
        <v>2003</v>
      </c>
      <c r="D14" s="20">
        <v>842605.07863000024</v>
      </c>
      <c r="E14" s="20">
        <v>172624629.84419996</v>
      </c>
      <c r="F14" s="20">
        <v>1373792.267121</v>
      </c>
      <c r="G14" s="20">
        <v>2923686.4022500003</v>
      </c>
      <c r="H14" s="20">
        <v>309163.88219000009</v>
      </c>
      <c r="I14" s="20">
        <v>3484900.3702520002</v>
      </c>
      <c r="J14" s="20">
        <v>40202.178839999993</v>
      </c>
      <c r="K14" s="20">
        <v>9589.5781260000003</v>
      </c>
      <c r="L14" s="20" t="s">
        <v>21</v>
      </c>
      <c r="M14" s="20" t="s">
        <v>21</v>
      </c>
      <c r="N14" s="20" t="s">
        <v>21</v>
      </c>
      <c r="O14" s="20" t="s">
        <v>21</v>
      </c>
      <c r="P14" s="21" t="s">
        <v>21</v>
      </c>
    </row>
    <row r="15" spans="3:17" x14ac:dyDescent="0.25">
      <c r="C15" s="19">
        <v>2004</v>
      </c>
      <c r="D15" s="20">
        <v>1035574.04973</v>
      </c>
      <c r="E15" s="20">
        <v>173223817.38585296</v>
      </c>
      <c r="F15" s="20">
        <v>1209005.7091610003</v>
      </c>
      <c r="G15" s="20">
        <v>3059961.8968920005</v>
      </c>
      <c r="H15" s="20">
        <v>306210.77793799998</v>
      </c>
      <c r="I15" s="20">
        <v>4247173.7726000007</v>
      </c>
      <c r="J15" s="20">
        <v>41613.363517999998</v>
      </c>
      <c r="K15" s="20">
        <v>14246.326868</v>
      </c>
      <c r="L15" s="20" t="s">
        <v>21</v>
      </c>
      <c r="M15" s="20" t="s">
        <v>21</v>
      </c>
      <c r="N15" s="20" t="s">
        <v>21</v>
      </c>
      <c r="O15" s="20" t="s">
        <v>21</v>
      </c>
      <c r="P15" s="21" t="s">
        <v>21</v>
      </c>
    </row>
    <row r="16" spans="3:17" x14ac:dyDescent="0.25">
      <c r="C16" s="19">
        <v>2005</v>
      </c>
      <c r="D16" s="20">
        <v>1009897.918423</v>
      </c>
      <c r="E16" s="20">
        <v>208001717.81876829</v>
      </c>
      <c r="F16" s="20">
        <v>1201670.9143999997</v>
      </c>
      <c r="G16" s="20">
        <v>3193145.5305729993</v>
      </c>
      <c r="H16" s="20">
        <v>319344.80289899989</v>
      </c>
      <c r="I16" s="20">
        <v>4564989.1370999999</v>
      </c>
      <c r="J16" s="20">
        <v>42144.586211000002</v>
      </c>
      <c r="K16" s="20">
        <v>17325.373315000004</v>
      </c>
      <c r="L16" s="20" t="s">
        <v>21</v>
      </c>
      <c r="M16" s="20" t="s">
        <v>21</v>
      </c>
      <c r="N16" s="20" t="s">
        <v>21</v>
      </c>
      <c r="O16" s="20" t="s">
        <v>21</v>
      </c>
      <c r="P16" s="21" t="s">
        <v>21</v>
      </c>
    </row>
    <row r="17" spans="3:36" x14ac:dyDescent="0.25">
      <c r="C17" s="19">
        <v>2006</v>
      </c>
      <c r="D17" s="20">
        <v>1048472.4635900002</v>
      </c>
      <c r="E17" s="20">
        <v>202825998.65453294</v>
      </c>
      <c r="F17" s="20">
        <v>1203364.0679980002</v>
      </c>
      <c r="G17" s="20">
        <v>3470661.2430209992</v>
      </c>
      <c r="H17" s="20">
        <v>313332.28608800005</v>
      </c>
      <c r="I17" s="20">
        <v>4784600.5820000004</v>
      </c>
      <c r="J17" s="20">
        <v>38469.547186000011</v>
      </c>
      <c r="K17" s="20">
        <v>17209.346067999999</v>
      </c>
      <c r="L17" s="20" t="s">
        <v>21</v>
      </c>
      <c r="M17" s="20" t="s">
        <v>21</v>
      </c>
      <c r="N17" s="20" t="s">
        <v>21</v>
      </c>
      <c r="O17" s="20" t="s">
        <v>21</v>
      </c>
      <c r="P17" s="21" t="s">
        <v>21</v>
      </c>
    </row>
    <row r="18" spans="3:36" x14ac:dyDescent="0.25">
      <c r="C18" s="19">
        <v>2007</v>
      </c>
      <c r="D18" s="20">
        <v>1190273.6039159999</v>
      </c>
      <c r="E18" s="20">
        <v>170127538.95581597</v>
      </c>
      <c r="F18" s="20">
        <v>1444361.4378260002</v>
      </c>
      <c r="G18" s="20">
        <v>3501461.9256330007</v>
      </c>
      <c r="H18" s="20">
        <v>329164.77903499996</v>
      </c>
      <c r="I18" s="20">
        <v>5103597.2635999992</v>
      </c>
      <c r="J18" s="20">
        <v>39018.915689000001</v>
      </c>
      <c r="K18" s="20">
        <v>16786.886077000003</v>
      </c>
      <c r="L18" s="20" t="s">
        <v>21</v>
      </c>
      <c r="M18" s="20" t="s">
        <v>21</v>
      </c>
      <c r="N18" s="20" t="s">
        <v>21</v>
      </c>
      <c r="O18" s="20" t="s">
        <v>21</v>
      </c>
      <c r="P18" s="21" t="s">
        <v>21</v>
      </c>
    </row>
    <row r="19" spans="3:36" x14ac:dyDescent="0.25">
      <c r="C19" s="19">
        <v>2008</v>
      </c>
      <c r="D19" s="20">
        <v>1267866.5800789997</v>
      </c>
      <c r="E19" s="20">
        <v>179870472.99560794</v>
      </c>
      <c r="F19" s="20">
        <v>1602597.0080210003</v>
      </c>
      <c r="G19" s="20">
        <v>3685931.0012759985</v>
      </c>
      <c r="H19" s="20">
        <v>345109.27027199999</v>
      </c>
      <c r="I19" s="20">
        <v>5160707.0164000001</v>
      </c>
      <c r="J19" s="20">
        <v>39037.065935000006</v>
      </c>
      <c r="K19" s="20">
        <v>16720.528117000002</v>
      </c>
      <c r="L19" s="20" t="s">
        <v>21</v>
      </c>
      <c r="M19" s="20" t="s">
        <v>21</v>
      </c>
      <c r="N19" s="20" t="s">
        <v>21</v>
      </c>
      <c r="O19" s="20" t="s">
        <v>21</v>
      </c>
      <c r="P19" s="21" t="s">
        <v>21</v>
      </c>
    </row>
    <row r="20" spans="3:36" x14ac:dyDescent="0.25">
      <c r="C20" s="19">
        <v>2009</v>
      </c>
      <c r="D20" s="20">
        <v>1276249.2028349997</v>
      </c>
      <c r="E20" s="20">
        <v>183994691.50778204</v>
      </c>
      <c r="F20" s="20">
        <v>1512931.0674320005</v>
      </c>
      <c r="G20" s="20">
        <v>3922708.3963299985</v>
      </c>
      <c r="H20" s="20">
        <v>302459.11290999997</v>
      </c>
      <c r="I20" s="20">
        <v>4418768.325600001</v>
      </c>
      <c r="J20" s="20">
        <v>37502.627191</v>
      </c>
      <c r="K20" s="20">
        <v>12297.103142</v>
      </c>
      <c r="L20" s="20" t="s">
        <v>21</v>
      </c>
      <c r="M20" s="20" t="s">
        <v>21</v>
      </c>
      <c r="N20" s="20" t="s">
        <v>21</v>
      </c>
      <c r="O20" s="20" t="s">
        <v>21</v>
      </c>
      <c r="P20" s="21" t="s">
        <v>21</v>
      </c>
    </row>
    <row r="21" spans="3:36" x14ac:dyDescent="0.25">
      <c r="C21" s="19">
        <v>2010</v>
      </c>
      <c r="D21" s="20">
        <v>1247184.0293920001</v>
      </c>
      <c r="E21" s="20">
        <v>164084388.90122896</v>
      </c>
      <c r="F21" s="20">
        <v>1470449.7064990005</v>
      </c>
      <c r="G21" s="20">
        <v>3640465.4641499999</v>
      </c>
      <c r="H21" s="20">
        <v>261989.60579399997</v>
      </c>
      <c r="I21" s="20">
        <v>6042644.2223000005</v>
      </c>
      <c r="J21" s="20">
        <v>33847.813441999999</v>
      </c>
      <c r="K21" s="20">
        <v>16963.268973000002</v>
      </c>
      <c r="L21" s="20" t="s">
        <v>21</v>
      </c>
      <c r="M21" s="20" t="s">
        <v>21</v>
      </c>
      <c r="N21" s="20" t="s">
        <v>21</v>
      </c>
      <c r="O21" s="20" t="s">
        <v>21</v>
      </c>
      <c r="P21" s="21" t="s">
        <v>21</v>
      </c>
    </row>
    <row r="22" spans="3:36" x14ac:dyDescent="0.25">
      <c r="C22" s="19">
        <v>2011</v>
      </c>
      <c r="D22" s="20">
        <v>1235345.068018001</v>
      </c>
      <c r="E22" s="20">
        <v>166186716.98165271</v>
      </c>
      <c r="F22" s="20">
        <v>1256382.6002109998</v>
      </c>
      <c r="G22" s="20">
        <v>3418862.1174220056</v>
      </c>
      <c r="H22" s="20">
        <v>230199.08238500016</v>
      </c>
      <c r="I22" s="20">
        <v>7010937.8915999997</v>
      </c>
      <c r="J22" s="20">
        <v>28881.790965999993</v>
      </c>
      <c r="K22" s="20">
        <v>19141.078052000001</v>
      </c>
      <c r="L22" s="20" t="s">
        <v>21</v>
      </c>
      <c r="M22" s="20" t="s">
        <v>21</v>
      </c>
      <c r="N22" s="20" t="s">
        <v>21</v>
      </c>
      <c r="O22" s="20" t="s">
        <v>21</v>
      </c>
      <c r="P22" s="21" t="s">
        <v>21</v>
      </c>
      <c r="Q22" s="22">
        <f t="shared" ref="Q22:Q36" si="0">D22/1000</f>
        <v>1235.345068018001</v>
      </c>
      <c r="AB22" s="23"/>
      <c r="AC22" s="23"/>
      <c r="AD22" s="23"/>
      <c r="AE22" s="23"/>
      <c r="AF22" s="23"/>
      <c r="AG22" s="23"/>
      <c r="AH22" s="23"/>
      <c r="AI22" s="23"/>
      <c r="AJ22" s="24"/>
    </row>
    <row r="23" spans="3:36" x14ac:dyDescent="0.25">
      <c r="C23" s="19">
        <v>2012</v>
      </c>
      <c r="D23" s="20">
        <v>1289916.9346156276</v>
      </c>
      <c r="E23" s="20">
        <v>153780960.26084191</v>
      </c>
      <c r="F23" s="20">
        <v>1281282.431485241</v>
      </c>
      <c r="G23" s="20">
        <v>3452004.3609873233</v>
      </c>
      <c r="H23" s="20">
        <v>249236.15747171015</v>
      </c>
      <c r="I23" s="20">
        <v>6684539.3918000003</v>
      </c>
      <c r="J23" s="20">
        <v>26104.854505400006</v>
      </c>
      <c r="K23" s="20">
        <v>16790.374244900002</v>
      </c>
      <c r="L23" s="20" t="s">
        <v>21</v>
      </c>
      <c r="M23" s="20" t="s">
        <v>21</v>
      </c>
      <c r="N23" s="20" t="s">
        <v>21</v>
      </c>
      <c r="O23" s="20" t="s">
        <v>21</v>
      </c>
      <c r="P23" s="21" t="s">
        <v>21</v>
      </c>
      <c r="Q23" s="22">
        <f t="shared" si="0"/>
        <v>1289.9169346156277</v>
      </c>
      <c r="R23" s="24"/>
      <c r="AB23" s="23"/>
      <c r="AC23" s="23"/>
      <c r="AD23" s="23"/>
      <c r="AE23" s="23"/>
      <c r="AF23" s="23"/>
      <c r="AG23" s="23"/>
      <c r="AH23" s="23"/>
      <c r="AI23" s="23"/>
    </row>
    <row r="24" spans="3:36" x14ac:dyDescent="0.25">
      <c r="C24" s="19">
        <v>2013</v>
      </c>
      <c r="D24" s="20">
        <v>1363452.9126998207</v>
      </c>
      <c r="E24" s="20">
        <v>143716837.41998193</v>
      </c>
      <c r="F24" s="20">
        <v>1351048.7423302194</v>
      </c>
      <c r="G24" s="20">
        <v>3648503.3400407191</v>
      </c>
      <c r="H24" s="20">
        <v>266312.71547875</v>
      </c>
      <c r="I24" s="20">
        <v>6680658.79</v>
      </c>
      <c r="J24" s="20">
        <v>23667.787451500008</v>
      </c>
      <c r="K24" s="20">
        <v>18139.597244000001</v>
      </c>
      <c r="L24" s="20" t="s">
        <v>21</v>
      </c>
      <c r="M24" s="20" t="s">
        <v>21</v>
      </c>
      <c r="N24" s="20" t="s">
        <v>21</v>
      </c>
      <c r="O24" s="20" t="s">
        <v>21</v>
      </c>
      <c r="P24" s="21" t="s">
        <v>21</v>
      </c>
      <c r="Q24" s="22">
        <f t="shared" si="0"/>
        <v>1363.4529126998207</v>
      </c>
      <c r="R24" s="24"/>
      <c r="AB24" s="23"/>
      <c r="AC24" s="23"/>
      <c r="AD24" s="23"/>
      <c r="AE24" s="23"/>
      <c r="AF24" s="23"/>
      <c r="AG24" s="23"/>
      <c r="AH24" s="23"/>
      <c r="AI24" s="23"/>
    </row>
    <row r="25" spans="3:36" x14ac:dyDescent="0.25">
      <c r="C25" s="19">
        <v>2014</v>
      </c>
      <c r="D25" s="20">
        <v>1377373.7760182077</v>
      </c>
      <c r="E25" s="20">
        <v>129946243.44281495</v>
      </c>
      <c r="F25" s="20">
        <v>1315221.0230463955</v>
      </c>
      <c r="G25" s="20">
        <v>3738279.9180184668</v>
      </c>
      <c r="H25" s="20">
        <v>277116.52714844397</v>
      </c>
      <c r="I25" s="20">
        <v>7192591.9308000002</v>
      </c>
      <c r="J25" s="20">
        <v>23105.261867800007</v>
      </c>
      <c r="K25" s="20">
        <v>17017.692464999996</v>
      </c>
      <c r="L25" s="20" t="s">
        <v>21</v>
      </c>
      <c r="M25" s="20" t="s">
        <v>21</v>
      </c>
      <c r="N25" s="20" t="s">
        <v>21</v>
      </c>
      <c r="O25" s="20" t="s">
        <v>21</v>
      </c>
      <c r="P25" s="21" t="s">
        <v>21</v>
      </c>
      <c r="Q25" s="22">
        <f t="shared" si="0"/>
        <v>1377.3737760182078</v>
      </c>
      <c r="R25" s="24"/>
      <c r="AB25" s="23"/>
      <c r="AC25" s="23"/>
      <c r="AD25" s="23"/>
      <c r="AE25" s="23"/>
      <c r="AF25" s="23"/>
      <c r="AG25" s="23"/>
      <c r="AH25" s="23"/>
      <c r="AI25" s="23"/>
    </row>
    <row r="26" spans="3:36" x14ac:dyDescent="0.25">
      <c r="C26" s="19">
        <v>2015</v>
      </c>
      <c r="D26" s="20">
        <v>1699939.7432781935</v>
      </c>
      <c r="E26" s="20">
        <v>137378305.7952458</v>
      </c>
      <c r="F26" s="20">
        <v>1415823.5863843861</v>
      </c>
      <c r="G26" s="20">
        <v>4071094.9244271382</v>
      </c>
      <c r="H26" s="20">
        <v>314011.10750861233</v>
      </c>
      <c r="I26" s="20">
        <v>7320806.8477000007</v>
      </c>
      <c r="J26" s="20">
        <v>19510.729779199999</v>
      </c>
      <c r="K26" s="20">
        <v>20153.237616000009</v>
      </c>
      <c r="L26" s="20" t="s">
        <v>21</v>
      </c>
      <c r="M26" s="20" t="s">
        <v>21</v>
      </c>
      <c r="N26" s="20" t="s">
        <v>21</v>
      </c>
      <c r="O26" s="20" t="s">
        <v>21</v>
      </c>
      <c r="P26" s="21" t="s">
        <v>21</v>
      </c>
      <c r="Q26" s="22">
        <f t="shared" si="0"/>
        <v>1699.9397432781934</v>
      </c>
      <c r="R26" s="24"/>
      <c r="AB26" s="23"/>
      <c r="AC26" s="23"/>
      <c r="AD26" s="23"/>
      <c r="AE26" s="23"/>
      <c r="AF26" s="23"/>
      <c r="AG26" s="23"/>
      <c r="AH26" s="23"/>
      <c r="AI26" s="23"/>
    </row>
    <row r="27" spans="3:36" x14ac:dyDescent="0.25">
      <c r="C27" s="19">
        <v>2016</v>
      </c>
      <c r="D27" s="20">
        <v>2352959.5047380654</v>
      </c>
      <c r="E27" s="20">
        <v>142230636.69316867</v>
      </c>
      <c r="F27" s="20">
        <v>1329178.0227656392</v>
      </c>
      <c r="G27" s="20">
        <v>4329179.7629066529</v>
      </c>
      <c r="H27" s="20">
        <v>312806.40109176951</v>
      </c>
      <c r="I27" s="20">
        <v>7663123.9877000004</v>
      </c>
      <c r="J27" s="20">
        <v>18789.0047614</v>
      </c>
      <c r="K27" s="20">
        <v>25756.505005499999</v>
      </c>
      <c r="L27" s="20">
        <v>23251.82108854</v>
      </c>
      <c r="M27" s="20">
        <v>187.59719447999996</v>
      </c>
      <c r="N27" s="20" t="s">
        <v>21</v>
      </c>
      <c r="O27" s="20">
        <v>1194.0643193499998</v>
      </c>
      <c r="P27" s="21" t="s">
        <v>21</v>
      </c>
      <c r="Q27" s="22">
        <f t="shared" si="0"/>
        <v>2352.9595047380653</v>
      </c>
      <c r="R27" s="24"/>
      <c r="AB27" s="23"/>
      <c r="AC27" s="23"/>
      <c r="AD27" s="23"/>
      <c r="AE27" s="23"/>
      <c r="AF27" s="23"/>
      <c r="AG27" s="23"/>
      <c r="AH27" s="23"/>
      <c r="AI27" s="23"/>
    </row>
    <row r="28" spans="3:36" x14ac:dyDescent="0.25">
      <c r="C28" s="19">
        <v>2017</v>
      </c>
      <c r="D28" s="20">
        <v>2440181.1105834288</v>
      </c>
      <c r="E28" s="20">
        <v>138425832.76156646</v>
      </c>
      <c r="F28" s="20">
        <v>1466521.468671351</v>
      </c>
      <c r="G28" s="20">
        <v>4318324.2784375055</v>
      </c>
      <c r="H28" s="20">
        <v>305279.59941443987</v>
      </c>
      <c r="I28" s="20">
        <v>8668091.618999999</v>
      </c>
      <c r="J28" s="20">
        <v>17790.363566100001</v>
      </c>
      <c r="K28" s="20">
        <v>28141.125214199987</v>
      </c>
      <c r="L28" s="20">
        <v>22403.407244680002</v>
      </c>
      <c r="M28" s="20">
        <v>123.17674860000001</v>
      </c>
      <c r="N28" s="20" t="s">
        <v>21</v>
      </c>
      <c r="O28" s="20">
        <v>1133.2781170000001</v>
      </c>
      <c r="P28" s="21" t="s">
        <v>21</v>
      </c>
      <c r="Q28" s="22">
        <f t="shared" si="0"/>
        <v>2440.1811105834286</v>
      </c>
      <c r="R28" s="24"/>
      <c r="AB28" s="23"/>
      <c r="AC28" s="23"/>
      <c r="AD28" s="23"/>
      <c r="AE28" s="23"/>
      <c r="AF28" s="23"/>
      <c r="AG28" s="23"/>
      <c r="AH28" s="23"/>
      <c r="AI28" s="23"/>
    </row>
    <row r="29" spans="3:36" ht="12" customHeight="1" x14ac:dyDescent="0.25">
      <c r="C29" s="19">
        <v>2018</v>
      </c>
      <c r="D29" s="20">
        <v>2416881.1002070699</v>
      </c>
      <c r="E29" s="20">
        <v>125933914.4370804</v>
      </c>
      <c r="F29" s="20">
        <v>1471845.936649523</v>
      </c>
      <c r="G29" s="20">
        <v>3999990.1319625694</v>
      </c>
      <c r="H29" s="20">
        <v>288796.22529555805</v>
      </c>
      <c r="I29" s="20">
        <v>9096993.8719999995</v>
      </c>
      <c r="J29" s="20">
        <v>18601.344508400005</v>
      </c>
      <c r="K29" s="20">
        <v>27604.218841510006</v>
      </c>
      <c r="L29" s="20">
        <v>20407.598393799999</v>
      </c>
      <c r="M29" s="20">
        <v>145.236144</v>
      </c>
      <c r="N29" s="20" t="s">
        <v>21</v>
      </c>
      <c r="O29" s="20">
        <v>20879.636489500001</v>
      </c>
      <c r="P29" s="21" t="s">
        <v>21</v>
      </c>
      <c r="Q29" s="22">
        <f t="shared" si="0"/>
        <v>2416.8811002070697</v>
      </c>
      <c r="R29" s="24"/>
      <c r="AB29" s="23"/>
      <c r="AC29" s="23"/>
      <c r="AD29" s="23"/>
      <c r="AE29" s="23"/>
      <c r="AF29" s="23"/>
      <c r="AG29" s="23"/>
      <c r="AH29" s="23"/>
      <c r="AI29" s="23"/>
    </row>
    <row r="30" spans="3:36" x14ac:dyDescent="0.25">
      <c r="C30" s="19">
        <v>2019</v>
      </c>
      <c r="D30" s="20">
        <v>2437925.373902773</v>
      </c>
      <c r="E30" s="20">
        <v>113586028.97131993</v>
      </c>
      <c r="F30" s="20">
        <v>1382753.4838439696</v>
      </c>
      <c r="G30" s="20">
        <v>3706760.2491151234</v>
      </c>
      <c r="H30" s="20">
        <v>307020.88310454384</v>
      </c>
      <c r="I30" s="20">
        <v>9666411.8718999997</v>
      </c>
      <c r="J30" s="20">
        <v>19853.168399999995</v>
      </c>
      <c r="K30" s="20">
        <v>30441.359039579998</v>
      </c>
      <c r="L30" s="20">
        <v>24914.734069159997</v>
      </c>
      <c r="M30" s="20">
        <v>72.514848099999995</v>
      </c>
      <c r="N30" s="20" t="s">
        <v>21</v>
      </c>
      <c r="O30" s="20">
        <v>18814.2028421</v>
      </c>
      <c r="P30" s="21" t="s">
        <v>21</v>
      </c>
      <c r="Q30" s="22">
        <f t="shared" si="0"/>
        <v>2437.9253739027731</v>
      </c>
      <c r="R30" s="24"/>
      <c r="AB30" s="23"/>
      <c r="AC30" s="23"/>
      <c r="AD30" s="23"/>
      <c r="AE30" s="23"/>
      <c r="AF30" s="23"/>
      <c r="AG30" s="23"/>
      <c r="AH30" s="23"/>
      <c r="AI30" s="23"/>
    </row>
    <row r="31" spans="3:36" x14ac:dyDescent="0.25">
      <c r="C31" s="19">
        <v>2020</v>
      </c>
      <c r="D31" s="20">
        <v>2150125.9121219628</v>
      </c>
      <c r="E31" s="20">
        <v>85368457.367976174</v>
      </c>
      <c r="F31" s="20">
        <v>1334570.4777680759</v>
      </c>
      <c r="G31" s="20">
        <v>2721461.1368655483</v>
      </c>
      <c r="H31" s="20">
        <v>241547.91303967001</v>
      </c>
      <c r="I31" s="20">
        <v>8893971.5276180003</v>
      </c>
      <c r="J31" s="20">
        <v>20646.581029499997</v>
      </c>
      <c r="K31" s="20">
        <v>32184.625879069805</v>
      </c>
      <c r="L31" s="20">
        <v>19013.894022044497</v>
      </c>
      <c r="M31" s="20">
        <v>73.906293489500015</v>
      </c>
      <c r="N31" s="20">
        <v>235.52044689999997</v>
      </c>
      <c r="O31" s="20">
        <v>10119.873510295998</v>
      </c>
      <c r="P31" s="21" t="s">
        <v>21</v>
      </c>
      <c r="Q31" s="22">
        <f t="shared" si="0"/>
        <v>2150.1259121219628</v>
      </c>
      <c r="R31" s="24"/>
      <c r="AB31" s="23"/>
      <c r="AC31" s="23"/>
      <c r="AD31" s="23"/>
      <c r="AE31" s="23"/>
      <c r="AF31" s="23"/>
      <c r="AG31" s="23"/>
      <c r="AH31" s="23"/>
      <c r="AI31" s="23"/>
    </row>
    <row r="32" spans="3:36" x14ac:dyDescent="0.25">
      <c r="C32" s="19">
        <v>2021</v>
      </c>
      <c r="D32" s="20">
        <v>2326035.3089323733</v>
      </c>
      <c r="E32" s="20">
        <v>97492951.121057257</v>
      </c>
      <c r="F32" s="20">
        <v>1533134.9989912319</v>
      </c>
      <c r="G32" s="20">
        <v>3333632.4494976597</v>
      </c>
      <c r="H32" s="20">
        <v>264426.50705023162</v>
      </c>
      <c r="I32" s="20">
        <v>12149273.526027001</v>
      </c>
      <c r="J32" s="20">
        <v>26995.267701000004</v>
      </c>
      <c r="K32" s="20">
        <v>34148.029036760017</v>
      </c>
      <c r="L32" s="20">
        <v>21876.501141209999</v>
      </c>
      <c r="M32" s="20">
        <v>247.486251065</v>
      </c>
      <c r="N32" s="20">
        <v>278.81457949999998</v>
      </c>
      <c r="O32" s="20">
        <v>11390.682832689996</v>
      </c>
      <c r="P32" s="21" t="s">
        <v>21</v>
      </c>
      <c r="Q32" s="22">
        <f t="shared" si="0"/>
        <v>2326.0353089323735</v>
      </c>
      <c r="R32" s="24"/>
      <c r="AB32" s="23"/>
      <c r="AC32" s="23"/>
      <c r="AD32" s="23"/>
      <c r="AE32" s="23"/>
      <c r="AF32" s="23"/>
      <c r="AG32" s="23"/>
      <c r="AH32" s="23"/>
      <c r="AI32" s="23"/>
    </row>
    <row r="33" spans="3:35" x14ac:dyDescent="0.25">
      <c r="C33" s="19">
        <v>2022</v>
      </c>
      <c r="D33" s="20">
        <v>2445270.8303173976</v>
      </c>
      <c r="E33" s="20">
        <v>96965977.163885579</v>
      </c>
      <c r="F33" s="20">
        <v>1369649.1117797941</v>
      </c>
      <c r="G33" s="20">
        <v>3084038.7076613051</v>
      </c>
      <c r="H33" s="20">
        <v>255442.99715858512</v>
      </c>
      <c r="I33" s="20">
        <v>12936826.381839</v>
      </c>
      <c r="J33" s="20">
        <v>28231.359913</v>
      </c>
      <c r="K33" s="20">
        <v>31587.568951759989</v>
      </c>
      <c r="L33" s="20">
        <v>25378.500620530005</v>
      </c>
      <c r="M33" s="20">
        <v>251.24793746000006</v>
      </c>
      <c r="N33" s="20">
        <v>263.99886950000001</v>
      </c>
      <c r="O33" s="20">
        <v>1169.1241914</v>
      </c>
      <c r="P33" s="21" t="s">
        <v>21</v>
      </c>
      <c r="Q33" s="22">
        <f t="shared" si="0"/>
        <v>2445.2708303173977</v>
      </c>
      <c r="R33" s="24"/>
      <c r="AB33" s="23"/>
      <c r="AC33" s="23"/>
      <c r="AD33" s="23"/>
      <c r="AE33" s="23"/>
      <c r="AF33" s="23"/>
      <c r="AG33" s="23"/>
      <c r="AH33" s="23"/>
      <c r="AI33" s="23"/>
    </row>
    <row r="34" spans="3:35" x14ac:dyDescent="0.25">
      <c r="C34" s="19">
        <v>2023</v>
      </c>
      <c r="D34" s="20">
        <v>2755244.3167853276</v>
      </c>
      <c r="E34" s="20">
        <v>100985631.43873213</v>
      </c>
      <c r="F34" s="20">
        <v>1469127.1631768667</v>
      </c>
      <c r="G34" s="20">
        <v>3041393.6459926581</v>
      </c>
      <c r="H34" s="20">
        <v>273335.49825696991</v>
      </c>
      <c r="I34" s="20">
        <v>12986023.244491</v>
      </c>
      <c r="J34" s="20">
        <v>26230.046980000003</v>
      </c>
      <c r="K34" s="20">
        <v>33475.6190292315</v>
      </c>
      <c r="L34" s="20">
        <v>31161.763995300007</v>
      </c>
      <c r="M34" s="20">
        <v>303.74941249999995</v>
      </c>
      <c r="N34" s="20">
        <v>331.35815600000001</v>
      </c>
      <c r="O34" s="20">
        <v>1326.7171017999999</v>
      </c>
      <c r="P34" s="21">
        <v>22.705695600000002</v>
      </c>
      <c r="Q34" s="22">
        <f t="shared" si="0"/>
        <v>2755.2443167853276</v>
      </c>
      <c r="R34" s="24"/>
      <c r="AB34" s="23"/>
      <c r="AC34" s="23"/>
      <c r="AD34" s="23"/>
      <c r="AE34" s="23"/>
      <c r="AF34" s="23"/>
      <c r="AG34" s="23"/>
      <c r="AH34" s="23"/>
      <c r="AI34" s="23"/>
    </row>
    <row r="35" spans="3:35" x14ac:dyDescent="0.25">
      <c r="C35" s="16">
        <v>2024</v>
      </c>
      <c r="D35" s="25">
        <v>2736237.1072517261</v>
      </c>
      <c r="E35" s="25">
        <v>109597239.67250271</v>
      </c>
      <c r="F35" s="25">
        <v>1270646.9547949794</v>
      </c>
      <c r="G35" s="25">
        <v>3512301.3933015349</v>
      </c>
      <c r="H35" s="25">
        <v>291319.6266162931</v>
      </c>
      <c r="I35" s="25">
        <v>13309265.480335999</v>
      </c>
      <c r="J35" s="25">
        <v>32317.234399999998</v>
      </c>
      <c r="K35" s="25">
        <v>41941.797900007783</v>
      </c>
      <c r="L35" s="25">
        <v>32027.784417280007</v>
      </c>
      <c r="M35" s="25">
        <v>265.34277630000003</v>
      </c>
      <c r="N35" s="25">
        <v>317.31784800000003</v>
      </c>
      <c r="O35" s="25">
        <v>24159.249493900003</v>
      </c>
      <c r="P35" s="26">
        <v>40.573911600000002</v>
      </c>
      <c r="Q35" s="22">
        <f t="shared" si="0"/>
        <v>2736.2371072517262</v>
      </c>
      <c r="R35" s="24"/>
      <c r="AB35" s="23"/>
      <c r="AC35" s="23"/>
      <c r="AD35" s="23"/>
      <c r="AE35" s="23"/>
      <c r="AF35" s="23"/>
      <c r="AG35" s="23"/>
      <c r="AH35" s="23"/>
      <c r="AI35" s="23"/>
    </row>
    <row r="36" spans="3:35" ht="38.25" x14ac:dyDescent="0.25">
      <c r="C36" s="27" t="s">
        <v>151</v>
      </c>
      <c r="D36" s="28">
        <f t="shared" ref="D36:P36" si="1">SUM(D37:D44)</f>
        <v>1807405.8757616116</v>
      </c>
      <c r="E36" s="28">
        <f t="shared" si="1"/>
        <v>69980954.661192879</v>
      </c>
      <c r="F36" s="28">
        <f t="shared" si="1"/>
        <v>987055.14752940682</v>
      </c>
      <c r="G36" s="28">
        <f t="shared" si="1"/>
        <v>2441212.8358503589</v>
      </c>
      <c r="H36" s="28">
        <f t="shared" si="1"/>
        <v>205257.99812465941</v>
      </c>
      <c r="I36" s="28">
        <f t="shared" si="1"/>
        <v>7241037.3594589997</v>
      </c>
      <c r="J36" s="28">
        <f t="shared" si="1"/>
        <v>22413.989740000001</v>
      </c>
      <c r="K36" s="28">
        <f t="shared" si="1"/>
        <v>25669.100988976104</v>
      </c>
      <c r="L36" s="28">
        <f t="shared" si="1"/>
        <v>18826.385867999998</v>
      </c>
      <c r="M36" s="28">
        <f t="shared" si="1"/>
        <v>175.32105380000002</v>
      </c>
      <c r="N36" s="28">
        <f t="shared" si="1"/>
        <v>221.29911900000002</v>
      </c>
      <c r="O36" s="28">
        <f t="shared" si="1"/>
        <v>24750.474217799998</v>
      </c>
      <c r="P36" s="28">
        <f t="shared" si="1"/>
        <v>29.110292000000001</v>
      </c>
      <c r="Q36" s="22">
        <f t="shared" si="0"/>
        <v>1807.4058757616117</v>
      </c>
      <c r="R36" s="24"/>
      <c r="AB36" s="23"/>
      <c r="AC36" s="23"/>
      <c r="AD36" s="23"/>
      <c r="AE36" s="23"/>
      <c r="AF36" s="23"/>
      <c r="AG36" s="23"/>
      <c r="AH36" s="23"/>
      <c r="AI36" s="23"/>
    </row>
    <row r="37" spans="3:35" x14ac:dyDescent="0.25">
      <c r="C37" s="29" t="s">
        <v>22</v>
      </c>
      <c r="D37" s="30">
        <v>219671.15839866945</v>
      </c>
      <c r="E37" s="30">
        <v>8481520.9210064206</v>
      </c>
      <c r="F37" s="30">
        <v>91855.694164931963</v>
      </c>
      <c r="G37" s="30">
        <v>273383.0685694681</v>
      </c>
      <c r="H37" s="30">
        <v>21568.800301891904</v>
      </c>
      <c r="I37" s="30">
        <v>1161378.8055939998</v>
      </c>
      <c r="J37" s="30">
        <v>2537.2527399999999</v>
      </c>
      <c r="K37" s="30">
        <v>3231.3934248973001</v>
      </c>
      <c r="L37" s="30">
        <v>2338.8900573999999</v>
      </c>
      <c r="M37" s="250">
        <v>20.011532799999998</v>
      </c>
      <c r="N37" s="250">
        <v>30.094110000000001</v>
      </c>
      <c r="O37" s="30">
        <v>2581.9835498000002</v>
      </c>
      <c r="P37" s="31">
        <v>2.2356600000000002</v>
      </c>
      <c r="Q37" s="32">
        <v>11138766.849174995</v>
      </c>
      <c r="T37" s="33"/>
      <c r="U37" s="33"/>
      <c r="V37" s="33"/>
      <c r="W37" s="33"/>
      <c r="X37" s="33"/>
      <c r="Y37" s="33"/>
      <c r="Z37" s="33"/>
      <c r="AA37" s="33"/>
      <c r="AB37" s="23"/>
      <c r="AC37" s="23"/>
      <c r="AD37" s="23"/>
      <c r="AE37" s="23"/>
      <c r="AF37" s="23"/>
      <c r="AG37" s="23"/>
      <c r="AH37" s="23"/>
      <c r="AI37" s="23"/>
    </row>
    <row r="38" spans="3:35" x14ac:dyDescent="0.25">
      <c r="C38" s="34" t="s">
        <v>23</v>
      </c>
      <c r="D38" s="20">
        <v>217002.48869369697</v>
      </c>
      <c r="E38" s="20">
        <v>7947065.9093341008</v>
      </c>
      <c r="F38" s="20">
        <v>109459.79120289112</v>
      </c>
      <c r="G38" s="20">
        <v>297317.38332509756</v>
      </c>
      <c r="H38" s="20">
        <v>23230.586675680905</v>
      </c>
      <c r="I38" s="20">
        <v>1122169.9234620002</v>
      </c>
      <c r="J38" s="20">
        <v>2597.7712999999999</v>
      </c>
      <c r="K38" s="20">
        <v>3448.2970789000001</v>
      </c>
      <c r="L38" s="20">
        <v>2295.3407548999994</v>
      </c>
      <c r="M38" s="251">
        <v>16.554153000000003</v>
      </c>
      <c r="N38" s="251">
        <v>26.565791999999998</v>
      </c>
      <c r="O38" s="20">
        <v>3577.7138660000001</v>
      </c>
      <c r="P38" s="35">
        <v>2.8617279999999998</v>
      </c>
      <c r="Q38" s="32"/>
      <c r="T38" s="33"/>
      <c r="U38" s="33"/>
      <c r="V38" s="33"/>
      <c r="W38" s="33"/>
      <c r="X38" s="33"/>
      <c r="Y38" s="33"/>
      <c r="Z38" s="33"/>
      <c r="AA38" s="33"/>
      <c r="AB38" s="23"/>
      <c r="AC38" s="23"/>
      <c r="AD38" s="23"/>
      <c r="AE38" s="23"/>
      <c r="AF38" s="23"/>
      <c r="AG38" s="23"/>
      <c r="AH38" s="23"/>
      <c r="AI38" s="23"/>
    </row>
    <row r="39" spans="3:35" x14ac:dyDescent="0.25">
      <c r="C39" s="34" t="s">
        <v>24</v>
      </c>
      <c r="D39" s="20">
        <v>229868.94897684446</v>
      </c>
      <c r="E39" s="20">
        <v>8850716.9447445944</v>
      </c>
      <c r="F39" s="20">
        <v>119229.05424405822</v>
      </c>
      <c r="G39" s="20">
        <v>288373.17516136076</v>
      </c>
      <c r="H39" s="20">
        <v>25091.882432795606</v>
      </c>
      <c r="I39" s="20">
        <v>1218023.8837799998</v>
      </c>
      <c r="J39" s="20">
        <v>2922.6831999999999</v>
      </c>
      <c r="K39" s="20">
        <v>4034.7399693068</v>
      </c>
      <c r="L39" s="20">
        <v>1854.5507202000001</v>
      </c>
      <c r="M39" s="251">
        <v>24.502823000000003</v>
      </c>
      <c r="N39" s="251">
        <v>31.670008000000003</v>
      </c>
      <c r="O39" s="20">
        <v>2958.1502466000002</v>
      </c>
      <c r="P39" s="35">
        <v>2.6791360000000002</v>
      </c>
      <c r="Q39" s="32"/>
      <c r="T39" s="33"/>
      <c r="U39" s="33"/>
      <c r="V39" s="33"/>
      <c r="W39" s="33"/>
      <c r="X39" s="33"/>
      <c r="Y39" s="33"/>
      <c r="Z39" s="33"/>
      <c r="AA39" s="33"/>
      <c r="AB39" s="23"/>
      <c r="AC39" s="23"/>
      <c r="AD39" s="23"/>
      <c r="AE39" s="23"/>
      <c r="AF39" s="23"/>
      <c r="AG39" s="23"/>
      <c r="AH39" s="23"/>
      <c r="AI39" s="23"/>
    </row>
    <row r="40" spans="3:35" x14ac:dyDescent="0.25">
      <c r="C40" s="36" t="s">
        <v>25</v>
      </c>
      <c r="D40" s="37">
        <v>220273.34907759307</v>
      </c>
      <c r="E40" s="37">
        <v>8916681.8454674985</v>
      </c>
      <c r="F40" s="37">
        <v>137649.17032455638</v>
      </c>
      <c r="G40" s="37">
        <v>311933.92596635834</v>
      </c>
      <c r="H40" s="37">
        <v>28510.480416305996</v>
      </c>
      <c r="I40" s="37">
        <v>1091388.6164500001</v>
      </c>
      <c r="J40" s="37">
        <v>2723.0601999999999</v>
      </c>
      <c r="K40" s="37">
        <v>3212.9077212199995</v>
      </c>
      <c r="L40" s="37">
        <v>2378.2725716999998</v>
      </c>
      <c r="M40" s="38">
        <v>21.847186999999998</v>
      </c>
      <c r="N40" s="38">
        <v>27.547941999999999</v>
      </c>
      <c r="O40" s="37">
        <v>1961.2639583999999</v>
      </c>
      <c r="P40" s="39">
        <v>2.5161519999999999</v>
      </c>
      <c r="Q40" s="32"/>
      <c r="T40" s="33"/>
      <c r="U40" s="33"/>
      <c r="V40" s="33"/>
      <c r="W40" s="33"/>
      <c r="X40" s="33"/>
      <c r="Y40" s="33"/>
      <c r="Z40" s="33"/>
      <c r="AA40" s="33"/>
      <c r="AB40" s="23"/>
      <c r="AC40" s="23"/>
      <c r="AD40" s="23"/>
      <c r="AE40" s="23"/>
      <c r="AF40" s="23"/>
      <c r="AG40" s="23"/>
      <c r="AH40" s="23"/>
      <c r="AI40" s="23"/>
    </row>
    <row r="41" spans="3:35" ht="13.5" customHeight="1" x14ac:dyDescent="0.25">
      <c r="C41" s="113" t="s">
        <v>127</v>
      </c>
      <c r="D41" s="37">
        <v>220911.28287911677</v>
      </c>
      <c r="E41" s="37">
        <v>8058694.4987969501</v>
      </c>
      <c r="F41" s="37">
        <v>120959.41946630899</v>
      </c>
      <c r="G41" s="37">
        <v>313652.44260025572</v>
      </c>
      <c r="H41" s="37">
        <v>26061.362419922007</v>
      </c>
      <c r="I41" s="37">
        <v>441193.98143799999</v>
      </c>
      <c r="J41" s="37">
        <v>2871.1295</v>
      </c>
      <c r="K41" s="37">
        <v>2855.7800881120002</v>
      </c>
      <c r="L41" s="37">
        <v>2487.8129531</v>
      </c>
      <c r="M41" s="38">
        <v>22.439415</v>
      </c>
      <c r="N41" s="38">
        <v>27.668381</v>
      </c>
      <c r="O41" s="37">
        <v>3843.0657880000003</v>
      </c>
      <c r="P41" s="39">
        <v>3.6912739999999999</v>
      </c>
      <c r="Q41" s="32"/>
      <c r="T41" s="33"/>
      <c r="U41" s="33"/>
      <c r="V41" s="33"/>
      <c r="W41" s="33"/>
      <c r="X41" s="33"/>
      <c r="Y41" s="33"/>
      <c r="Z41" s="33"/>
      <c r="AA41" s="33"/>
      <c r="AB41" s="23"/>
      <c r="AC41" s="23"/>
      <c r="AD41" s="23"/>
      <c r="AE41" s="23"/>
      <c r="AF41" s="23"/>
      <c r="AG41" s="23"/>
      <c r="AH41" s="23"/>
      <c r="AI41" s="23"/>
    </row>
    <row r="42" spans="3:35" ht="13.5" customHeight="1" x14ac:dyDescent="0.25">
      <c r="C42" s="36" t="s">
        <v>128</v>
      </c>
      <c r="D42" s="37">
        <v>228931.7259096911</v>
      </c>
      <c r="E42" s="37">
        <v>8894295.897689322</v>
      </c>
      <c r="F42" s="37">
        <v>136087.19853966002</v>
      </c>
      <c r="G42" s="37">
        <v>310457.29754481843</v>
      </c>
      <c r="H42" s="37">
        <v>27426.236327062998</v>
      </c>
      <c r="I42" s="37">
        <v>17858.915341</v>
      </c>
      <c r="J42" s="37">
        <v>2794.1680000000001</v>
      </c>
      <c r="K42" s="37">
        <v>2874.2517345399997</v>
      </c>
      <c r="L42" s="37">
        <v>2331.0077547000001</v>
      </c>
      <c r="M42" s="38">
        <v>20.607745000000001</v>
      </c>
      <c r="N42" s="38">
        <v>25.639190000000003</v>
      </c>
      <c r="O42" s="37">
        <v>2300.5616680000003</v>
      </c>
      <c r="P42" s="39">
        <v>3.5141680000000002</v>
      </c>
      <c r="Q42" s="32"/>
      <c r="T42" s="33"/>
      <c r="U42" s="33"/>
      <c r="V42" s="33"/>
      <c r="W42" s="33"/>
      <c r="X42" s="33"/>
      <c r="Y42" s="33"/>
      <c r="Z42" s="33"/>
      <c r="AA42" s="33"/>
      <c r="AB42" s="23"/>
      <c r="AC42" s="23"/>
      <c r="AD42" s="23"/>
      <c r="AE42" s="23"/>
      <c r="AF42" s="23"/>
      <c r="AG42" s="23"/>
      <c r="AH42" s="23"/>
      <c r="AI42" s="23"/>
    </row>
    <row r="43" spans="3:35" ht="13.5" customHeight="1" x14ac:dyDescent="0.25">
      <c r="C43" s="36" t="s">
        <v>137</v>
      </c>
      <c r="D43" s="37">
        <v>228007.26184099991</v>
      </c>
      <c r="E43" s="37">
        <v>9138678.7093469985</v>
      </c>
      <c r="F43" s="37">
        <v>125134.93619500002</v>
      </c>
      <c r="G43" s="37">
        <v>297497.45979500015</v>
      </c>
      <c r="H43" s="37">
        <v>26330.830793000005</v>
      </c>
      <c r="I43" s="37">
        <v>1040961.796982</v>
      </c>
      <c r="J43" s="37">
        <v>3033.0752000000002</v>
      </c>
      <c r="K43" s="37">
        <v>3136.8209670000001</v>
      </c>
      <c r="L43" s="37">
        <v>2570.4628929999999</v>
      </c>
      <c r="M43" s="38">
        <v>24.526831000000001</v>
      </c>
      <c r="N43" s="38">
        <v>27.761948999999998</v>
      </c>
      <c r="O43" s="37">
        <v>3634.8462650000006</v>
      </c>
      <c r="P43" s="39">
        <v>3.8380540000000001</v>
      </c>
      <c r="Q43" s="32"/>
      <c r="T43" s="33"/>
      <c r="U43" s="33"/>
      <c r="V43" s="33"/>
      <c r="W43" s="33"/>
      <c r="X43" s="33"/>
      <c r="Y43" s="33"/>
      <c r="Z43" s="33"/>
      <c r="AA43" s="33"/>
      <c r="AB43" s="23"/>
      <c r="AC43" s="23"/>
      <c r="AD43" s="23"/>
      <c r="AE43" s="23"/>
      <c r="AF43" s="23"/>
      <c r="AG43" s="23"/>
      <c r="AH43" s="23"/>
      <c r="AI43" s="23"/>
    </row>
    <row r="44" spans="3:35" ht="13.5" customHeight="1" x14ac:dyDescent="0.25">
      <c r="C44" s="36" t="s">
        <v>138</v>
      </c>
      <c r="D44" s="37">
        <v>242739.65998499995</v>
      </c>
      <c r="E44" s="37">
        <v>9693299.9348070007</v>
      </c>
      <c r="F44" s="37">
        <v>146679.88339199996</v>
      </c>
      <c r="G44" s="37">
        <v>348598.08288800012</v>
      </c>
      <c r="H44" s="37">
        <v>27037.818757999994</v>
      </c>
      <c r="I44" s="37">
        <v>1148061.4364120001</v>
      </c>
      <c r="J44" s="37">
        <v>2934.8496</v>
      </c>
      <c r="K44" s="37">
        <v>2874.9100049999997</v>
      </c>
      <c r="L44" s="37">
        <v>2570.0481629999999</v>
      </c>
      <c r="M44" s="38">
        <v>24.831367</v>
      </c>
      <c r="N44" s="38">
        <v>24.351747</v>
      </c>
      <c r="O44" s="37">
        <v>3892.8888760000004</v>
      </c>
      <c r="P44" s="39">
        <v>7.7741199999999999</v>
      </c>
      <c r="Q44" s="32"/>
      <c r="T44" s="33"/>
      <c r="U44" s="33"/>
      <c r="V44" s="33"/>
      <c r="W44" s="33"/>
      <c r="X44" s="33"/>
      <c r="Y44" s="33"/>
      <c r="Z44" s="33"/>
      <c r="AA44" s="33"/>
      <c r="AB44" s="23"/>
      <c r="AC44" s="23"/>
      <c r="AD44" s="23"/>
      <c r="AE44" s="23"/>
      <c r="AF44" s="23"/>
      <c r="AG44" s="23"/>
      <c r="AH44" s="23"/>
      <c r="AI44" s="23"/>
    </row>
    <row r="45" spans="3:35" x14ac:dyDescent="0.25">
      <c r="C45" s="42" t="s">
        <v>134</v>
      </c>
      <c r="D45" s="43"/>
      <c r="E45" s="43"/>
      <c r="F45" s="44"/>
      <c r="G45" s="43"/>
      <c r="H45" s="43"/>
      <c r="I45" s="43"/>
      <c r="J45" s="43"/>
      <c r="K45" s="43"/>
      <c r="L45" s="43"/>
      <c r="M45" s="43"/>
      <c r="N45" s="43"/>
      <c r="O45" s="43"/>
      <c r="P45" s="45"/>
      <c r="R45" s="24"/>
      <c r="S45" s="46"/>
    </row>
    <row r="46" spans="3:35" ht="24" x14ac:dyDescent="0.25">
      <c r="C46" s="47" t="s">
        <v>141</v>
      </c>
      <c r="D46" s="48">
        <v>246671.20287211897</v>
      </c>
      <c r="E46" s="49">
        <v>8966756.8121961225</v>
      </c>
      <c r="F46" s="49">
        <v>113486.312761008</v>
      </c>
      <c r="G46" s="49">
        <v>341533.60475342808</v>
      </c>
      <c r="H46" s="49">
        <v>26645.153782940975</v>
      </c>
      <c r="I46" s="49">
        <v>1066912.938414</v>
      </c>
      <c r="J46" s="49">
        <v>2832.2348000000002</v>
      </c>
      <c r="K46" s="49">
        <v>3624.9767510500005</v>
      </c>
      <c r="L46" s="50">
        <v>3299.2486297</v>
      </c>
      <c r="M46" s="50">
        <v>21.985339000000003</v>
      </c>
      <c r="N46" s="49">
        <v>25.638395999999997</v>
      </c>
      <c r="O46" s="50">
        <v>1999.3391766</v>
      </c>
      <c r="P46" s="244">
        <v>3.9266559000000001</v>
      </c>
      <c r="R46" s="24"/>
      <c r="S46" s="46"/>
    </row>
    <row r="47" spans="3:35" ht="24" x14ac:dyDescent="0.25">
      <c r="C47" s="51" t="s">
        <v>136</v>
      </c>
      <c r="D47" s="52">
        <v>242739.65998499995</v>
      </c>
      <c r="E47" s="52">
        <v>9693299.9348070007</v>
      </c>
      <c r="F47" s="52">
        <v>146679.88339199996</v>
      </c>
      <c r="G47" s="52">
        <v>348598.08288800012</v>
      </c>
      <c r="H47" s="52">
        <v>27037.818757999994</v>
      </c>
      <c r="I47" s="52">
        <v>1148061.4364120001</v>
      </c>
      <c r="J47" s="52">
        <v>2934.8496</v>
      </c>
      <c r="K47" s="52">
        <v>2874.9100049999997</v>
      </c>
      <c r="L47" s="40">
        <v>2570.0481629999999</v>
      </c>
      <c r="M47" s="40">
        <v>24.831367</v>
      </c>
      <c r="N47" s="118">
        <v>24.351747</v>
      </c>
      <c r="O47" s="40">
        <v>3892.8888760000004</v>
      </c>
      <c r="P47" s="245">
        <v>7.7741199999999999</v>
      </c>
      <c r="Q47" s="53"/>
      <c r="R47" s="24"/>
      <c r="S47" s="23"/>
      <c r="T47" s="23"/>
      <c r="U47" s="23"/>
      <c r="V47" s="23"/>
      <c r="W47" s="23"/>
      <c r="X47" s="23"/>
      <c r="Y47" s="23"/>
      <c r="Z47" s="23"/>
    </row>
    <row r="48" spans="3:35" x14ac:dyDescent="0.25">
      <c r="C48" s="54" t="s">
        <v>26</v>
      </c>
      <c r="D48" s="55">
        <f t="shared" ref="D48:P48" si="2">+D47/D46-1</f>
        <v>-1.5938394272789314E-2</v>
      </c>
      <c r="E48" s="55">
        <f>+E47/E46-1</f>
        <v>8.1026299455637218E-2</v>
      </c>
      <c r="F48" s="56">
        <f>+F47/F46-1</f>
        <v>0.29248963882450441</v>
      </c>
      <c r="G48" s="56">
        <f>+G47/G46-1</f>
        <v>2.0684576967681556E-2</v>
      </c>
      <c r="H48" s="56">
        <f t="shared" si="2"/>
        <v>1.4736825250016627E-2</v>
      </c>
      <c r="I48" s="55">
        <f t="shared" si="2"/>
        <v>7.605915635312277E-2</v>
      </c>
      <c r="J48" s="55">
        <f t="shared" si="2"/>
        <v>3.6231035647185772E-2</v>
      </c>
      <c r="K48" s="55">
        <f t="shared" si="2"/>
        <v>-0.20691629148593538</v>
      </c>
      <c r="L48" s="55">
        <f t="shared" si="2"/>
        <v>-0.22102016202589314</v>
      </c>
      <c r="M48" s="55">
        <f t="shared" si="2"/>
        <v>0.12945117653177851</v>
      </c>
      <c r="N48" s="55">
        <f t="shared" si="2"/>
        <v>-5.0184457717245556E-2</v>
      </c>
      <c r="O48" s="55">
        <f t="shared" si="2"/>
        <v>0.947087778582971</v>
      </c>
      <c r="P48" s="57">
        <f t="shared" si="2"/>
        <v>0.97983225369964289</v>
      </c>
      <c r="R48" s="24"/>
      <c r="S48" s="23"/>
      <c r="T48" s="23"/>
      <c r="U48" s="23"/>
      <c r="V48" s="23"/>
      <c r="W48" s="23"/>
      <c r="X48" s="23"/>
      <c r="Y48" s="23"/>
      <c r="Z48" s="23"/>
    </row>
    <row r="49" spans="3:35" x14ac:dyDescent="0.25">
      <c r="C49" s="41"/>
      <c r="D49" s="37"/>
      <c r="E49" s="37"/>
      <c r="F49" s="37"/>
      <c r="G49" s="37"/>
      <c r="H49" s="37"/>
      <c r="I49" s="37"/>
      <c r="J49" s="37"/>
      <c r="K49" s="37"/>
      <c r="L49" s="37"/>
      <c r="M49" s="37"/>
      <c r="N49" s="37"/>
      <c r="O49" s="37"/>
      <c r="P49" s="39"/>
      <c r="Q49" s="32"/>
      <c r="T49" s="33"/>
      <c r="U49" s="33"/>
      <c r="V49" s="33"/>
      <c r="W49" s="33"/>
      <c r="X49" s="33"/>
      <c r="Y49" s="33"/>
      <c r="Z49" s="33"/>
      <c r="AA49" s="33"/>
      <c r="AB49" s="23"/>
      <c r="AC49" s="23"/>
      <c r="AD49" s="23"/>
      <c r="AE49" s="23"/>
      <c r="AF49" s="23"/>
      <c r="AG49" s="23"/>
      <c r="AH49" s="23"/>
      <c r="AI49" s="23"/>
    </row>
    <row r="50" spans="3:35" x14ac:dyDescent="0.25">
      <c r="C50" s="42" t="s">
        <v>135</v>
      </c>
      <c r="D50" s="43"/>
      <c r="E50" s="43"/>
      <c r="F50" s="44"/>
      <c r="G50" s="43"/>
      <c r="H50" s="43"/>
      <c r="I50" s="43"/>
      <c r="J50" s="43"/>
      <c r="K50" s="43"/>
      <c r="L50" s="43"/>
      <c r="M50" s="43"/>
      <c r="N50" s="43"/>
      <c r="O50" s="43"/>
      <c r="P50" s="45"/>
      <c r="R50" s="24"/>
      <c r="S50" s="23"/>
      <c r="T50" s="23"/>
      <c r="U50" s="23"/>
      <c r="V50" s="23"/>
      <c r="W50" s="23"/>
      <c r="X50" s="23"/>
      <c r="Y50" s="23"/>
      <c r="Z50" s="23"/>
    </row>
    <row r="51" spans="3:35" ht="24" x14ac:dyDescent="0.25">
      <c r="C51" s="58" t="s">
        <v>139</v>
      </c>
      <c r="D51" s="48">
        <v>1761203.176270664</v>
      </c>
      <c r="E51" s="48">
        <v>70962593.318637103</v>
      </c>
      <c r="F51" s="48">
        <v>849811.55569918302</v>
      </c>
      <c r="G51" s="48">
        <v>2272789.2594428496</v>
      </c>
      <c r="H51" s="48">
        <v>193565.00487697497</v>
      </c>
      <c r="I51" s="48">
        <v>8924225.7491059992</v>
      </c>
      <c r="J51" s="48">
        <v>21977.208299999998</v>
      </c>
      <c r="K51" s="48">
        <v>27982.105903755</v>
      </c>
      <c r="L51" s="48">
        <v>20974.304215179996</v>
      </c>
      <c r="M51" s="48">
        <v>178.14434310000001</v>
      </c>
      <c r="N51" s="48">
        <v>204.361424</v>
      </c>
      <c r="O51" s="48">
        <v>10231.8409871</v>
      </c>
      <c r="P51" s="246">
        <v>28.847666800000002</v>
      </c>
      <c r="R51" s="24"/>
      <c r="S51" s="23"/>
      <c r="T51" s="23"/>
      <c r="U51" s="23"/>
      <c r="V51" s="23"/>
      <c r="W51" s="23"/>
      <c r="X51" s="23"/>
      <c r="Y51" s="23"/>
      <c r="Z51" s="23"/>
    </row>
    <row r="52" spans="3:35" ht="24" x14ac:dyDescent="0.25">
      <c r="C52" s="58" t="s">
        <v>140</v>
      </c>
      <c r="D52" s="48">
        <v>1807405.8757616116</v>
      </c>
      <c r="E52" s="48">
        <v>69980954.661192879</v>
      </c>
      <c r="F52" s="48">
        <v>987055.14752940671</v>
      </c>
      <c r="G52" s="48">
        <v>2441212.8358503589</v>
      </c>
      <c r="H52" s="48">
        <v>205257.99812465941</v>
      </c>
      <c r="I52" s="48">
        <v>7241037.3594589997</v>
      </c>
      <c r="J52" s="48">
        <v>22413.989740000001</v>
      </c>
      <c r="K52" s="48">
        <v>25669.100988976104</v>
      </c>
      <c r="L52" s="48">
        <v>18826.385867999998</v>
      </c>
      <c r="M52" s="48">
        <v>175.32105380000002</v>
      </c>
      <c r="N52" s="48">
        <v>221.29911900000002</v>
      </c>
      <c r="O52" s="48">
        <v>24750.474217799998</v>
      </c>
      <c r="P52" s="246">
        <v>29.110292000000001</v>
      </c>
      <c r="R52" s="24"/>
      <c r="S52" s="23"/>
      <c r="T52" s="23"/>
      <c r="U52" s="23"/>
      <c r="V52" s="23"/>
      <c r="W52" s="23"/>
      <c r="X52" s="23"/>
      <c r="Y52" s="23"/>
      <c r="Z52" s="23"/>
    </row>
    <row r="53" spans="3:35" x14ac:dyDescent="0.25">
      <c r="C53" s="59" t="s">
        <v>26</v>
      </c>
      <c r="D53" s="60">
        <f t="shared" ref="D53:P53" si="3">+D52/D51-1</f>
        <v>2.6233599912522054E-2</v>
      </c>
      <c r="E53" s="61">
        <f t="shared" si="3"/>
        <v>-1.383318466162109E-2</v>
      </c>
      <c r="F53" s="60">
        <f t="shared" si="3"/>
        <v>0.16149885337497727</v>
      </c>
      <c r="G53" s="60">
        <f t="shared" si="3"/>
        <v>7.4104352485719005E-2</v>
      </c>
      <c r="H53" s="60">
        <f t="shared" si="3"/>
        <v>6.0408611851693994E-2</v>
      </c>
      <c r="I53" s="61">
        <f t="shared" si="3"/>
        <v>-0.18860889862805363</v>
      </c>
      <c r="J53" s="61">
        <f t="shared" si="3"/>
        <v>1.9874291312969028E-2</v>
      </c>
      <c r="K53" s="61">
        <f t="shared" si="3"/>
        <v>-8.2660144405661273E-2</v>
      </c>
      <c r="L53" s="61">
        <f t="shared" si="3"/>
        <v>-0.10240713232458309</v>
      </c>
      <c r="M53" s="61">
        <f>+M52/M51-1</f>
        <v>-1.5848324178417306E-2</v>
      </c>
      <c r="N53" s="60">
        <f>+N52/N51-1</f>
        <v>8.2881077399421521E-2</v>
      </c>
      <c r="O53" s="60">
        <f>+O52/O51-1</f>
        <v>1.4189658780863246</v>
      </c>
      <c r="P53" s="62">
        <f t="shared" si="3"/>
        <v>9.1038627775608116E-3</v>
      </c>
      <c r="R53" s="24"/>
      <c r="S53" s="23"/>
      <c r="T53" s="23"/>
      <c r="U53" s="23"/>
      <c r="V53" s="23"/>
      <c r="W53" s="23"/>
      <c r="X53" s="23"/>
      <c r="Y53" s="23"/>
      <c r="Z53" s="23"/>
    </row>
    <row r="54" spans="3:35" x14ac:dyDescent="0.25">
      <c r="C54" s="41"/>
      <c r="D54" s="37"/>
      <c r="E54" s="37"/>
      <c r="F54" s="37"/>
      <c r="G54" s="37"/>
      <c r="H54" s="37"/>
      <c r="I54" s="37"/>
      <c r="J54" s="37"/>
      <c r="K54" s="37"/>
      <c r="L54" s="37"/>
      <c r="M54" s="37"/>
      <c r="N54" s="37"/>
      <c r="O54" s="37"/>
      <c r="P54" s="39"/>
      <c r="Q54" s="32"/>
      <c r="T54" s="33"/>
      <c r="U54" s="33"/>
      <c r="V54" s="33"/>
      <c r="W54" s="33"/>
      <c r="X54" s="33"/>
      <c r="Y54" s="33"/>
      <c r="Z54" s="33"/>
      <c r="AA54" s="33"/>
      <c r="AB54" s="23"/>
      <c r="AC54" s="23"/>
      <c r="AD54" s="23"/>
      <c r="AE54" s="23"/>
      <c r="AF54" s="23"/>
      <c r="AG54" s="23"/>
      <c r="AH54" s="23"/>
      <c r="AI54" s="23"/>
    </row>
    <row r="55" spans="3:35" x14ac:dyDescent="0.25">
      <c r="C55" s="42" t="s">
        <v>27</v>
      </c>
      <c r="D55" s="43"/>
      <c r="E55" s="43"/>
      <c r="F55" s="44"/>
      <c r="G55" s="43"/>
      <c r="H55" s="43"/>
      <c r="I55" s="43"/>
      <c r="J55" s="43"/>
      <c r="K55" s="43"/>
      <c r="L55" s="43"/>
      <c r="M55" s="43"/>
      <c r="N55" s="43"/>
      <c r="O55" s="43"/>
      <c r="P55" s="45"/>
      <c r="Q55" s="32"/>
      <c r="T55" s="33"/>
      <c r="U55" s="33"/>
      <c r="V55" s="33"/>
      <c r="W55" s="33"/>
      <c r="X55" s="33"/>
      <c r="Y55" s="33"/>
      <c r="Z55" s="33"/>
      <c r="AA55" s="33"/>
      <c r="AB55" s="23"/>
      <c r="AC55" s="23"/>
      <c r="AD55" s="23"/>
      <c r="AE55" s="23"/>
      <c r="AF55" s="23"/>
      <c r="AG55" s="23"/>
      <c r="AH55" s="23"/>
      <c r="AI55" s="23"/>
    </row>
    <row r="56" spans="3:35" ht="24" x14ac:dyDescent="0.25">
      <c r="C56" s="63" t="s">
        <v>125</v>
      </c>
      <c r="D56" s="64">
        <v>228007.26184099991</v>
      </c>
      <c r="E56" s="64">
        <v>9138678.7093469985</v>
      </c>
      <c r="F56" s="64">
        <v>125134.936195</v>
      </c>
      <c r="G56" s="64">
        <v>297497.45979500009</v>
      </c>
      <c r="H56" s="64">
        <v>26330.830793000008</v>
      </c>
      <c r="I56" s="64">
        <v>1040961.796982</v>
      </c>
      <c r="J56" s="64">
        <v>3033.0752000000002</v>
      </c>
      <c r="K56" s="64">
        <v>3136.8209670000001</v>
      </c>
      <c r="L56" s="247">
        <v>2570.4628929999999</v>
      </c>
      <c r="M56" s="247">
        <v>24.526831000000001</v>
      </c>
      <c r="N56" s="64">
        <v>27.761948999999998</v>
      </c>
      <c r="O56" s="64">
        <v>3634.8462650000006</v>
      </c>
      <c r="P56" s="249">
        <v>3.8380540000000001</v>
      </c>
      <c r="Q56" s="32"/>
      <c r="T56" s="33"/>
      <c r="U56" s="33"/>
      <c r="V56" s="33"/>
      <c r="W56" s="33"/>
      <c r="X56" s="33"/>
      <c r="Y56" s="33"/>
      <c r="Z56" s="33"/>
      <c r="AA56" s="33"/>
      <c r="AB56" s="23"/>
      <c r="AC56" s="23"/>
      <c r="AD56" s="23"/>
      <c r="AE56" s="23"/>
      <c r="AF56" s="23"/>
      <c r="AG56" s="23"/>
      <c r="AH56" s="23"/>
      <c r="AI56" s="23"/>
    </row>
    <row r="57" spans="3:35" ht="24" x14ac:dyDescent="0.25">
      <c r="C57" s="65" t="s">
        <v>136</v>
      </c>
      <c r="D57" s="40">
        <v>242739.65998499995</v>
      </c>
      <c r="E57" s="40">
        <v>9693299.9348070007</v>
      </c>
      <c r="F57" s="40">
        <v>146679.88339199996</v>
      </c>
      <c r="G57" s="40">
        <v>348598.08288800012</v>
      </c>
      <c r="H57" s="40">
        <v>27037.818757999994</v>
      </c>
      <c r="I57" s="40">
        <v>1148061.4364120001</v>
      </c>
      <c r="J57" s="40">
        <v>2934.8496</v>
      </c>
      <c r="K57" s="40">
        <v>2874.9100049999997</v>
      </c>
      <c r="L57" s="248">
        <v>2570.0481629999999</v>
      </c>
      <c r="M57" s="248">
        <v>24.831367</v>
      </c>
      <c r="N57" s="40">
        <v>24.351747</v>
      </c>
      <c r="O57" s="40">
        <v>3892.8888760000004</v>
      </c>
      <c r="P57" s="245">
        <v>7.7741199999999999</v>
      </c>
      <c r="Q57" s="32"/>
      <c r="T57" s="33"/>
      <c r="U57" s="33"/>
      <c r="V57" s="33"/>
      <c r="W57" s="33"/>
      <c r="X57" s="33"/>
      <c r="Y57" s="33"/>
      <c r="Z57" s="33"/>
      <c r="AA57" s="33"/>
      <c r="AB57" s="23"/>
      <c r="AC57" s="23"/>
      <c r="AD57" s="23"/>
      <c r="AE57" s="23"/>
      <c r="AF57" s="23"/>
      <c r="AG57" s="23"/>
      <c r="AH57" s="23"/>
      <c r="AI57" s="23"/>
    </row>
    <row r="58" spans="3:35" x14ac:dyDescent="0.25">
      <c r="C58" s="66" t="s">
        <v>26</v>
      </c>
      <c r="D58" s="61">
        <f t="shared" ref="D58:M58" si="4">+D57/D56-1</f>
        <v>6.4613723374624898E-2</v>
      </c>
      <c r="E58" s="61">
        <f t="shared" si="4"/>
        <v>6.0689432586434888E-2</v>
      </c>
      <c r="F58" s="235">
        <f t="shared" si="4"/>
        <v>0.17217371784507951</v>
      </c>
      <c r="G58" s="235">
        <f t="shared" si="4"/>
        <v>0.17176826695667424</v>
      </c>
      <c r="H58" s="61">
        <f t="shared" si="4"/>
        <v>2.6850195899930984E-2</v>
      </c>
      <c r="I58" s="61">
        <f t="shared" si="4"/>
        <v>0.10288527373483625</v>
      </c>
      <c r="J58" s="61">
        <f t="shared" si="4"/>
        <v>-3.2384821846817458E-2</v>
      </c>
      <c r="K58" s="61">
        <f t="shared" si="4"/>
        <v>-8.3495667988500943E-2</v>
      </c>
      <c r="L58" s="235">
        <f t="shared" si="4"/>
        <v>-1.6134448045501681E-4</v>
      </c>
      <c r="M58" s="61">
        <f t="shared" si="4"/>
        <v>1.2416443037422953E-2</v>
      </c>
      <c r="N58" s="61">
        <f>+N57/N56-1</f>
        <v>-0.12283726909807369</v>
      </c>
      <c r="O58" s="61">
        <f>+O57/O56-1</f>
        <v>7.0991341087708992E-2</v>
      </c>
      <c r="P58" s="62">
        <f>+P57/P56-1</f>
        <v>1.0255368996892695</v>
      </c>
      <c r="Q58" s="32"/>
      <c r="T58" s="33"/>
      <c r="U58" s="33"/>
      <c r="V58" s="33"/>
      <c r="W58" s="33"/>
      <c r="X58" s="33"/>
      <c r="Y58" s="33"/>
      <c r="Z58" s="33"/>
      <c r="AA58" s="33"/>
      <c r="AB58" s="23"/>
      <c r="AC58" s="23"/>
      <c r="AD58" s="23"/>
      <c r="AE58" s="23"/>
      <c r="AF58" s="23"/>
      <c r="AG58" s="23"/>
      <c r="AH58" s="23"/>
      <c r="AI58" s="23"/>
    </row>
    <row r="59" spans="3:35" x14ac:dyDescent="0.25">
      <c r="C59" s="67"/>
      <c r="D59" s="68"/>
      <c r="E59" s="69"/>
      <c r="F59" s="68"/>
      <c r="G59" s="68"/>
      <c r="H59" s="68"/>
      <c r="I59" s="68"/>
      <c r="J59" s="68"/>
      <c r="K59" s="68"/>
      <c r="L59" s="68"/>
      <c r="M59" s="68"/>
      <c r="N59" s="68"/>
      <c r="O59" s="68"/>
      <c r="P59" s="70"/>
      <c r="R59" s="24"/>
      <c r="S59" s="23"/>
      <c r="T59" s="23"/>
      <c r="U59" s="23"/>
      <c r="V59" s="23"/>
      <c r="W59" s="23"/>
      <c r="X59" s="23"/>
      <c r="Y59" s="23"/>
      <c r="Z59" s="23"/>
    </row>
    <row r="60" spans="3:35" s="72" customFormat="1" ht="77.25" customHeight="1" x14ac:dyDescent="0.25">
      <c r="C60" s="269" t="s">
        <v>130</v>
      </c>
      <c r="D60" s="270"/>
      <c r="E60" s="270"/>
      <c r="F60" s="270"/>
      <c r="G60" s="270"/>
      <c r="H60" s="270"/>
      <c r="I60" s="270"/>
      <c r="J60" s="270"/>
      <c r="K60" s="270"/>
      <c r="L60" s="270"/>
      <c r="M60" s="270"/>
      <c r="N60" s="270"/>
      <c r="O60" s="270"/>
      <c r="P60" s="271"/>
      <c r="Q60" s="71"/>
    </row>
    <row r="61" spans="3:35" s="72" customFormat="1" ht="41.25" customHeight="1" x14ac:dyDescent="0.25">
      <c r="C61" s="272" t="s">
        <v>28</v>
      </c>
      <c r="D61" s="273"/>
      <c r="E61" s="273"/>
      <c r="F61" s="273"/>
      <c r="G61" s="273"/>
      <c r="H61" s="273"/>
      <c r="I61" s="273"/>
      <c r="J61" s="273"/>
      <c r="K61" s="273"/>
      <c r="L61" s="273"/>
      <c r="M61" s="273"/>
      <c r="N61" s="273"/>
      <c r="O61" s="273"/>
      <c r="P61" s="274"/>
      <c r="Q61" s="71"/>
    </row>
    <row r="62" spans="3:35" s="72" customFormat="1" ht="15" x14ac:dyDescent="0.25">
      <c r="Q62" s="71"/>
    </row>
    <row r="63" spans="3:35" ht="36.6" customHeight="1" x14ac:dyDescent="0.25">
      <c r="C63" s="275" t="s">
        <v>29</v>
      </c>
      <c r="D63" s="275"/>
      <c r="E63" s="275"/>
      <c r="F63" s="275"/>
      <c r="G63" s="275"/>
      <c r="H63" s="275"/>
      <c r="I63" s="275"/>
      <c r="J63" s="275"/>
      <c r="K63" s="275"/>
      <c r="L63" s="275"/>
      <c r="M63" s="275"/>
      <c r="N63" s="275"/>
      <c r="O63" s="275"/>
      <c r="P63" s="275"/>
    </row>
    <row r="64" spans="3:35" ht="36.75" customHeight="1" x14ac:dyDescent="0.25"/>
    <row r="65" spans="3:36" ht="36.75" customHeight="1" x14ac:dyDescent="0.25"/>
    <row r="66" spans="3:36" ht="36.75" customHeight="1" x14ac:dyDescent="0.25"/>
    <row r="67" spans="3:36" s="8" customFormat="1" ht="36.75" customHeight="1" x14ac:dyDescent="0.25">
      <c r="C67" s="46"/>
      <c r="D67" s="2"/>
      <c r="E67" s="2"/>
      <c r="F67" s="2"/>
      <c r="G67" s="2"/>
      <c r="H67" s="2"/>
      <c r="I67" s="2"/>
      <c r="J67" s="2"/>
      <c r="K67" s="2"/>
      <c r="L67" s="2"/>
      <c r="M67" s="2"/>
      <c r="N67" s="2"/>
      <c r="O67" s="2"/>
      <c r="P67" s="2"/>
      <c r="R67" s="2"/>
      <c r="S67" s="2"/>
      <c r="T67" s="2"/>
      <c r="U67" s="2"/>
      <c r="V67" s="2"/>
      <c r="W67" s="2"/>
      <c r="X67" s="2"/>
      <c r="Y67" s="2"/>
      <c r="Z67" s="2"/>
      <c r="AA67" s="2"/>
      <c r="AB67" s="2"/>
      <c r="AC67" s="2"/>
      <c r="AD67" s="2"/>
      <c r="AE67" s="2"/>
      <c r="AF67" s="2"/>
      <c r="AG67" s="2"/>
      <c r="AH67" s="2"/>
      <c r="AI67" s="2"/>
      <c r="AJ67" s="2"/>
    </row>
    <row r="68" spans="3:36" s="8" customFormat="1" ht="36.75" customHeight="1" x14ac:dyDescent="0.25">
      <c r="C68" s="46"/>
      <c r="D68" s="2"/>
      <c r="E68" s="2"/>
      <c r="F68" s="2"/>
      <c r="G68" s="2"/>
      <c r="H68" s="2"/>
      <c r="I68" s="2"/>
      <c r="J68" s="2"/>
      <c r="K68" s="2"/>
      <c r="L68" s="2"/>
      <c r="M68" s="2"/>
      <c r="N68" s="2"/>
      <c r="O68" s="2"/>
      <c r="P68" s="2"/>
      <c r="R68" s="2"/>
      <c r="S68" s="2"/>
      <c r="T68" s="2"/>
      <c r="U68" s="2"/>
      <c r="V68" s="2"/>
      <c r="W68" s="2"/>
      <c r="X68" s="2"/>
      <c r="Y68" s="2"/>
      <c r="Z68" s="2"/>
      <c r="AA68" s="2"/>
      <c r="AB68" s="2"/>
      <c r="AC68" s="2"/>
      <c r="AD68" s="2"/>
      <c r="AE68" s="2"/>
      <c r="AF68" s="2"/>
      <c r="AG68" s="2"/>
      <c r="AH68" s="2"/>
      <c r="AI68" s="2"/>
      <c r="AJ68" s="2"/>
    </row>
    <row r="69" spans="3:36" ht="36.75" customHeight="1" x14ac:dyDescent="0.25"/>
    <row r="70" spans="3:36" s="8" customFormat="1" ht="36.75" customHeight="1" x14ac:dyDescent="0.25">
      <c r="C70" s="2"/>
      <c r="D70" s="2"/>
      <c r="E70" s="2"/>
      <c r="F70" s="2"/>
      <c r="G70" s="2"/>
      <c r="H70" s="2"/>
      <c r="I70" s="2"/>
      <c r="J70" s="2"/>
      <c r="K70" s="2"/>
      <c r="L70" s="2"/>
      <c r="M70" s="2"/>
      <c r="N70" s="2"/>
      <c r="O70" s="2"/>
      <c r="P70" s="2"/>
      <c r="R70" s="2"/>
      <c r="S70" s="2"/>
      <c r="T70" s="2"/>
      <c r="U70" s="2"/>
      <c r="V70" s="2"/>
      <c r="W70" s="2"/>
      <c r="X70" s="2"/>
      <c r="Y70" s="2"/>
      <c r="Z70" s="2"/>
      <c r="AA70" s="2"/>
      <c r="AB70" s="2"/>
      <c r="AC70" s="2"/>
      <c r="AD70" s="2"/>
      <c r="AE70" s="2"/>
      <c r="AF70" s="2"/>
      <c r="AG70" s="2"/>
      <c r="AH70" s="2"/>
      <c r="AI70" s="2"/>
      <c r="AJ70" s="2"/>
    </row>
    <row r="71" spans="3:36" s="8" customFormat="1" x14ac:dyDescent="0.25">
      <c r="C71" s="46"/>
      <c r="D71" s="2"/>
      <c r="E71" s="2"/>
      <c r="F71" s="2"/>
      <c r="G71" s="2"/>
      <c r="H71" s="2"/>
      <c r="I71" s="2"/>
      <c r="J71" s="2"/>
      <c r="K71" s="73"/>
      <c r="L71" s="73"/>
      <c r="M71" s="73"/>
      <c r="N71" s="73"/>
      <c r="O71" s="73"/>
      <c r="P71" s="73"/>
      <c r="R71" s="2"/>
      <c r="S71" s="2"/>
      <c r="T71" s="2"/>
      <c r="U71" s="2"/>
      <c r="V71" s="2"/>
      <c r="W71" s="2"/>
      <c r="X71" s="2"/>
      <c r="Y71" s="2"/>
      <c r="Z71" s="2"/>
      <c r="AA71" s="2"/>
      <c r="AB71" s="2"/>
      <c r="AC71" s="2"/>
      <c r="AD71" s="2"/>
      <c r="AE71" s="2"/>
      <c r="AF71" s="2"/>
      <c r="AG71" s="2"/>
      <c r="AH71" s="2"/>
      <c r="AI71" s="2"/>
      <c r="AJ71" s="2"/>
    </row>
    <row r="72" spans="3:36" s="8" customFormat="1" ht="67.5" customHeight="1" x14ac:dyDescent="0.25">
      <c r="C72" s="263" t="s">
        <v>131</v>
      </c>
      <c r="D72" s="264"/>
      <c r="E72" s="264"/>
      <c r="F72" s="264"/>
      <c r="G72" s="264"/>
      <c r="H72" s="264"/>
      <c r="I72" s="264"/>
      <c r="J72" s="264"/>
      <c r="K72" s="264"/>
      <c r="L72" s="264"/>
      <c r="M72" s="264"/>
      <c r="N72" s="264"/>
      <c r="O72" s="264"/>
      <c r="P72" s="265"/>
      <c r="R72" s="2"/>
      <c r="S72" s="2"/>
      <c r="T72" s="2"/>
      <c r="U72" s="2"/>
      <c r="V72" s="2"/>
      <c r="W72" s="2"/>
      <c r="X72" s="2"/>
      <c r="Y72" s="2"/>
      <c r="Z72" s="2"/>
      <c r="AA72" s="2"/>
      <c r="AB72" s="2"/>
      <c r="AC72" s="2"/>
      <c r="AD72" s="2"/>
      <c r="AE72" s="2"/>
      <c r="AF72" s="2"/>
      <c r="AG72" s="2"/>
      <c r="AH72" s="2"/>
      <c r="AI72" s="2"/>
      <c r="AJ72" s="2"/>
    </row>
  </sheetData>
  <mergeCells count="7">
    <mergeCell ref="C72:P72"/>
    <mergeCell ref="C3:P3"/>
    <mergeCell ref="C4:P4"/>
    <mergeCell ref="C6:K6"/>
    <mergeCell ref="C60:P60"/>
    <mergeCell ref="C61:P61"/>
    <mergeCell ref="C63:P63"/>
  </mergeCells>
  <conditionalFormatting sqref="F48:H48 M48 O48 D53 F53:H53 N53:O53 D59:P59">
    <cfRule type="cellIs" dxfId="0" priority="1" operator="lessThan">
      <formula>0</formula>
    </cfRule>
  </conditionalFormatting>
  <printOptions horizontalCentered="1" verticalCentered="1"/>
  <pageMargins left="0.25" right="0.25" top="0.75" bottom="0.75" header="0.3" footer="0.3"/>
  <pageSetup paperSize="8" scale="7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B6B2-9BC8-4C6D-A6E3-63F662DE15D2}">
  <sheetPr>
    <tabColor rgb="FFC00000"/>
  </sheetPr>
  <dimension ref="B1:Q110"/>
  <sheetViews>
    <sheetView showGridLines="0" view="pageBreakPreview" zoomScaleNormal="100" zoomScaleSheetLayoutView="100" workbookViewId="0">
      <selection activeCell="A25" sqref="A25"/>
    </sheetView>
  </sheetViews>
  <sheetFormatPr baseColWidth="10" defaultColWidth="11.5703125" defaultRowHeight="15" x14ac:dyDescent="0.25"/>
  <cols>
    <col min="1" max="2" width="3.7109375" style="72" customWidth="1"/>
    <col min="3" max="3" width="50.140625" style="72" customWidth="1"/>
    <col min="4" max="5" width="11.85546875" style="72" customWidth="1"/>
    <col min="6" max="6" width="14" style="74" customWidth="1"/>
    <col min="7" max="8" width="12.42578125" style="72" customWidth="1"/>
    <col min="9" max="9" width="12" style="72" customWidth="1"/>
    <col min="10" max="10" width="10.85546875" style="75" customWidth="1"/>
    <col min="11" max="11" width="3.7109375" style="72" customWidth="1"/>
    <col min="12" max="16384" width="11.5703125" style="72"/>
  </cols>
  <sheetData>
    <row r="1" spans="2:17" ht="10.5" customHeight="1" x14ac:dyDescent="0.25"/>
    <row r="2" spans="2:17" ht="10.5" customHeight="1" x14ac:dyDescent="0.25"/>
    <row r="3" spans="2:17" ht="15.75" x14ac:dyDescent="0.25">
      <c r="C3" s="266" t="s">
        <v>0</v>
      </c>
      <c r="D3" s="266"/>
      <c r="E3" s="266"/>
      <c r="F3" s="266"/>
      <c r="G3" s="266"/>
      <c r="H3" s="266"/>
      <c r="I3" s="266"/>
      <c r="J3" s="266"/>
      <c r="K3" s="4"/>
      <c r="L3" s="4"/>
      <c r="M3" s="4"/>
      <c r="N3" s="4"/>
      <c r="O3" s="4"/>
      <c r="P3" s="4"/>
      <c r="Q3" s="4"/>
    </row>
    <row r="4" spans="2:17" x14ac:dyDescent="0.25">
      <c r="B4" s="267" t="s">
        <v>1</v>
      </c>
      <c r="C4" s="276"/>
      <c r="D4" s="276"/>
      <c r="E4" s="276"/>
      <c r="F4" s="276"/>
      <c r="G4" s="276"/>
      <c r="H4" s="276"/>
      <c r="I4" s="276"/>
      <c r="J4" s="276"/>
      <c r="K4" s="276"/>
      <c r="L4" s="4"/>
      <c r="M4" s="4"/>
      <c r="N4" s="4"/>
      <c r="O4" s="4"/>
      <c r="P4" s="4"/>
      <c r="Q4" s="4"/>
    </row>
    <row r="5" spans="2:17" x14ac:dyDescent="0.25">
      <c r="C5" s="4"/>
      <c r="D5" s="4"/>
      <c r="E5" s="4"/>
      <c r="F5" s="3"/>
      <c r="G5" s="4"/>
      <c r="H5" s="4"/>
      <c r="I5" s="4"/>
      <c r="J5" s="3"/>
      <c r="K5" s="4"/>
      <c r="L5" s="4"/>
      <c r="M5" s="4"/>
      <c r="N5" s="4"/>
      <c r="O5" s="4"/>
      <c r="P5" s="4"/>
      <c r="Q5" s="4"/>
    </row>
    <row r="6" spans="2:17" ht="15.75" x14ac:dyDescent="0.25">
      <c r="C6" s="76" t="s">
        <v>30</v>
      </c>
      <c r="D6" s="77"/>
      <c r="E6" s="77"/>
      <c r="F6" s="78"/>
    </row>
    <row r="7" spans="2:17" x14ac:dyDescent="0.25">
      <c r="C7" s="79" t="s">
        <v>31</v>
      </c>
      <c r="D7" s="80"/>
      <c r="E7" s="80"/>
      <c r="F7" s="81"/>
    </row>
    <row r="8" spans="2:17" ht="27" customHeight="1" x14ac:dyDescent="0.25">
      <c r="C8" s="82"/>
      <c r="D8" s="277" t="s">
        <v>142</v>
      </c>
      <c r="E8" s="278"/>
      <c r="F8" s="279"/>
      <c r="G8" s="277" t="s">
        <v>143</v>
      </c>
      <c r="H8" s="278"/>
      <c r="I8" s="278"/>
      <c r="J8" s="279"/>
    </row>
    <row r="9" spans="2:17" ht="25.5" customHeight="1" x14ac:dyDescent="0.25">
      <c r="C9" s="83" t="s">
        <v>32</v>
      </c>
      <c r="D9" s="120">
        <v>2024</v>
      </c>
      <c r="E9" s="119">
        <v>2025</v>
      </c>
      <c r="F9" s="176" t="s">
        <v>26</v>
      </c>
      <c r="G9" s="120">
        <v>2024</v>
      </c>
      <c r="H9" s="119">
        <v>2025</v>
      </c>
      <c r="I9" s="176" t="s">
        <v>26</v>
      </c>
      <c r="J9" s="177" t="s">
        <v>33</v>
      </c>
    </row>
    <row r="10" spans="2:17" s="84" customFormat="1" ht="6.75" customHeight="1" x14ac:dyDescent="0.25">
      <c r="D10" s="178"/>
      <c r="E10" s="178"/>
      <c r="F10" s="178"/>
      <c r="G10" s="178"/>
      <c r="H10" s="178"/>
      <c r="I10" s="178"/>
      <c r="J10" s="178"/>
    </row>
    <row r="11" spans="2:17" x14ac:dyDescent="0.25">
      <c r="C11" s="85" t="s">
        <v>34</v>
      </c>
      <c r="D11" s="130">
        <f>SUM(D12:D22)</f>
        <v>246671.20287211897</v>
      </c>
      <c r="E11" s="121">
        <f>SUM(E12:E22)</f>
        <v>242739.65998499998</v>
      </c>
      <c r="F11" s="131">
        <f t="shared" ref="F11:F74" si="0">(E11-D11)/D11</f>
        <v>-1.5938394272789161E-2</v>
      </c>
      <c r="G11" s="130">
        <f>SUM(G12:G22)</f>
        <v>1761203.1762706642</v>
      </c>
      <c r="H11" s="121">
        <f>SUM(H12:H22)</f>
        <v>1807405.8757616116</v>
      </c>
      <c r="I11" s="131">
        <f t="shared" ref="I11:I74" si="1">(H11-G11)/G11</f>
        <v>2.6233599912521915E-2</v>
      </c>
      <c r="J11" s="132">
        <f>SUM(J12:J22)</f>
        <v>1</v>
      </c>
    </row>
    <row r="12" spans="2:17" x14ac:dyDescent="0.25">
      <c r="C12" s="86" t="s">
        <v>36</v>
      </c>
      <c r="D12" s="122">
        <v>32848.033148000002</v>
      </c>
      <c r="E12" s="123">
        <v>30365.966475000001</v>
      </c>
      <c r="F12" s="133">
        <f t="shared" si="0"/>
        <v>-7.5562109360301999E-2</v>
      </c>
      <c r="G12" s="125">
        <v>182753.69386</v>
      </c>
      <c r="H12" s="125">
        <v>278712.74931500002</v>
      </c>
      <c r="I12" s="134">
        <f t="shared" si="1"/>
        <v>0.5250731376653337</v>
      </c>
      <c r="J12" s="135">
        <f>(H12/$H$11)</f>
        <v>0.15420595509437246</v>
      </c>
    </row>
    <row r="13" spans="2:17" x14ac:dyDescent="0.25">
      <c r="C13" s="87" t="s">
        <v>35</v>
      </c>
      <c r="D13" s="124">
        <v>37112.002967275999</v>
      </c>
      <c r="E13" s="125">
        <v>33659.829541999999</v>
      </c>
      <c r="F13" s="136">
        <f t="shared" si="0"/>
        <v>-9.302040173687201E-2</v>
      </c>
      <c r="G13" s="125">
        <v>281626.92865376</v>
      </c>
      <c r="H13" s="125">
        <v>277040.52845324605</v>
      </c>
      <c r="I13" s="134">
        <f t="shared" si="1"/>
        <v>-1.6285375203422384E-2</v>
      </c>
      <c r="J13" s="137">
        <f t="shared" ref="J13:J22" si="2">(H13/$H$11)</f>
        <v>0.15328075014501413</v>
      </c>
    </row>
    <row r="14" spans="2:17" x14ac:dyDescent="0.25">
      <c r="C14" s="87" t="s">
        <v>78</v>
      </c>
      <c r="D14" s="124">
        <v>40432.4390098</v>
      </c>
      <c r="E14" s="125">
        <v>36678.755152999998</v>
      </c>
      <c r="F14" s="136">
        <f t="shared" si="0"/>
        <v>-9.2838422532219383E-2</v>
      </c>
      <c r="G14" s="125">
        <v>303030.1896553</v>
      </c>
      <c r="H14" s="125">
        <v>270321.51128470001</v>
      </c>
      <c r="I14" s="134">
        <f t="shared" si="1"/>
        <v>-0.10793867900688854</v>
      </c>
      <c r="J14" s="137">
        <f t="shared" si="2"/>
        <v>0.14956325798752362</v>
      </c>
    </row>
    <row r="15" spans="2:17" x14ac:dyDescent="0.25">
      <c r="C15" s="87" t="s">
        <v>37</v>
      </c>
      <c r="D15" s="124">
        <v>42890.842849500004</v>
      </c>
      <c r="E15" s="125">
        <v>37034.725538999999</v>
      </c>
      <c r="F15" s="136">
        <f t="shared" si="0"/>
        <v>-0.13653537495284432</v>
      </c>
      <c r="G15" s="125">
        <v>303320.56056449999</v>
      </c>
      <c r="H15" s="125">
        <v>229987.09801800997</v>
      </c>
      <c r="I15" s="134">
        <f t="shared" si="1"/>
        <v>-0.24176884814537961</v>
      </c>
      <c r="J15" s="137">
        <f t="shared" si="2"/>
        <v>0.12724706780157896</v>
      </c>
    </row>
    <row r="16" spans="2:17" x14ac:dyDescent="0.25">
      <c r="C16" s="87" t="s">
        <v>38</v>
      </c>
      <c r="D16" s="124">
        <v>22686.97773744</v>
      </c>
      <c r="E16" s="125">
        <v>27812.370472999999</v>
      </c>
      <c r="F16" s="136">
        <f t="shared" si="0"/>
        <v>0.22591782805435717</v>
      </c>
      <c r="G16" s="125">
        <v>193081.0207380433</v>
      </c>
      <c r="H16" s="125">
        <v>211882.0481143287</v>
      </c>
      <c r="I16" s="134">
        <f t="shared" si="1"/>
        <v>9.7373772442363032E-2</v>
      </c>
      <c r="J16" s="137">
        <f t="shared" si="2"/>
        <v>0.11722992104639753</v>
      </c>
    </row>
    <row r="17" spans="3:10" x14ac:dyDescent="0.25">
      <c r="C17" s="87" t="s">
        <v>39</v>
      </c>
      <c r="D17" s="124">
        <v>20007.41444</v>
      </c>
      <c r="E17" s="125">
        <v>21901.458648</v>
      </c>
      <c r="F17" s="136">
        <f t="shared" si="0"/>
        <v>9.4667115217712219E-2</v>
      </c>
      <c r="G17" s="125">
        <v>119157.84358000002</v>
      </c>
      <c r="H17" s="125">
        <v>162395.99414599998</v>
      </c>
      <c r="I17" s="134">
        <f t="shared" si="1"/>
        <v>0.36286449357377637</v>
      </c>
      <c r="J17" s="137">
        <f t="shared" si="2"/>
        <v>8.9850318804329948E-2</v>
      </c>
    </row>
    <row r="18" spans="3:10" x14ac:dyDescent="0.25">
      <c r="C18" s="87" t="s">
        <v>67</v>
      </c>
      <c r="D18" s="124">
        <v>10330.008902220001</v>
      </c>
      <c r="E18" s="125">
        <v>11799.091549000001</v>
      </c>
      <c r="F18" s="136">
        <f t="shared" si="0"/>
        <v>0.14221504169897495</v>
      </c>
      <c r="G18" s="125">
        <v>75644.540727530009</v>
      </c>
      <c r="H18" s="125">
        <v>91208.176569610005</v>
      </c>
      <c r="I18" s="134">
        <f t="shared" si="1"/>
        <v>0.20574698044819748</v>
      </c>
      <c r="J18" s="137">
        <f t="shared" si="2"/>
        <v>5.0463583079354744E-2</v>
      </c>
    </row>
    <row r="19" spans="3:10" x14ac:dyDescent="0.25">
      <c r="C19" s="88" t="s">
        <v>40</v>
      </c>
      <c r="D19" s="126">
        <v>13963.2316348</v>
      </c>
      <c r="E19" s="127">
        <v>16711.32703</v>
      </c>
      <c r="F19" s="136">
        <f t="shared" si="0"/>
        <v>0.19680941110731362</v>
      </c>
      <c r="G19" s="125">
        <v>94234.515515999999</v>
      </c>
      <c r="H19" s="125">
        <v>77381.864163999999</v>
      </c>
      <c r="I19" s="134">
        <f t="shared" si="1"/>
        <v>-0.17883735338076423</v>
      </c>
      <c r="J19" s="137">
        <f t="shared" si="2"/>
        <v>4.2813772601791797E-2</v>
      </c>
    </row>
    <row r="20" spans="3:10" x14ac:dyDescent="0.25">
      <c r="C20" s="88" t="s">
        <v>41</v>
      </c>
      <c r="D20" s="126">
        <v>6938.9957810400001</v>
      </c>
      <c r="E20" s="127">
        <v>6153.521823</v>
      </c>
      <c r="F20" s="136">
        <f t="shared" si="0"/>
        <v>-0.1131970652275386</v>
      </c>
      <c r="G20" s="125">
        <v>56399.071392379999</v>
      </c>
      <c r="H20" s="125">
        <v>54076.993127550006</v>
      </c>
      <c r="I20" s="134">
        <f t="shared" si="1"/>
        <v>-4.1172278328393305E-2</v>
      </c>
      <c r="J20" s="137">
        <f t="shared" si="2"/>
        <v>2.9919673191702353E-2</v>
      </c>
    </row>
    <row r="21" spans="3:10" x14ac:dyDescent="0.25">
      <c r="C21" s="88" t="s">
        <v>42</v>
      </c>
      <c r="D21" s="126">
        <v>4860.9503800000002</v>
      </c>
      <c r="E21" s="127">
        <v>4951.0285999999996</v>
      </c>
      <c r="F21" s="136">
        <f t="shared" si="0"/>
        <v>1.8530989407054884E-2</v>
      </c>
      <c r="G21" s="125">
        <v>37549.605320099996</v>
      </c>
      <c r="H21" s="125">
        <v>35000.008237599999</v>
      </c>
      <c r="I21" s="134">
        <f t="shared" si="1"/>
        <v>-6.7899437577715854E-2</v>
      </c>
      <c r="J21" s="137">
        <f t="shared" si="2"/>
        <v>1.9364775066281977E-2</v>
      </c>
    </row>
    <row r="22" spans="3:10" x14ac:dyDescent="0.25">
      <c r="C22" s="89" t="s">
        <v>146</v>
      </c>
      <c r="D22" s="128">
        <v>14600.306022043</v>
      </c>
      <c r="E22" s="129">
        <v>15671.585152999996</v>
      </c>
      <c r="F22" s="138">
        <f t="shared" si="0"/>
        <v>7.3373744998195184E-2</v>
      </c>
      <c r="G22" s="125">
        <v>114405.20626305099</v>
      </c>
      <c r="H22" s="125">
        <v>119398.90433156707</v>
      </c>
      <c r="I22" s="134">
        <f t="shared" si="1"/>
        <v>4.364922044748655E-2</v>
      </c>
      <c r="J22" s="139">
        <f t="shared" si="2"/>
        <v>6.6060925181652574E-2</v>
      </c>
    </row>
    <row r="23" spans="3:10" x14ac:dyDescent="0.25">
      <c r="C23" s="85" t="s">
        <v>43</v>
      </c>
      <c r="D23" s="130">
        <f>SUM(D24:D34)</f>
        <v>8966756.8121961206</v>
      </c>
      <c r="E23" s="121">
        <f>SUM(E24:E34)</f>
        <v>9693299.9348069951</v>
      </c>
      <c r="F23" s="131">
        <f t="shared" si="0"/>
        <v>8.1026299455636844E-2</v>
      </c>
      <c r="G23" s="130">
        <f>SUM(G24:G34)</f>
        <v>70962593.318637073</v>
      </c>
      <c r="H23" s="121">
        <f>SUM(H24:H34)</f>
        <v>69980954.661192909</v>
      </c>
      <c r="I23" s="131">
        <f t="shared" si="1"/>
        <v>-1.3833184661620224E-2</v>
      </c>
      <c r="J23" s="132">
        <f>SUM(J24:J34)</f>
        <v>0.99999999999999989</v>
      </c>
    </row>
    <row r="24" spans="3:10" x14ac:dyDescent="0.25">
      <c r="C24" s="86" t="s">
        <v>44</v>
      </c>
      <c r="D24" s="125">
        <v>976893.15659999987</v>
      </c>
      <c r="E24" s="125">
        <v>1632606.3467999999</v>
      </c>
      <c r="F24" s="134">
        <f t="shared" si="0"/>
        <v>0.67122303577410503</v>
      </c>
      <c r="G24" s="122">
        <v>7065546.6236000005</v>
      </c>
      <c r="H24" s="123">
        <v>10411847.2467</v>
      </c>
      <c r="I24" s="133">
        <f t="shared" si="1"/>
        <v>0.47360817235609859</v>
      </c>
      <c r="J24" s="135">
        <f>(H24/$H$23)</f>
        <v>0.14878115477429696</v>
      </c>
    </row>
    <row r="25" spans="3:10" x14ac:dyDescent="0.25">
      <c r="C25" s="87" t="s">
        <v>45</v>
      </c>
      <c r="D25" s="125">
        <v>727655.68033</v>
      </c>
      <c r="E25" s="125">
        <v>683917.50370999996</v>
      </c>
      <c r="F25" s="134">
        <f t="shared" si="0"/>
        <v>-6.01083421765694E-2</v>
      </c>
      <c r="G25" s="124">
        <v>6025933.3756299997</v>
      </c>
      <c r="H25" s="125">
        <v>5040926.7798899999</v>
      </c>
      <c r="I25" s="136">
        <f t="shared" si="1"/>
        <v>-0.16346124896162154</v>
      </c>
      <c r="J25" s="137">
        <f t="shared" ref="J25:J34" si="3">(H25/$H$23)</f>
        <v>7.203283813853692E-2</v>
      </c>
    </row>
    <row r="26" spans="3:10" x14ac:dyDescent="0.25">
      <c r="C26" s="87" t="s">
        <v>49</v>
      </c>
      <c r="D26" s="125">
        <v>573455.68000000005</v>
      </c>
      <c r="E26" s="125">
        <v>696037.49399999995</v>
      </c>
      <c r="F26" s="134">
        <f t="shared" si="0"/>
        <v>0.21375987417196721</v>
      </c>
      <c r="G26" s="124">
        <v>5031791.7341130795</v>
      </c>
      <c r="H26" s="125">
        <v>4015475.7860000003</v>
      </c>
      <c r="I26" s="136">
        <f t="shared" si="1"/>
        <v>-0.20197893748720872</v>
      </c>
      <c r="J26" s="137">
        <f t="shared" si="3"/>
        <v>5.7379551414246908E-2</v>
      </c>
    </row>
    <row r="27" spans="3:10" x14ac:dyDescent="0.25">
      <c r="C27" s="87" t="s">
        <v>48</v>
      </c>
      <c r="D27" s="125">
        <v>381700.91700000002</v>
      </c>
      <c r="E27" s="125">
        <v>472492.03499999997</v>
      </c>
      <c r="F27" s="134">
        <f t="shared" si="0"/>
        <v>0.23785931329056764</v>
      </c>
      <c r="G27" s="124">
        <v>3825609.5609999998</v>
      </c>
      <c r="H27" s="125">
        <v>3666651.6779999998</v>
      </c>
      <c r="I27" s="136">
        <f t="shared" si="1"/>
        <v>-4.1550994806288842E-2</v>
      </c>
      <c r="J27" s="152">
        <f t="shared" si="3"/>
        <v>5.2394993691523575E-2</v>
      </c>
    </row>
    <row r="28" spans="3:10" x14ac:dyDescent="0.25">
      <c r="C28" s="88" t="s">
        <v>47</v>
      </c>
      <c r="D28" s="127">
        <v>556782.29827999999</v>
      </c>
      <c r="E28" s="127">
        <v>379980.38484999991</v>
      </c>
      <c r="F28" s="134">
        <f t="shared" si="0"/>
        <v>-0.31754226737482993</v>
      </c>
      <c r="G28" s="124">
        <v>4248553.2104000002</v>
      </c>
      <c r="H28" s="125">
        <v>3614680.4625899997</v>
      </c>
      <c r="I28" s="136">
        <f t="shared" si="1"/>
        <v>-0.14919731880922391</v>
      </c>
      <c r="J28" s="152">
        <f t="shared" si="3"/>
        <v>5.1652345700200587E-2</v>
      </c>
    </row>
    <row r="29" spans="3:10" x14ac:dyDescent="0.25">
      <c r="C29" s="88" t="s">
        <v>50</v>
      </c>
      <c r="D29" s="127">
        <v>415671.3</v>
      </c>
      <c r="E29" s="127">
        <v>385741.89</v>
      </c>
      <c r="F29" s="134">
        <f t="shared" si="0"/>
        <v>-7.2002589546114867E-2</v>
      </c>
      <c r="G29" s="124">
        <v>3046028.7561599999</v>
      </c>
      <c r="H29" s="125">
        <v>2939819.12</v>
      </c>
      <c r="I29" s="136">
        <f t="shared" si="1"/>
        <v>-3.4868231609833447E-2</v>
      </c>
      <c r="J29" s="137">
        <f t="shared" si="3"/>
        <v>4.2008845609964811E-2</v>
      </c>
    </row>
    <row r="30" spans="3:10" x14ac:dyDescent="0.25">
      <c r="C30" s="88" t="s">
        <v>52</v>
      </c>
      <c r="D30" s="127">
        <v>396632.42488800001</v>
      </c>
      <c r="E30" s="127">
        <v>372333.28352</v>
      </c>
      <c r="F30" s="134">
        <f t="shared" si="0"/>
        <v>-6.1263628093092833E-2</v>
      </c>
      <c r="G30" s="124">
        <v>2776013.7742839996</v>
      </c>
      <c r="H30" s="125">
        <v>2756886.6647450002</v>
      </c>
      <c r="I30" s="136">
        <f t="shared" si="1"/>
        <v>-6.8901349540071086E-3</v>
      </c>
      <c r="J30" s="137">
        <f t="shared" si="3"/>
        <v>3.9394813604533438E-2</v>
      </c>
    </row>
    <row r="31" spans="3:10" x14ac:dyDescent="0.25">
      <c r="C31" s="88" t="s">
        <v>53</v>
      </c>
      <c r="D31" s="127">
        <v>216372.26560000001</v>
      </c>
      <c r="E31" s="127">
        <v>236084.63759999999</v>
      </c>
      <c r="F31" s="134">
        <f t="shared" si="0"/>
        <v>9.1103968178812528E-2</v>
      </c>
      <c r="G31" s="124">
        <v>1576570.1434000002</v>
      </c>
      <c r="H31" s="125">
        <v>2486120.6786000002</v>
      </c>
      <c r="I31" s="136">
        <f t="shared" si="1"/>
        <v>0.57691726499303175</v>
      </c>
      <c r="J31" s="137">
        <f t="shared" si="3"/>
        <v>3.5525675387487222E-2</v>
      </c>
    </row>
    <row r="32" spans="3:10" x14ac:dyDescent="0.25">
      <c r="C32" s="88" t="s">
        <v>51</v>
      </c>
      <c r="D32" s="127">
        <v>232836.33319127001</v>
      </c>
      <c r="E32" s="127">
        <v>310980.707062</v>
      </c>
      <c r="F32" s="134">
        <f t="shared" si="0"/>
        <v>0.33561932882071321</v>
      </c>
      <c r="G32" s="124">
        <v>2004717.7049416238</v>
      </c>
      <c r="H32" s="125">
        <v>2324328.4857201418</v>
      </c>
      <c r="I32" s="136">
        <f t="shared" si="1"/>
        <v>0.15942932014351857</v>
      </c>
      <c r="J32" s="137">
        <f t="shared" si="3"/>
        <v>3.3213729320687162E-2</v>
      </c>
    </row>
    <row r="33" spans="3:10" x14ac:dyDescent="0.25">
      <c r="C33" s="88" t="s">
        <v>54</v>
      </c>
      <c r="D33" s="127">
        <v>329468.88557398302</v>
      </c>
      <c r="E33" s="127">
        <v>309498.71532000002</v>
      </c>
      <c r="F33" s="134">
        <f t="shared" si="0"/>
        <v>-6.0613220635970043E-2</v>
      </c>
      <c r="G33" s="124">
        <v>2438884.8331011413</v>
      </c>
      <c r="H33" s="125">
        <v>2139648.1833920451</v>
      </c>
      <c r="I33" s="136">
        <f t="shared" si="1"/>
        <v>-0.12269404674127421</v>
      </c>
      <c r="J33" s="137">
        <f t="shared" si="3"/>
        <v>3.0574721275966832E-2</v>
      </c>
    </row>
    <row r="34" spans="3:10" x14ac:dyDescent="0.25">
      <c r="C34" s="89" t="s">
        <v>147</v>
      </c>
      <c r="D34" s="127">
        <v>4159287.870732869</v>
      </c>
      <c r="E34" s="127">
        <v>4213626.9369449932</v>
      </c>
      <c r="F34" s="140">
        <f t="shared" si="0"/>
        <v>1.3064511979198404E-2</v>
      </c>
      <c r="G34" s="128">
        <v>32922943.60200724</v>
      </c>
      <c r="H34" s="129">
        <v>30584569.575555716</v>
      </c>
      <c r="I34" s="141">
        <f t="shared" si="1"/>
        <v>-7.1025666924538267E-2</v>
      </c>
      <c r="J34" s="139">
        <f t="shared" si="3"/>
        <v>0.4370413310825555</v>
      </c>
    </row>
    <row r="35" spans="3:10" x14ac:dyDescent="0.25">
      <c r="C35" s="90" t="s">
        <v>55</v>
      </c>
      <c r="D35" s="130">
        <f>SUM(D36:D46)</f>
        <v>113486.31276100801</v>
      </c>
      <c r="E35" s="121">
        <f>SUM(E36:E46)</f>
        <v>146679.88339199999</v>
      </c>
      <c r="F35" s="131">
        <f t="shared" si="0"/>
        <v>0.29248963882450441</v>
      </c>
      <c r="G35" s="130">
        <f>SUM(G36:G46)</f>
        <v>849811.55569918291</v>
      </c>
      <c r="H35" s="121">
        <f>SUM(H36:H46)</f>
        <v>987055.14752940671</v>
      </c>
      <c r="I35" s="131">
        <f t="shared" si="1"/>
        <v>0.16149885337497741</v>
      </c>
      <c r="J35" s="132">
        <f>SUM(J36:J46)</f>
        <v>1</v>
      </c>
    </row>
    <row r="36" spans="3:10" x14ac:dyDescent="0.25">
      <c r="C36" s="86" t="s">
        <v>37</v>
      </c>
      <c r="D36" s="125">
        <v>32748.737781600001</v>
      </c>
      <c r="E36" s="125">
        <v>58368.822034000004</v>
      </c>
      <c r="F36" s="134">
        <f t="shared" si="0"/>
        <v>0.78232280044682345</v>
      </c>
      <c r="G36" s="142">
        <v>204755.7483177</v>
      </c>
      <c r="H36" s="143">
        <v>361952.98370285</v>
      </c>
      <c r="I36" s="144">
        <f t="shared" si="1"/>
        <v>0.76773051148357518</v>
      </c>
      <c r="J36" s="145">
        <f>(H36/$H$35)</f>
        <v>0.36669985928224602</v>
      </c>
    </row>
    <row r="37" spans="3:10" x14ac:dyDescent="0.25">
      <c r="C37" s="87" t="s">
        <v>56</v>
      </c>
      <c r="D37" s="125">
        <v>14646.034781744</v>
      </c>
      <c r="E37" s="125">
        <v>13571.500441999999</v>
      </c>
      <c r="F37" s="134">
        <f t="shared" si="0"/>
        <v>-7.3366911642418556E-2</v>
      </c>
      <c r="G37" s="126">
        <v>101727.37152022</v>
      </c>
      <c r="H37" s="127">
        <v>110113.73989212001</v>
      </c>
      <c r="I37" s="146">
        <f t="shared" si="1"/>
        <v>8.2439644773806844E-2</v>
      </c>
      <c r="J37" s="147">
        <f t="shared" ref="J37:J46" si="4">(H37/$H$35)</f>
        <v>0.11155783966856772</v>
      </c>
    </row>
    <row r="38" spans="3:10" x14ac:dyDescent="0.25">
      <c r="C38" s="87" t="s">
        <v>57</v>
      </c>
      <c r="D38" s="125">
        <v>8290.2768999999989</v>
      </c>
      <c r="E38" s="125">
        <v>6502.8410999999996</v>
      </c>
      <c r="F38" s="134">
        <f t="shared" si="0"/>
        <v>-0.21560628451385014</v>
      </c>
      <c r="G38" s="126">
        <v>70693.172300000006</v>
      </c>
      <c r="H38" s="127">
        <v>58150.427600000003</v>
      </c>
      <c r="I38" s="146">
        <f t="shared" si="1"/>
        <v>-0.17742512171857935</v>
      </c>
      <c r="J38" s="147">
        <f t="shared" si="4"/>
        <v>5.8913048319083471E-2</v>
      </c>
    </row>
    <row r="39" spans="3:10" x14ac:dyDescent="0.25">
      <c r="C39" s="87" t="s">
        <v>59</v>
      </c>
      <c r="D39" s="125">
        <v>7798.9138430000003</v>
      </c>
      <c r="E39" s="125">
        <v>11161.652955</v>
      </c>
      <c r="F39" s="134">
        <f t="shared" si="0"/>
        <v>0.43118044123775801</v>
      </c>
      <c r="G39" s="126">
        <v>69029.939154999985</v>
      </c>
      <c r="H39" s="127">
        <v>43317.874233000002</v>
      </c>
      <c r="I39" s="146">
        <f t="shared" si="1"/>
        <v>-0.37247700398903805</v>
      </c>
      <c r="J39" s="147">
        <f t="shared" si="4"/>
        <v>4.3885971661689206E-2</v>
      </c>
    </row>
    <row r="40" spans="3:10" x14ac:dyDescent="0.25">
      <c r="C40" s="88" t="s">
        <v>58</v>
      </c>
      <c r="D40" s="127">
        <v>4367.3877419999999</v>
      </c>
      <c r="E40" s="127">
        <v>5973.7753029999994</v>
      </c>
      <c r="F40" s="140">
        <f t="shared" si="0"/>
        <v>0.36781427615226375</v>
      </c>
      <c r="G40" s="126">
        <v>35955.240854000003</v>
      </c>
      <c r="H40" s="127">
        <v>37723.067229000008</v>
      </c>
      <c r="I40" s="146">
        <f t="shared" si="1"/>
        <v>4.9167418518442058E-2</v>
      </c>
      <c r="J40" s="147">
        <f t="shared" si="4"/>
        <v>3.8217790893873178E-2</v>
      </c>
    </row>
    <row r="41" spans="3:10" x14ac:dyDescent="0.25">
      <c r="C41" s="88" t="s">
        <v>60</v>
      </c>
      <c r="D41" s="127">
        <v>4432.643060372</v>
      </c>
      <c r="E41" s="127">
        <v>4367.1657569999998</v>
      </c>
      <c r="F41" s="140">
        <f t="shared" si="0"/>
        <v>-1.4771616500631395E-2</v>
      </c>
      <c r="G41" s="126">
        <v>32448.082940056</v>
      </c>
      <c r="H41" s="127">
        <v>33529.336078779001</v>
      </c>
      <c r="I41" s="146">
        <f t="shared" si="1"/>
        <v>3.3322558399535913E-2</v>
      </c>
      <c r="J41" s="148">
        <f t="shared" si="4"/>
        <v>3.3969060556244234E-2</v>
      </c>
    </row>
    <row r="42" spans="3:10" x14ac:dyDescent="0.25">
      <c r="C42" s="88" t="s">
        <v>61</v>
      </c>
      <c r="D42" s="127">
        <v>4324.1322072000003</v>
      </c>
      <c r="E42" s="127">
        <v>4161.1805770000001</v>
      </c>
      <c r="F42" s="140">
        <f t="shared" si="0"/>
        <v>-3.768423868462524E-2</v>
      </c>
      <c r="G42" s="126">
        <v>36042.992129499995</v>
      </c>
      <c r="H42" s="127">
        <v>33440.899076900001</v>
      </c>
      <c r="I42" s="146">
        <f t="shared" si="1"/>
        <v>-7.2194146458508551E-2</v>
      </c>
      <c r="J42" s="148">
        <f t="shared" si="4"/>
        <v>3.3879463736755114E-2</v>
      </c>
    </row>
    <row r="43" spans="3:10" x14ac:dyDescent="0.25">
      <c r="C43" s="88" t="s">
        <v>39</v>
      </c>
      <c r="D43" s="127">
        <v>3526.1109000000001</v>
      </c>
      <c r="E43" s="127">
        <v>4345.1431259999999</v>
      </c>
      <c r="F43" s="140">
        <f t="shared" si="0"/>
        <v>0.2322763660099289</v>
      </c>
      <c r="G43" s="126">
        <v>40647.410437999999</v>
      </c>
      <c r="H43" s="127">
        <v>32961.854206999997</v>
      </c>
      <c r="I43" s="146">
        <f t="shared" si="1"/>
        <v>-0.18907861898663575</v>
      </c>
      <c r="J43" s="147">
        <f t="shared" si="4"/>
        <v>3.3394136375767179E-2</v>
      </c>
    </row>
    <row r="44" spans="3:10" x14ac:dyDescent="0.25">
      <c r="C44" s="88" t="s">
        <v>63</v>
      </c>
      <c r="D44" s="127">
        <v>4025.5910464999997</v>
      </c>
      <c r="E44" s="127">
        <v>4662.0948239999998</v>
      </c>
      <c r="F44" s="140">
        <f t="shared" si="0"/>
        <v>0.15811436634960732</v>
      </c>
      <c r="G44" s="126">
        <v>32380.703850539998</v>
      </c>
      <c r="H44" s="127">
        <v>29474.148361510001</v>
      </c>
      <c r="I44" s="146">
        <f t="shared" si="1"/>
        <v>-8.97619613966954E-2</v>
      </c>
      <c r="J44" s="147">
        <f t="shared" si="4"/>
        <v>2.9860690595944536E-2</v>
      </c>
    </row>
    <row r="45" spans="3:10" x14ac:dyDescent="0.25">
      <c r="C45" s="88" t="s">
        <v>62</v>
      </c>
      <c r="D45" s="127">
        <v>4886.0920340000002</v>
      </c>
      <c r="E45" s="127">
        <v>3307.9039209999996</v>
      </c>
      <c r="F45" s="140">
        <f t="shared" si="0"/>
        <v>-0.32299598575264998</v>
      </c>
      <c r="G45" s="126">
        <v>29903.948120600002</v>
      </c>
      <c r="H45" s="127">
        <v>26049.047109900002</v>
      </c>
      <c r="I45" s="146">
        <f t="shared" si="1"/>
        <v>-0.12890943346856815</v>
      </c>
      <c r="J45" s="147">
        <f t="shared" si="4"/>
        <v>2.6390670445415959E-2</v>
      </c>
    </row>
    <row r="46" spans="3:10" x14ac:dyDescent="0.25">
      <c r="C46" s="89" t="s">
        <v>148</v>
      </c>
      <c r="D46" s="127">
        <v>24440.392464591998</v>
      </c>
      <c r="E46" s="127">
        <v>30257.803352999992</v>
      </c>
      <c r="F46" s="140">
        <f>(E46-D46)/D46</f>
        <v>0.23802444649102769</v>
      </c>
      <c r="G46" s="128">
        <v>196226.94607356697</v>
      </c>
      <c r="H46" s="129">
        <v>220341.77003834766</v>
      </c>
      <c r="I46" s="138">
        <f t="shared" si="1"/>
        <v>0.12289252035619951</v>
      </c>
      <c r="J46" s="149">
        <f t="shared" si="4"/>
        <v>0.22323146846441339</v>
      </c>
    </row>
    <row r="47" spans="3:10" x14ac:dyDescent="0.25">
      <c r="C47" s="90" t="s">
        <v>64</v>
      </c>
      <c r="D47" s="130">
        <f>SUM(D48:D58)</f>
        <v>341533.60475342814</v>
      </c>
      <c r="E47" s="121">
        <f>SUM(E48:E58)</f>
        <v>348598.08288799995</v>
      </c>
      <c r="F47" s="131">
        <f t="shared" si="0"/>
        <v>2.0684576967680945E-2</v>
      </c>
      <c r="G47" s="150">
        <f>SUM(G48:G58)</f>
        <v>2272789.2594428491</v>
      </c>
      <c r="H47" s="150">
        <f>SUM(H48:H58)</f>
        <v>2441212.8358503589</v>
      </c>
      <c r="I47" s="151">
        <f t="shared" si="1"/>
        <v>7.410435248571931E-2</v>
      </c>
      <c r="J47" s="132">
        <f>SUM(J48:J58)</f>
        <v>1</v>
      </c>
    </row>
    <row r="48" spans="3:10" x14ac:dyDescent="0.25">
      <c r="C48" s="86" t="s">
        <v>37</v>
      </c>
      <c r="D48" s="122">
        <v>35679.059708695502</v>
      </c>
      <c r="E48" s="123">
        <v>67337.814146999997</v>
      </c>
      <c r="F48" s="133">
        <f t="shared" si="0"/>
        <v>0.88732031328137273</v>
      </c>
      <c r="G48" s="122">
        <v>234583.00701071729</v>
      </c>
      <c r="H48" s="123">
        <v>360377.56509078853</v>
      </c>
      <c r="I48" s="133">
        <f t="shared" si="1"/>
        <v>0.53624752995993485</v>
      </c>
      <c r="J48" s="135">
        <f>(H48/$H$47)</f>
        <v>0.14762234566297311</v>
      </c>
    </row>
    <row r="49" spans="3:10" x14ac:dyDescent="0.25">
      <c r="C49" s="87" t="s">
        <v>65</v>
      </c>
      <c r="D49" s="124">
        <v>51353.460122582699</v>
      </c>
      <c r="E49" s="125">
        <v>39004.463483</v>
      </c>
      <c r="F49" s="136">
        <f t="shared" si="0"/>
        <v>-0.24047058582041339</v>
      </c>
      <c r="G49" s="124">
        <v>240435.85673301923</v>
      </c>
      <c r="H49" s="125">
        <v>266457.82361033052</v>
      </c>
      <c r="I49" s="136">
        <f t="shared" si="1"/>
        <v>0.10822831182873931</v>
      </c>
      <c r="J49" s="137">
        <f t="shared" ref="J49:J58" si="5">(H49/$H$47)</f>
        <v>0.10914977166155775</v>
      </c>
    </row>
    <row r="50" spans="3:10" x14ac:dyDescent="0.25">
      <c r="C50" s="87" t="s">
        <v>39</v>
      </c>
      <c r="D50" s="124">
        <v>23231.5807773302</v>
      </c>
      <c r="E50" s="125">
        <v>21739.861978000001</v>
      </c>
      <c r="F50" s="136">
        <f t="shared" si="0"/>
        <v>-6.4210817749683485E-2</v>
      </c>
      <c r="G50" s="124">
        <v>169349.78123826592</v>
      </c>
      <c r="H50" s="125">
        <v>156568.28721837921</v>
      </c>
      <c r="I50" s="136">
        <f t="shared" si="1"/>
        <v>-7.5473932865043655E-2</v>
      </c>
      <c r="J50" s="137">
        <f t="shared" si="5"/>
        <v>6.4135451411323194E-2</v>
      </c>
    </row>
    <row r="51" spans="3:10" x14ac:dyDescent="0.25">
      <c r="C51" s="87" t="s">
        <v>56</v>
      </c>
      <c r="D51" s="124">
        <v>21215.426671882</v>
      </c>
      <c r="E51" s="125">
        <v>17865.407213999999</v>
      </c>
      <c r="F51" s="136">
        <f t="shared" si="0"/>
        <v>-0.15790488259762273</v>
      </c>
      <c r="G51" s="124">
        <v>135563.81610710861</v>
      </c>
      <c r="H51" s="125">
        <v>141359.6282939857</v>
      </c>
      <c r="I51" s="136">
        <f t="shared" si="1"/>
        <v>4.2753386215521126E-2</v>
      </c>
      <c r="J51" s="137">
        <f t="shared" si="5"/>
        <v>5.7905491163266494E-2</v>
      </c>
    </row>
    <row r="52" spans="3:10" x14ac:dyDescent="0.25">
      <c r="C52" s="87" t="s">
        <v>50</v>
      </c>
      <c r="D52" s="124">
        <v>19305.1416262864</v>
      </c>
      <c r="E52" s="125">
        <v>14878.207372999999</v>
      </c>
      <c r="F52" s="136">
        <f t="shared" si="0"/>
        <v>-0.22931374133296015</v>
      </c>
      <c r="G52" s="124">
        <v>130159.0447110493</v>
      </c>
      <c r="H52" s="125">
        <v>121830.26115687059</v>
      </c>
      <c r="I52" s="136">
        <f t="shared" si="1"/>
        <v>-6.398927998179807E-2</v>
      </c>
      <c r="J52" s="137">
        <f t="shared" si="5"/>
        <v>4.9905628615307888E-2</v>
      </c>
    </row>
    <row r="53" spans="3:10" x14ac:dyDescent="0.25">
      <c r="C53" s="88" t="s">
        <v>35</v>
      </c>
      <c r="D53" s="126">
        <v>16367.5458612905</v>
      </c>
      <c r="E53" s="127">
        <v>14509.185599</v>
      </c>
      <c r="F53" s="136">
        <f t="shared" si="0"/>
        <v>-0.11353933436566999</v>
      </c>
      <c r="G53" s="124">
        <v>120548.56642041869</v>
      </c>
      <c r="H53" s="125">
        <v>118613.15186644941</v>
      </c>
      <c r="I53" s="136">
        <f t="shared" si="1"/>
        <v>-1.6055060723156475E-2</v>
      </c>
      <c r="J53" s="137">
        <f t="shared" si="5"/>
        <v>4.85877962480614E-2</v>
      </c>
    </row>
    <row r="54" spans="3:10" x14ac:dyDescent="0.25">
      <c r="C54" s="88" t="s">
        <v>36</v>
      </c>
      <c r="D54" s="126">
        <v>12159.4752230178</v>
      </c>
      <c r="E54" s="127">
        <v>13454.232692</v>
      </c>
      <c r="F54" s="136">
        <f t="shared" si="0"/>
        <v>0.10648136085110259</v>
      </c>
      <c r="G54" s="124">
        <v>68309.036906388792</v>
      </c>
      <c r="H54" s="125">
        <v>100347.87143248461</v>
      </c>
      <c r="I54" s="136">
        <f t="shared" si="1"/>
        <v>0.46902775938712282</v>
      </c>
      <c r="J54" s="137">
        <f t="shared" si="5"/>
        <v>4.1105744635956731E-2</v>
      </c>
    </row>
    <row r="55" spans="3:10" x14ac:dyDescent="0.25">
      <c r="C55" s="88" t="s">
        <v>58</v>
      </c>
      <c r="D55" s="126">
        <v>10777.4331089319</v>
      </c>
      <c r="E55" s="127">
        <v>12889.198745999998</v>
      </c>
      <c r="F55" s="136">
        <f t="shared" si="0"/>
        <v>0.19594328405693856</v>
      </c>
      <c r="G55" s="124">
        <v>90394.009359439005</v>
      </c>
      <c r="H55" s="125">
        <v>93129.037813833813</v>
      </c>
      <c r="I55" s="136">
        <f t="shared" si="1"/>
        <v>3.0256744598188504E-2</v>
      </c>
      <c r="J55" s="137">
        <f t="shared" si="5"/>
        <v>3.8148676119586986E-2</v>
      </c>
    </row>
    <row r="56" spans="3:10" x14ac:dyDescent="0.25">
      <c r="C56" s="88" t="s">
        <v>66</v>
      </c>
      <c r="D56" s="126">
        <v>13348.282151422</v>
      </c>
      <c r="E56" s="127">
        <v>12802.816926</v>
      </c>
      <c r="F56" s="136">
        <f t="shared" si="0"/>
        <v>-4.0864076682997845E-2</v>
      </c>
      <c r="G56" s="124">
        <v>91460.560718369205</v>
      </c>
      <c r="H56" s="125">
        <v>90564.991065292401</v>
      </c>
      <c r="I56" s="136">
        <f t="shared" si="1"/>
        <v>-9.7918670740986917E-3</v>
      </c>
      <c r="J56" s="137">
        <f t="shared" si="5"/>
        <v>3.7098359362732695E-2</v>
      </c>
    </row>
    <row r="57" spans="3:10" x14ac:dyDescent="0.25">
      <c r="C57" s="88" t="s">
        <v>67</v>
      </c>
      <c r="D57" s="126">
        <v>6605.2622482591996</v>
      </c>
      <c r="E57" s="127">
        <v>8386.7221969999991</v>
      </c>
      <c r="F57" s="136">
        <f t="shared" si="0"/>
        <v>0.26970313695119352</v>
      </c>
      <c r="G57" s="124">
        <v>47513.845388341695</v>
      </c>
      <c r="H57" s="125">
        <v>78222.933108582889</v>
      </c>
      <c r="I57" s="136">
        <f t="shared" si="1"/>
        <v>0.64631871971735155</v>
      </c>
      <c r="J57" s="137">
        <f t="shared" si="5"/>
        <v>3.2042651898204988E-2</v>
      </c>
    </row>
    <row r="58" spans="3:10" x14ac:dyDescent="0.25">
      <c r="C58" s="89" t="s">
        <v>149</v>
      </c>
      <c r="D58" s="128">
        <v>131490.93725372991</v>
      </c>
      <c r="E58" s="129">
        <v>125730.17253299993</v>
      </c>
      <c r="F58" s="141">
        <f t="shared" si="0"/>
        <v>-4.3811116119841655E-2</v>
      </c>
      <c r="G58" s="128">
        <v>944471.73484973121</v>
      </c>
      <c r="H58" s="129">
        <v>913741.28519336134</v>
      </c>
      <c r="I58" s="138">
        <f t="shared" si="1"/>
        <v>-3.2537182980133528E-2</v>
      </c>
      <c r="J58" s="139">
        <f t="shared" si="5"/>
        <v>0.37429808322102881</v>
      </c>
    </row>
    <row r="59" spans="3:10" x14ac:dyDescent="0.25">
      <c r="C59" s="90" t="s">
        <v>68</v>
      </c>
      <c r="D59" s="130">
        <f>SUM(D60:D70)</f>
        <v>26645.153782941001</v>
      </c>
      <c r="E59" s="121">
        <f>SUM(E60:E70)</f>
        <v>27037.818757999994</v>
      </c>
      <c r="F59" s="131">
        <f t="shared" si="0"/>
        <v>1.4736825250015581E-2</v>
      </c>
      <c r="G59" s="130">
        <f>SUM(G60:G70)</f>
        <v>193565.00487697503</v>
      </c>
      <c r="H59" s="121">
        <f>SUM(H60:H70)</f>
        <v>205257.99812465935</v>
      </c>
      <c r="I59" s="131">
        <f t="shared" si="1"/>
        <v>6.0408611851693397E-2</v>
      </c>
      <c r="J59" s="132">
        <f>SUM(J60:J70)</f>
        <v>1.0000000000000002</v>
      </c>
    </row>
    <row r="60" spans="3:10" x14ac:dyDescent="0.25">
      <c r="C60" s="86" t="s">
        <v>56</v>
      </c>
      <c r="D60" s="125">
        <v>2702.0841153219999</v>
      </c>
      <c r="E60" s="125">
        <v>2389.702033</v>
      </c>
      <c r="F60" s="134">
        <f t="shared" si="0"/>
        <v>-0.11560783047080463</v>
      </c>
      <c r="G60" s="122">
        <v>17514.854680689998</v>
      </c>
      <c r="H60" s="123">
        <v>19183.528400865005</v>
      </c>
      <c r="I60" s="133">
        <f t="shared" si="1"/>
        <v>9.5271913504067399E-2</v>
      </c>
      <c r="J60" s="135">
        <f>(H60/$H$59)</f>
        <v>9.3460564636386412E-2</v>
      </c>
    </row>
    <row r="61" spans="3:10" x14ac:dyDescent="0.25">
      <c r="C61" s="87" t="s">
        <v>58</v>
      </c>
      <c r="D61" s="125">
        <v>2170.2100529999998</v>
      </c>
      <c r="E61" s="125">
        <v>2468.9836579999997</v>
      </c>
      <c r="F61" s="134">
        <f t="shared" si="0"/>
        <v>0.13767036263931631</v>
      </c>
      <c r="G61" s="124">
        <v>18306.919907</v>
      </c>
      <c r="H61" s="125">
        <v>18551.687687999998</v>
      </c>
      <c r="I61" s="136">
        <f t="shared" si="1"/>
        <v>1.3370232799587822E-2</v>
      </c>
      <c r="J61" s="137">
        <f t="shared" ref="J61:J70" si="6">(H61/$H$59)</f>
        <v>9.0382288911991626E-2</v>
      </c>
    </row>
    <row r="62" spans="3:10" x14ac:dyDescent="0.25">
      <c r="C62" s="87" t="s">
        <v>60</v>
      </c>
      <c r="D62" s="125">
        <v>1663.8190101690002</v>
      </c>
      <c r="E62" s="125">
        <v>1938.4496770000001</v>
      </c>
      <c r="F62" s="134">
        <f t="shared" si="0"/>
        <v>0.16506042132738022</v>
      </c>
      <c r="G62" s="124">
        <v>13074.513736827001</v>
      </c>
      <c r="H62" s="125">
        <v>16823.2995261</v>
      </c>
      <c r="I62" s="136">
        <f t="shared" si="1"/>
        <v>0.28672468167697807</v>
      </c>
      <c r="J62" s="137">
        <f t="shared" si="6"/>
        <v>8.196172465777779E-2</v>
      </c>
    </row>
    <row r="63" spans="3:10" x14ac:dyDescent="0.25">
      <c r="C63" s="87" t="s">
        <v>69</v>
      </c>
      <c r="D63" s="125">
        <v>1814.5240641999999</v>
      </c>
      <c r="E63" s="125">
        <v>1923.9362800000001</v>
      </c>
      <c r="F63" s="134">
        <f t="shared" si="0"/>
        <v>6.0298024125813213E-2</v>
      </c>
      <c r="G63" s="124">
        <v>13129.142844500002</v>
      </c>
      <c r="H63" s="125">
        <v>14695.090206299999</v>
      </c>
      <c r="I63" s="136">
        <f t="shared" si="1"/>
        <v>0.11927262734109079</v>
      </c>
      <c r="J63" s="137">
        <f t="shared" si="6"/>
        <v>7.1593264771954115E-2</v>
      </c>
    </row>
    <row r="64" spans="3:10" x14ac:dyDescent="0.25">
      <c r="C64" s="88" t="s">
        <v>65</v>
      </c>
      <c r="D64" s="127">
        <v>1728.2379740000001</v>
      </c>
      <c r="E64" s="127">
        <v>2040.9869429999999</v>
      </c>
      <c r="F64" s="134">
        <f t="shared" si="0"/>
        <v>0.18096406496389122</v>
      </c>
      <c r="G64" s="124">
        <v>14878.417431779999</v>
      </c>
      <c r="H64" s="125">
        <v>14017.251274399998</v>
      </c>
      <c r="I64" s="136">
        <f t="shared" si="1"/>
        <v>-5.7880225590429234E-2</v>
      </c>
      <c r="J64" s="137">
        <f t="shared" si="6"/>
        <v>6.8290889526686799E-2</v>
      </c>
    </row>
    <row r="65" spans="3:10" x14ac:dyDescent="0.25">
      <c r="C65" s="88" t="s">
        <v>71</v>
      </c>
      <c r="D65" s="127">
        <v>1520.0880120000002</v>
      </c>
      <c r="E65" s="127">
        <v>1373.4508930000002</v>
      </c>
      <c r="F65" s="134">
        <f t="shared" si="0"/>
        <v>-9.6466203168767556E-2</v>
      </c>
      <c r="G65" s="124">
        <v>12287.187273999998</v>
      </c>
      <c r="H65" s="125">
        <v>10923.927667</v>
      </c>
      <c r="I65" s="136">
        <f t="shared" si="1"/>
        <v>-0.11094968902156234</v>
      </c>
      <c r="J65" s="137">
        <f t="shared" si="6"/>
        <v>5.3220472609138328E-2</v>
      </c>
    </row>
    <row r="66" spans="3:10" x14ac:dyDescent="0.25">
      <c r="C66" s="88" t="s">
        <v>70</v>
      </c>
      <c r="D66" s="127">
        <v>1155.4844863999999</v>
      </c>
      <c r="E66" s="127">
        <v>1206.6350029999999</v>
      </c>
      <c r="F66" s="134">
        <f t="shared" si="0"/>
        <v>4.4267592686911168E-2</v>
      </c>
      <c r="G66" s="124">
        <v>9042.7458353000002</v>
      </c>
      <c r="H66" s="125">
        <v>10769.8464214</v>
      </c>
      <c r="I66" s="136">
        <f t="shared" si="1"/>
        <v>0.19099293705214501</v>
      </c>
      <c r="J66" s="137">
        <f t="shared" si="6"/>
        <v>5.2469801517108963E-2</v>
      </c>
    </row>
    <row r="67" spans="3:10" x14ac:dyDescent="0.25">
      <c r="C67" s="88" t="s">
        <v>66</v>
      </c>
      <c r="D67" s="127">
        <v>1181.64592576</v>
      </c>
      <c r="E67" s="127">
        <v>1168.233268</v>
      </c>
      <c r="F67" s="134">
        <f t="shared" si="0"/>
        <v>-1.1350826391901934E-2</v>
      </c>
      <c r="G67" s="124">
        <v>6412.6772260079997</v>
      </c>
      <c r="H67" s="125">
        <v>10404.185264085001</v>
      </c>
      <c r="I67" s="136">
        <f t="shared" si="1"/>
        <v>0.62244019110903903</v>
      </c>
      <c r="J67" s="137">
        <f t="shared" si="6"/>
        <v>5.0688330584644142E-2</v>
      </c>
    </row>
    <row r="68" spans="3:10" x14ac:dyDescent="0.25">
      <c r="C68" s="88" t="s">
        <v>62</v>
      </c>
      <c r="D68" s="127">
        <v>1897.3709964</v>
      </c>
      <c r="E68" s="127">
        <v>1337.1048489999998</v>
      </c>
      <c r="F68" s="134">
        <f t="shared" si="0"/>
        <v>-0.29528550213059435</v>
      </c>
      <c r="G68" s="124">
        <v>10295.500870399999</v>
      </c>
      <c r="H68" s="125">
        <v>9083.8656682000001</v>
      </c>
      <c r="I68" s="136">
        <f t="shared" si="1"/>
        <v>-0.11768589187180797</v>
      </c>
      <c r="J68" s="137">
        <f t="shared" si="6"/>
        <v>4.4255842652636102E-2</v>
      </c>
    </row>
    <row r="69" spans="3:10" x14ac:dyDescent="0.25">
      <c r="C69" s="88" t="s">
        <v>87</v>
      </c>
      <c r="D69" s="127">
        <v>1389.7317600000001</v>
      </c>
      <c r="E69" s="127">
        <v>1069.3669950000001</v>
      </c>
      <c r="F69" s="134">
        <f t="shared" si="0"/>
        <v>-0.23052273411381202</v>
      </c>
      <c r="G69" s="124">
        <v>8217.8162260000008</v>
      </c>
      <c r="H69" s="125">
        <v>8270.4274289999994</v>
      </c>
      <c r="I69" s="136">
        <f t="shared" si="1"/>
        <v>6.4020904767308146E-3</v>
      </c>
      <c r="J69" s="137">
        <f t="shared" si="6"/>
        <v>4.0292838790998632E-2</v>
      </c>
    </row>
    <row r="70" spans="3:10" x14ac:dyDescent="0.25">
      <c r="C70" s="89" t="s">
        <v>150</v>
      </c>
      <c r="D70" s="127">
        <v>9421.9573856900006</v>
      </c>
      <c r="E70" s="127">
        <v>10120.969158999998</v>
      </c>
      <c r="F70" s="140">
        <f t="shared" si="0"/>
        <v>7.4189655577476046E-2</v>
      </c>
      <c r="G70" s="128">
        <v>70405.22884447001</v>
      </c>
      <c r="H70" s="129">
        <v>72534.88857930938</v>
      </c>
      <c r="I70" s="138">
        <f t="shared" si="1"/>
        <v>3.0248601840978807E-2</v>
      </c>
      <c r="J70" s="139">
        <f t="shared" si="6"/>
        <v>0.35338398134067722</v>
      </c>
    </row>
    <row r="71" spans="3:10" x14ac:dyDescent="0.25">
      <c r="C71" s="90" t="s">
        <v>73</v>
      </c>
      <c r="D71" s="130">
        <f>SUM(D72:D73)</f>
        <v>1066912.938414</v>
      </c>
      <c r="E71" s="121">
        <f>SUM(E72:E73)</f>
        <v>1148061.4364120001</v>
      </c>
      <c r="F71" s="131">
        <f t="shared" si="0"/>
        <v>7.6059156353122825E-2</v>
      </c>
      <c r="G71" s="130">
        <f>SUM(G72:G73)</f>
        <v>8924225.7491059992</v>
      </c>
      <c r="H71" s="121">
        <f>SUM(H72:H73)</f>
        <v>7241037.3594589997</v>
      </c>
      <c r="I71" s="131">
        <f t="shared" si="1"/>
        <v>-0.18860889862805363</v>
      </c>
      <c r="J71" s="132">
        <f>SUM(J72:J73)</f>
        <v>1</v>
      </c>
    </row>
    <row r="72" spans="3:10" x14ac:dyDescent="0.25">
      <c r="C72" s="86" t="s">
        <v>74</v>
      </c>
      <c r="D72" s="122">
        <v>1048514.3835999999</v>
      </c>
      <c r="E72" s="123">
        <v>1125052.3026000001</v>
      </c>
      <c r="F72" s="133">
        <f t="shared" si="0"/>
        <v>7.2996537002394363E-2</v>
      </c>
      <c r="G72" s="122">
        <v>8790200.9568999987</v>
      </c>
      <c r="H72" s="123">
        <v>7087088.0517809996</v>
      </c>
      <c r="I72" s="133">
        <f t="shared" si="1"/>
        <v>-0.19375130483019451</v>
      </c>
      <c r="J72" s="135">
        <f>(H72/$H$71)</f>
        <v>0.97873932973472433</v>
      </c>
    </row>
    <row r="73" spans="3:10" x14ac:dyDescent="0.25">
      <c r="C73" s="91" t="s">
        <v>59</v>
      </c>
      <c r="D73" s="153">
        <v>18398.554813999999</v>
      </c>
      <c r="E73" s="154">
        <v>23009.133812</v>
      </c>
      <c r="F73" s="138">
        <f t="shared" si="0"/>
        <v>0.25059462792651932</v>
      </c>
      <c r="G73" s="155">
        <v>134024.79220600001</v>
      </c>
      <c r="H73" s="156">
        <v>153949.30767799998</v>
      </c>
      <c r="I73" s="138">
        <f t="shared" si="1"/>
        <v>0.14866290888461448</v>
      </c>
      <c r="J73" s="139">
        <f>(H73/$H$71)</f>
        <v>2.1260670265275637E-2</v>
      </c>
    </row>
    <row r="74" spans="3:10" x14ac:dyDescent="0.25">
      <c r="C74" s="90" t="s">
        <v>75</v>
      </c>
      <c r="D74" s="130">
        <f>D75</f>
        <v>2832.2348000000002</v>
      </c>
      <c r="E74" s="121">
        <f>E75</f>
        <v>2934.8496</v>
      </c>
      <c r="F74" s="131">
        <f t="shared" si="0"/>
        <v>3.6231035647185689E-2</v>
      </c>
      <c r="G74" s="130">
        <f>G75</f>
        <v>21977.208299999998</v>
      </c>
      <c r="H74" s="121">
        <f>H75</f>
        <v>22413.989740000001</v>
      </c>
      <c r="I74" s="131">
        <f t="shared" si="1"/>
        <v>1.9874291312969104E-2</v>
      </c>
      <c r="J74" s="132">
        <f>SUM(J75)</f>
        <v>1</v>
      </c>
    </row>
    <row r="75" spans="3:10" x14ac:dyDescent="0.25">
      <c r="C75" s="92" t="s">
        <v>76</v>
      </c>
      <c r="D75" s="127">
        <v>2832.2348000000002</v>
      </c>
      <c r="E75" s="127">
        <v>2934.8496</v>
      </c>
      <c r="F75" s="134">
        <f t="shared" ref="F75:F88" si="7">(E75-D75)/D75</f>
        <v>3.6231035647185689E-2</v>
      </c>
      <c r="G75" s="157">
        <v>21977.208299999998</v>
      </c>
      <c r="H75" s="158">
        <v>22413.989740000001</v>
      </c>
      <c r="I75" s="159">
        <f t="shared" ref="I75:I89" si="8">(H75-G75)/G75</f>
        <v>1.9874291312969104E-2</v>
      </c>
      <c r="J75" s="160">
        <f>(H75/$H$74)</f>
        <v>1</v>
      </c>
    </row>
    <row r="76" spans="3:10" x14ac:dyDescent="0.25">
      <c r="C76" s="90" t="s">
        <v>77</v>
      </c>
      <c r="D76" s="130">
        <f>SUM(D77:D81)</f>
        <v>3624.9767510500001</v>
      </c>
      <c r="E76" s="121">
        <f>SUM(E77:E81)</f>
        <v>2874.9100050000002</v>
      </c>
      <c r="F76" s="131">
        <f t="shared" si="7"/>
        <v>-0.20691629148593513</v>
      </c>
      <c r="G76" s="130">
        <f>SUM(G77:G81)</f>
        <v>27982.105903755004</v>
      </c>
      <c r="H76" s="121">
        <f>SUM(H77:H81)</f>
        <v>25669.100988976104</v>
      </c>
      <c r="I76" s="131">
        <f t="shared" si="8"/>
        <v>-8.2660144405661412E-2</v>
      </c>
      <c r="J76" s="132">
        <f>SUM(J77:J81)</f>
        <v>0.99999999999999989</v>
      </c>
    </row>
    <row r="77" spans="3:10" x14ac:dyDescent="0.25">
      <c r="C77" s="86" t="s">
        <v>35</v>
      </c>
      <c r="D77" s="122">
        <v>983.35562700000003</v>
      </c>
      <c r="E77" s="123">
        <v>1215.9221870000001</v>
      </c>
      <c r="F77" s="133">
        <f t="shared" si="7"/>
        <v>0.23650300421782208</v>
      </c>
      <c r="G77" s="122">
        <v>8940.5990967000016</v>
      </c>
      <c r="H77" s="123">
        <v>9665.9949145999999</v>
      </c>
      <c r="I77" s="133">
        <f t="shared" si="8"/>
        <v>8.113503469445843E-2</v>
      </c>
      <c r="J77" s="135">
        <f>(H77/$H$76)</f>
        <v>0.37656148997002953</v>
      </c>
    </row>
    <row r="78" spans="3:10" x14ac:dyDescent="0.25">
      <c r="C78" s="87" t="s">
        <v>78</v>
      </c>
      <c r="D78" s="124">
        <v>709.11690299999998</v>
      </c>
      <c r="E78" s="125">
        <v>957.70844899999997</v>
      </c>
      <c r="F78" s="136">
        <f t="shared" si="7"/>
        <v>0.35056497024440553</v>
      </c>
      <c r="G78" s="124">
        <v>5817.2472420000004</v>
      </c>
      <c r="H78" s="125">
        <v>6434.8807635000003</v>
      </c>
      <c r="I78" s="136">
        <f t="shared" si="8"/>
        <v>0.10617281607712005</v>
      </c>
      <c r="J78" s="137">
        <f t="shared" ref="J78:J81" si="9">(H78/$H$76)</f>
        <v>0.25068586415486599</v>
      </c>
    </row>
    <row r="79" spans="3:10" x14ac:dyDescent="0.25">
      <c r="C79" s="87" t="s">
        <v>38</v>
      </c>
      <c r="D79" s="124">
        <v>458.28952992000001</v>
      </c>
      <c r="E79" s="125">
        <v>358.17341499999998</v>
      </c>
      <c r="F79" s="136">
        <f t="shared" si="7"/>
        <v>-0.21845603790572415</v>
      </c>
      <c r="G79" s="161">
        <v>3856.7525770449997</v>
      </c>
      <c r="H79" s="162">
        <v>3096.0094002461001</v>
      </c>
      <c r="I79" s="136">
        <f t="shared" si="8"/>
        <v>-0.19724967096068488</v>
      </c>
      <c r="J79" s="137">
        <f t="shared" si="9"/>
        <v>0.12061230354642016</v>
      </c>
    </row>
    <row r="80" spans="3:10" x14ac:dyDescent="0.25">
      <c r="C80" s="88" t="s">
        <v>37</v>
      </c>
      <c r="D80" s="126">
        <v>932.9035824</v>
      </c>
      <c r="E80" s="125">
        <v>0</v>
      </c>
      <c r="F80" s="136" t="s">
        <v>46</v>
      </c>
      <c r="G80" s="161">
        <v>5528.7932020999997</v>
      </c>
      <c r="H80" s="162">
        <v>2486.2516989999999</v>
      </c>
      <c r="I80" s="136">
        <f t="shared" si="8"/>
        <v>-0.55030842932312107</v>
      </c>
      <c r="J80" s="137">
        <f t="shared" si="9"/>
        <v>9.6857762960524008E-2</v>
      </c>
    </row>
    <row r="81" spans="3:10" x14ac:dyDescent="0.25">
      <c r="C81" s="88" t="s">
        <v>126</v>
      </c>
      <c r="D81" s="163">
        <v>541.31110873</v>
      </c>
      <c r="E81" s="127">
        <v>343.10595400000005</v>
      </c>
      <c r="F81" s="136">
        <f t="shared" si="7"/>
        <v>-0.36615755991969212</v>
      </c>
      <c r="G81" s="124">
        <v>3838.7137859099994</v>
      </c>
      <c r="H81" s="125">
        <v>3985.9642116300001</v>
      </c>
      <c r="I81" s="136">
        <f t="shared" si="8"/>
        <v>3.8359313544157288E-2</v>
      </c>
      <c r="J81" s="137">
        <f t="shared" si="9"/>
        <v>0.15528257936816015</v>
      </c>
    </row>
    <row r="82" spans="3:10" x14ac:dyDescent="0.25">
      <c r="C82" s="90" t="s">
        <v>79</v>
      </c>
      <c r="D82" s="164">
        <f>SUM(D83:D90)</f>
        <v>3299.2486297</v>
      </c>
      <c r="E82" s="121">
        <f>SUM(E83:E90)</f>
        <v>2570.0481629999999</v>
      </c>
      <c r="F82" s="131">
        <f t="shared" si="7"/>
        <v>-0.2210201620258932</v>
      </c>
      <c r="G82" s="130">
        <f>SUM(G83:G90)</f>
        <v>20974.30421518</v>
      </c>
      <c r="H82" s="121">
        <f>SUM(H83:H90)</f>
        <v>18826.385867999998</v>
      </c>
      <c r="I82" s="131">
        <f t="shared" si="8"/>
        <v>-0.10240713232458325</v>
      </c>
      <c r="J82" s="132">
        <f>SUM(J83:J90)</f>
        <v>1.0000000000000002</v>
      </c>
    </row>
    <row r="83" spans="3:10" x14ac:dyDescent="0.25">
      <c r="C83" s="114" t="s">
        <v>42</v>
      </c>
      <c r="D83" s="165">
        <v>1688.93868</v>
      </c>
      <c r="E83" s="166">
        <v>1680.107</v>
      </c>
      <c r="F83" s="167">
        <f t="shared" si="7"/>
        <v>-5.2291300475159974E-3</v>
      </c>
      <c r="G83" s="182">
        <v>11639.4224046</v>
      </c>
      <c r="H83" s="183">
        <v>12236.162877500001</v>
      </c>
      <c r="I83" s="134">
        <f t="shared" si="8"/>
        <v>5.1268907696327262E-2</v>
      </c>
      <c r="J83" s="135">
        <f>(H83/$H$82)</f>
        <v>0.64994752382603205</v>
      </c>
    </row>
    <row r="84" spans="3:10" x14ac:dyDescent="0.25">
      <c r="C84" s="115" t="s">
        <v>39</v>
      </c>
      <c r="D84" s="168">
        <v>1476.7473</v>
      </c>
      <c r="E84" s="166">
        <v>752.91162599999996</v>
      </c>
      <c r="F84" s="134">
        <f t="shared" si="7"/>
        <v>-0.49015540708962191</v>
      </c>
      <c r="G84" s="184">
        <v>8329.7842359999995</v>
      </c>
      <c r="H84" s="183">
        <v>5228.2992540000005</v>
      </c>
      <c r="I84" s="134">
        <f t="shared" si="8"/>
        <v>-0.37233677297376749</v>
      </c>
      <c r="J84" s="137">
        <f t="shared" ref="J84:J89" si="10">(H84/$H$82)</f>
        <v>0.2777112553974983</v>
      </c>
    </row>
    <row r="85" spans="3:10" x14ac:dyDescent="0.25">
      <c r="C85" s="115" t="s">
        <v>72</v>
      </c>
      <c r="D85" s="168">
        <v>98.349620999999999</v>
      </c>
      <c r="E85" s="166">
        <v>74.442892999999998</v>
      </c>
      <c r="F85" s="134">
        <f t="shared" si="7"/>
        <v>-0.24307900484944422</v>
      </c>
      <c r="G85" s="184">
        <v>700.4686079999999</v>
      </c>
      <c r="H85" s="183">
        <v>876.93770400000005</v>
      </c>
      <c r="I85" s="134">
        <f t="shared" si="8"/>
        <v>0.25193005651439582</v>
      </c>
      <c r="J85" s="137">
        <f t="shared" si="10"/>
        <v>4.6580247008033981E-2</v>
      </c>
    </row>
    <row r="86" spans="3:10" x14ac:dyDescent="0.25">
      <c r="C86" s="115" t="s">
        <v>65</v>
      </c>
      <c r="D86" s="168">
        <v>32.437244700000001</v>
      </c>
      <c r="E86" s="166">
        <v>60.617533999999999</v>
      </c>
      <c r="F86" s="134">
        <f t="shared" si="7"/>
        <v>0.86876334783145126</v>
      </c>
      <c r="G86" s="184">
        <v>276.39033509999996</v>
      </c>
      <c r="H86" s="183">
        <v>459.05614349999996</v>
      </c>
      <c r="I86" s="134">
        <f t="shared" si="8"/>
        <v>0.660897959163117</v>
      </c>
      <c r="J86" s="137">
        <f t="shared" si="10"/>
        <v>2.4383657422016248E-2</v>
      </c>
    </row>
    <row r="87" spans="3:10" x14ac:dyDescent="0.25">
      <c r="C87" s="115" t="s">
        <v>80</v>
      </c>
      <c r="D87" s="241">
        <v>1.9827840000000001</v>
      </c>
      <c r="E87" s="169">
        <v>1.58928</v>
      </c>
      <c r="F87" s="134">
        <f t="shared" si="7"/>
        <v>-0.19846034666408446</v>
      </c>
      <c r="G87" s="184">
        <v>4.0247039999999998</v>
      </c>
      <c r="H87" s="183">
        <v>17.666573999999997</v>
      </c>
      <c r="I87" s="134">
        <f t="shared" si="8"/>
        <v>3.3895337396240812</v>
      </c>
      <c r="J87" s="137">
        <f t="shared" si="10"/>
        <v>9.383943431239566E-4</v>
      </c>
    </row>
    <row r="88" spans="3:10" x14ac:dyDescent="0.25">
      <c r="C88" s="115" t="s">
        <v>82</v>
      </c>
      <c r="D88" s="252">
        <v>0.79300000000000004</v>
      </c>
      <c r="E88" s="169">
        <v>0.37983</v>
      </c>
      <c r="F88" s="134">
        <f t="shared" si="7"/>
        <v>-0.52102143757881469</v>
      </c>
      <c r="G88" s="253">
        <v>6.2120600000000001</v>
      </c>
      <c r="H88" s="254">
        <v>5.5853300000000008</v>
      </c>
      <c r="I88" s="134">
        <f t="shared" si="8"/>
        <v>-0.10088923803054048</v>
      </c>
      <c r="J88" s="152">
        <f t="shared" si="10"/>
        <v>2.9667563594846006E-4</v>
      </c>
    </row>
    <row r="89" spans="3:10" x14ac:dyDescent="0.25">
      <c r="C89" s="115" t="s">
        <v>83</v>
      </c>
      <c r="D89" s="179">
        <v>0</v>
      </c>
      <c r="E89" s="180">
        <v>0</v>
      </c>
      <c r="F89" s="134" t="s">
        <v>46</v>
      </c>
      <c r="G89" s="184">
        <v>16.869692800000003</v>
      </c>
      <c r="H89" s="183">
        <v>2.6779850000000001</v>
      </c>
      <c r="I89" s="134">
        <f t="shared" si="8"/>
        <v>-0.84125466706779628</v>
      </c>
      <c r="J89" s="152">
        <f t="shared" si="10"/>
        <v>1.4224636734721795E-4</v>
      </c>
    </row>
    <row r="90" spans="3:10" x14ac:dyDescent="0.25">
      <c r="C90" s="116" t="s">
        <v>84</v>
      </c>
      <c r="D90" s="175">
        <v>0</v>
      </c>
      <c r="E90" s="180">
        <v>0</v>
      </c>
      <c r="F90" s="170" t="s">
        <v>46</v>
      </c>
      <c r="G90" s="185">
        <v>1.1321746800000001</v>
      </c>
      <c r="H90" s="183">
        <v>0</v>
      </c>
      <c r="I90" s="134" t="s">
        <v>46</v>
      </c>
      <c r="J90" s="139" t="s">
        <v>46</v>
      </c>
    </row>
    <row r="91" spans="3:10" x14ac:dyDescent="0.25">
      <c r="C91" s="90" t="s">
        <v>85</v>
      </c>
      <c r="D91" s="171">
        <f>SUM(D92:D97)</f>
        <v>21.985339</v>
      </c>
      <c r="E91" s="121">
        <f>SUM(E92:E97)</f>
        <v>24.831367</v>
      </c>
      <c r="F91" s="131">
        <f t="shared" ref="F91:F96" si="11">(E91-D91)/D91</f>
        <v>0.12945117653177876</v>
      </c>
      <c r="G91" s="130">
        <f>SUM(G92:G97)</f>
        <v>178.14434309999999</v>
      </c>
      <c r="H91" s="121">
        <f>SUM(H92:H97)</f>
        <v>175.32105380000002</v>
      </c>
      <c r="I91" s="131">
        <f t="shared" ref="I91:I96" si="12">(H91-G91)/G91</f>
        <v>-1.5848324178417153E-2</v>
      </c>
      <c r="J91" s="132">
        <f>SUM(J92:J97)</f>
        <v>1</v>
      </c>
    </row>
    <row r="92" spans="3:10" x14ac:dyDescent="0.25">
      <c r="C92" s="94" t="s">
        <v>58</v>
      </c>
      <c r="D92" s="168">
        <v>12.047131</v>
      </c>
      <c r="E92" s="172">
        <v>22.888157</v>
      </c>
      <c r="F92" s="173">
        <f t="shared" si="11"/>
        <v>0.899884462117993</v>
      </c>
      <c r="G92" s="165">
        <v>110.17597699999999</v>
      </c>
      <c r="H92" s="166">
        <v>132.30185700000001</v>
      </c>
      <c r="I92" s="173">
        <f t="shared" si="12"/>
        <v>0.20082308868475046</v>
      </c>
      <c r="J92" s="135">
        <f>(H92/$H$91)</f>
        <v>0.75462617941439725</v>
      </c>
    </row>
    <row r="93" spans="3:10" x14ac:dyDescent="0.25">
      <c r="C93" s="88" t="s">
        <v>86</v>
      </c>
      <c r="D93" s="168">
        <v>6.1152800000000003</v>
      </c>
      <c r="E93" s="166">
        <v>0</v>
      </c>
      <c r="F93" s="173" t="s">
        <v>46</v>
      </c>
      <c r="G93" s="168">
        <v>44.944556000000006</v>
      </c>
      <c r="H93" s="166">
        <v>28.6043448</v>
      </c>
      <c r="I93" s="173">
        <f t="shared" si="12"/>
        <v>-0.36356374729789309</v>
      </c>
      <c r="J93" s="137">
        <f t="shared" ref="J93:J96" si="13">(H93/$H$91)</f>
        <v>0.1631540775053224</v>
      </c>
    </row>
    <row r="94" spans="3:10" x14ac:dyDescent="0.25">
      <c r="C94" s="88" t="s">
        <v>87</v>
      </c>
      <c r="D94" s="168">
        <v>3.6799279999999999</v>
      </c>
      <c r="E94" s="166">
        <v>1.6354960000000001</v>
      </c>
      <c r="F94" s="173">
        <f t="shared" si="11"/>
        <v>-0.55556304362476649</v>
      </c>
      <c r="G94" s="168">
        <v>20.405955000000002</v>
      </c>
      <c r="H94" s="166">
        <v>11.051066</v>
      </c>
      <c r="I94" s="173">
        <f t="shared" si="12"/>
        <v>-0.45843916641000143</v>
      </c>
      <c r="J94" s="137">
        <f t="shared" si="13"/>
        <v>6.30333080966229E-2</v>
      </c>
    </row>
    <row r="95" spans="3:10" x14ac:dyDescent="0.25">
      <c r="C95" s="88" t="s">
        <v>72</v>
      </c>
      <c r="D95" s="179">
        <v>0</v>
      </c>
      <c r="E95" s="169">
        <v>0.245674</v>
      </c>
      <c r="F95" s="173" t="s">
        <v>81</v>
      </c>
      <c r="G95" s="168">
        <v>0.93070399999999998</v>
      </c>
      <c r="H95" s="166">
        <v>2.6566460000000003</v>
      </c>
      <c r="I95" s="173">
        <f t="shared" si="12"/>
        <v>1.8544478158469291</v>
      </c>
      <c r="J95" s="137">
        <f t="shared" si="13"/>
        <v>1.515303463228442E-2</v>
      </c>
    </row>
    <row r="96" spans="3:10" x14ac:dyDescent="0.25">
      <c r="C96" s="88" t="s">
        <v>82</v>
      </c>
      <c r="D96" s="242">
        <v>0.14299999999999999</v>
      </c>
      <c r="E96" s="174">
        <v>6.2039999999999998E-2</v>
      </c>
      <c r="F96" s="173">
        <f t="shared" si="11"/>
        <v>-0.56615384615384612</v>
      </c>
      <c r="G96" s="252">
        <v>1.0728</v>
      </c>
      <c r="H96" s="169">
        <v>0.7071400000000001</v>
      </c>
      <c r="I96" s="173">
        <f t="shared" si="12"/>
        <v>-0.34084638329604761</v>
      </c>
      <c r="J96" s="137">
        <f t="shared" si="13"/>
        <v>4.0334003513729736E-3</v>
      </c>
    </row>
    <row r="97" spans="3:10" x14ac:dyDescent="0.25">
      <c r="C97" s="93" t="s">
        <v>84</v>
      </c>
      <c r="D97" s="175">
        <v>0</v>
      </c>
      <c r="E97" s="180">
        <v>0</v>
      </c>
      <c r="F97" s="173" t="s">
        <v>46</v>
      </c>
      <c r="G97" s="255">
        <v>0.61435109999999993</v>
      </c>
      <c r="H97" s="180">
        <v>0</v>
      </c>
      <c r="I97" s="173" t="s">
        <v>46</v>
      </c>
      <c r="J97" s="139" t="s">
        <v>46</v>
      </c>
    </row>
    <row r="98" spans="3:10" x14ac:dyDescent="0.25">
      <c r="C98" s="90" t="s">
        <v>88</v>
      </c>
      <c r="D98" s="130">
        <f>SUM(D99:D101)</f>
        <v>25.638395999999997</v>
      </c>
      <c r="E98" s="121">
        <f>SUM(E99:E101)</f>
        <v>24.351747</v>
      </c>
      <c r="F98" s="131">
        <f t="shared" ref="F98:F101" si="14">(E98-D98)/D98</f>
        <v>-5.0184457717245542E-2</v>
      </c>
      <c r="G98" s="130">
        <f>SUM(G99:G101)</f>
        <v>204.36142399999997</v>
      </c>
      <c r="H98" s="121">
        <f>SUM(H99:H101)</f>
        <v>221.29911899999999</v>
      </c>
      <c r="I98" s="131">
        <f t="shared" ref="I98:I107" si="15">(H98-G98)/G98</f>
        <v>8.2881077399421632E-2</v>
      </c>
      <c r="J98" s="132">
        <f>SUM(J99:J101)</f>
        <v>1</v>
      </c>
    </row>
    <row r="99" spans="3:10" x14ac:dyDescent="0.25">
      <c r="C99" s="94" t="s">
        <v>71</v>
      </c>
      <c r="D99" s="165">
        <v>14.265314999999999</v>
      </c>
      <c r="E99" s="172">
        <v>15.144987</v>
      </c>
      <c r="F99" s="133">
        <f t="shared" si="14"/>
        <v>6.1665094671936871E-2</v>
      </c>
      <c r="G99" s="122">
        <v>121.38157399999999</v>
      </c>
      <c r="H99" s="123">
        <v>125.496005</v>
      </c>
      <c r="I99" s="133">
        <f t="shared" si="15"/>
        <v>3.3896668698661057E-2</v>
      </c>
      <c r="J99" s="135">
        <f>(H99/$H$98)</f>
        <v>0.56708768461025827</v>
      </c>
    </row>
    <row r="100" spans="3:10" x14ac:dyDescent="0.25">
      <c r="C100" s="88" t="s">
        <v>72</v>
      </c>
      <c r="D100" s="168">
        <v>7.0101300000000002</v>
      </c>
      <c r="E100" s="166">
        <v>4.9088399999999996</v>
      </c>
      <c r="F100" s="136">
        <f t="shared" si="14"/>
        <v>-0.29975050391362223</v>
      </c>
      <c r="G100" s="124">
        <v>51.171509999999998</v>
      </c>
      <c r="H100" s="125">
        <v>56.821799999999996</v>
      </c>
      <c r="I100" s="136">
        <f t="shared" si="15"/>
        <v>0.11041866851300652</v>
      </c>
      <c r="J100" s="137">
        <f t="shared" ref="J100:J101" si="16">(H100/$H$98)</f>
        <v>0.25676469141298297</v>
      </c>
    </row>
    <row r="101" spans="3:10" x14ac:dyDescent="0.25">
      <c r="C101" s="93" t="s">
        <v>86</v>
      </c>
      <c r="D101" s="255">
        <v>4.3629509999999998</v>
      </c>
      <c r="E101" s="256">
        <v>4.2979200000000004</v>
      </c>
      <c r="F101" s="138">
        <f t="shared" si="14"/>
        <v>-1.4905278560313741E-2</v>
      </c>
      <c r="G101" s="153">
        <v>31.808339999999994</v>
      </c>
      <c r="H101" s="154">
        <v>38.981313999999998</v>
      </c>
      <c r="I101" s="138">
        <f t="shared" si="15"/>
        <v>0.22550607796571606</v>
      </c>
      <c r="J101" s="139">
        <f t="shared" si="16"/>
        <v>0.17614762397675879</v>
      </c>
    </row>
    <row r="102" spans="3:10" x14ac:dyDescent="0.25">
      <c r="C102" s="90" t="s">
        <v>89</v>
      </c>
      <c r="D102" s="130">
        <f>SUM(D103:D106)</f>
        <v>1999.3391766</v>
      </c>
      <c r="E102" s="121">
        <f>SUM(E103:E106)</f>
        <v>3892.8888760000004</v>
      </c>
      <c r="F102" s="131">
        <f t="shared" ref="F102:F108" si="17">(E102-D102)/D102</f>
        <v>0.94708777858297111</v>
      </c>
      <c r="G102" s="130">
        <f>SUM(G103:G106)</f>
        <v>10231.8409871</v>
      </c>
      <c r="H102" s="121">
        <f>SUM(H103:H106)</f>
        <v>24750.474217799998</v>
      </c>
      <c r="I102" s="131">
        <f t="shared" si="15"/>
        <v>1.4189658780863246</v>
      </c>
      <c r="J102" s="132">
        <f>SUM(J103:J106)</f>
        <v>1.0000000000000002</v>
      </c>
    </row>
    <row r="103" spans="3:10" x14ac:dyDescent="0.25">
      <c r="C103" s="94" t="s">
        <v>65</v>
      </c>
      <c r="D103" s="142">
        <v>1907.3253276</v>
      </c>
      <c r="E103" s="143">
        <v>3808.8454650000003</v>
      </c>
      <c r="F103" s="133">
        <f t="shared" si="17"/>
        <v>0.99695637125140868</v>
      </c>
      <c r="G103" s="122">
        <v>9489.5463321000007</v>
      </c>
      <c r="H103" s="123">
        <v>24043.092704800001</v>
      </c>
      <c r="I103" s="133">
        <f t="shared" si="15"/>
        <v>1.5336398457184577</v>
      </c>
      <c r="J103" s="135">
        <f>(H103/$H$102)</f>
        <v>0.97141947637951664</v>
      </c>
    </row>
    <row r="104" spans="3:10" x14ac:dyDescent="0.25">
      <c r="C104" s="88" t="s">
        <v>71</v>
      </c>
      <c r="D104" s="126">
        <v>77.732134000000002</v>
      </c>
      <c r="E104" s="127">
        <v>74.836651000000003</v>
      </c>
      <c r="F104" s="136">
        <f t="shared" si="17"/>
        <v>-3.7249498386343012E-2</v>
      </c>
      <c r="G104" s="124">
        <v>634.21386000000007</v>
      </c>
      <c r="H104" s="125">
        <v>617.72745099999997</v>
      </c>
      <c r="I104" s="136">
        <f t="shared" si="15"/>
        <v>-2.5995031076741358E-2</v>
      </c>
      <c r="J104" s="137">
        <f t="shared" ref="J104:J106" si="18">(H104/$H$102)</f>
        <v>2.4958206681783252E-2</v>
      </c>
    </row>
    <row r="105" spans="3:10" x14ac:dyDescent="0.25">
      <c r="C105" s="88" t="s">
        <v>72</v>
      </c>
      <c r="D105" s="126">
        <v>7.0101300000000002</v>
      </c>
      <c r="E105" s="127">
        <v>4.9088399999999996</v>
      </c>
      <c r="F105" s="136">
        <f t="shared" si="17"/>
        <v>-0.29975050391362223</v>
      </c>
      <c r="G105" s="124">
        <v>55.066895000000002</v>
      </c>
      <c r="H105" s="125">
        <v>58.242536999999999</v>
      </c>
      <c r="I105" s="136">
        <f t="shared" si="15"/>
        <v>5.7668804460465697E-2</v>
      </c>
      <c r="J105" s="137">
        <f t="shared" si="18"/>
        <v>2.3531887303441341E-3</v>
      </c>
    </row>
    <row r="106" spans="3:10" x14ac:dyDescent="0.25">
      <c r="C106" s="93" t="s">
        <v>86</v>
      </c>
      <c r="D106" s="128">
        <v>7.271585</v>
      </c>
      <c r="E106" s="129">
        <v>4.2979200000000004</v>
      </c>
      <c r="F106" s="138">
        <f t="shared" si="17"/>
        <v>-0.40894316713618828</v>
      </c>
      <c r="G106" s="153">
        <v>53.0139</v>
      </c>
      <c r="H106" s="154">
        <v>31.411525000000001</v>
      </c>
      <c r="I106" s="138">
        <f t="shared" si="15"/>
        <v>-0.40748511239505109</v>
      </c>
      <c r="J106" s="139">
        <f t="shared" si="18"/>
        <v>1.2691282083560856E-3</v>
      </c>
    </row>
    <row r="107" spans="3:10" x14ac:dyDescent="0.25">
      <c r="C107" s="95" t="s">
        <v>90</v>
      </c>
      <c r="D107" s="130">
        <f>SUM(D108:D109)</f>
        <v>3.9266559000000001</v>
      </c>
      <c r="E107" s="121">
        <f>SUM(E108:E109)</f>
        <v>7.7741199999999999</v>
      </c>
      <c r="F107" s="131">
        <f t="shared" si="17"/>
        <v>0.97983225369964289</v>
      </c>
      <c r="G107" s="257">
        <f>SUM(G108:G109)</f>
        <v>28.847666800000002</v>
      </c>
      <c r="H107" s="258">
        <f>SUM(H108:H109)</f>
        <v>29.110292000000001</v>
      </c>
      <c r="I107" s="131">
        <f t="shared" si="15"/>
        <v>9.1038627775608758E-3</v>
      </c>
      <c r="J107" s="132">
        <f>SUM(J108:J109)</f>
        <v>1</v>
      </c>
    </row>
    <row r="108" spans="3:10" x14ac:dyDescent="0.25">
      <c r="C108" s="88" t="s">
        <v>86</v>
      </c>
      <c r="D108" s="142">
        <v>3.9266559000000001</v>
      </c>
      <c r="E108" s="143">
        <v>2.8652799999999998</v>
      </c>
      <c r="F108" s="133">
        <f t="shared" si="17"/>
        <v>-0.27030020634097329</v>
      </c>
      <c r="G108" s="122">
        <v>28.847666800000002</v>
      </c>
      <c r="H108" s="123">
        <v>24.201452</v>
      </c>
      <c r="I108" s="133">
        <f>(H108-G108)/G108</f>
        <v>-0.16106033226922886</v>
      </c>
      <c r="J108" s="135">
        <f>H108/H107</f>
        <v>0.83137098040789148</v>
      </c>
    </row>
    <row r="109" spans="3:10" x14ac:dyDescent="0.25">
      <c r="C109" s="88" t="s">
        <v>72</v>
      </c>
      <c r="D109" s="128">
        <v>0</v>
      </c>
      <c r="E109" s="129">
        <v>4.9088399999999996</v>
      </c>
      <c r="F109" s="138" t="s">
        <v>46</v>
      </c>
      <c r="G109" s="153">
        <v>0</v>
      </c>
      <c r="H109" s="154">
        <v>4.9088399999999996</v>
      </c>
      <c r="I109" s="138" t="s">
        <v>81</v>
      </c>
      <c r="J109" s="139">
        <f>H109/H107</f>
        <v>0.16862901959210849</v>
      </c>
    </row>
    <row r="110" spans="3:10" ht="98.25" customHeight="1" x14ac:dyDescent="0.25">
      <c r="C110" s="280" t="s">
        <v>132</v>
      </c>
      <c r="D110" s="281"/>
      <c r="E110" s="281"/>
      <c r="F110" s="281"/>
      <c r="G110" s="281"/>
      <c r="H110" s="281"/>
      <c r="I110" s="281"/>
      <c r="J110" s="282"/>
    </row>
  </sheetData>
  <mergeCells count="5">
    <mergeCell ref="C3:J3"/>
    <mergeCell ref="B4:K4"/>
    <mergeCell ref="D8:F8"/>
    <mergeCell ref="G8:J8"/>
    <mergeCell ref="C110:J110"/>
  </mergeCells>
  <printOptions horizontalCentered="1" verticalCentered="1"/>
  <pageMargins left="0" right="0" top="0" bottom="0" header="0.31496062992125984" footer="0.31496062992125984"/>
  <pageSetup paperSize="9" scale="47" orientation="portrait" r:id="rId1"/>
  <ignoredErrors>
    <ignoredError sqref="F11 I11:I68 F23:F79 F81:F86 I70:I107 F96:F106 F88:F92 F94"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3CBB-DC25-4836-85C0-23E6B5DB39FA}">
  <sheetPr>
    <tabColor rgb="FFC00000"/>
  </sheetPr>
  <dimension ref="C1:S125"/>
  <sheetViews>
    <sheetView showGridLines="0" view="pageBreakPreview" topLeftCell="B97" zoomScaleNormal="100" zoomScaleSheetLayoutView="100" zoomScalePageLayoutView="70" workbookViewId="0">
      <selection activeCell="J1" sqref="J1"/>
    </sheetView>
  </sheetViews>
  <sheetFormatPr baseColWidth="10" defaultColWidth="11.42578125" defaultRowHeight="15" x14ac:dyDescent="0.25"/>
  <cols>
    <col min="1" max="2" width="3.28515625" style="72" customWidth="1"/>
    <col min="3" max="3" width="48.85546875" style="72" customWidth="1"/>
    <col min="4" max="4" width="11.140625" style="72" customWidth="1"/>
    <col min="5" max="5" width="10.85546875" style="72" customWidth="1"/>
    <col min="6" max="6" width="11.140625" style="112" customWidth="1"/>
    <col min="7" max="7" width="12.42578125" style="75" customWidth="1"/>
    <col min="8" max="8" width="11.7109375" style="72" customWidth="1"/>
    <col min="9" max="9" width="9.7109375" style="75" customWidth="1"/>
    <col min="10" max="10" width="9.85546875" style="75" customWidth="1"/>
    <col min="11" max="11" width="3.28515625" style="72" customWidth="1"/>
    <col min="12" max="12" width="15.42578125" style="72" customWidth="1"/>
    <col min="13" max="16384" width="11.42578125" style="72"/>
  </cols>
  <sheetData>
    <row r="1" spans="3:19" ht="10.5" customHeight="1" x14ac:dyDescent="0.25">
      <c r="F1" s="75"/>
      <c r="H1" s="74"/>
    </row>
    <row r="2" spans="3:19" ht="10.5" customHeight="1" x14ac:dyDescent="0.25">
      <c r="F2" s="75"/>
      <c r="H2" s="74"/>
    </row>
    <row r="3" spans="3:19" ht="15.75" x14ac:dyDescent="0.25">
      <c r="C3" s="266" t="s">
        <v>0</v>
      </c>
      <c r="D3" s="266"/>
      <c r="E3" s="266"/>
      <c r="F3" s="266"/>
      <c r="G3" s="266"/>
      <c r="H3" s="266"/>
      <c r="I3" s="266"/>
      <c r="J3" s="266"/>
      <c r="K3" s="1"/>
      <c r="L3" s="1"/>
      <c r="M3" s="4"/>
      <c r="N3" s="4"/>
      <c r="O3" s="4"/>
      <c r="P3" s="4"/>
      <c r="Q3" s="4"/>
      <c r="R3" s="4"/>
      <c r="S3" s="4"/>
    </row>
    <row r="4" spans="3:19" ht="15.75" x14ac:dyDescent="0.25">
      <c r="C4" s="267" t="s">
        <v>1</v>
      </c>
      <c r="D4" s="267"/>
      <c r="E4" s="267"/>
      <c r="F4" s="267"/>
      <c r="G4" s="267"/>
      <c r="H4" s="267"/>
      <c r="I4" s="267"/>
      <c r="J4" s="267"/>
      <c r="K4" s="96"/>
      <c r="L4" s="1"/>
      <c r="M4" s="4"/>
      <c r="N4" s="4"/>
      <c r="O4" s="4"/>
      <c r="P4" s="4"/>
      <c r="Q4" s="4"/>
      <c r="R4" s="4"/>
      <c r="S4" s="4"/>
    </row>
    <row r="5" spans="3:19" ht="9" customHeight="1" x14ac:dyDescent="0.25">
      <c r="E5" s="4"/>
      <c r="F5" s="3"/>
      <c r="G5" s="3"/>
      <c r="H5" s="4"/>
      <c r="I5" s="3"/>
      <c r="J5" s="3"/>
      <c r="K5" s="4"/>
      <c r="L5" s="4"/>
      <c r="M5" s="4"/>
      <c r="N5" s="4"/>
      <c r="O5" s="4"/>
      <c r="P5" s="4"/>
      <c r="Q5" s="4"/>
      <c r="R5" s="4"/>
      <c r="S5" s="4"/>
    </row>
    <row r="6" spans="3:19" ht="15.75" customHeight="1" x14ac:dyDescent="0.25">
      <c r="C6" s="97" t="s">
        <v>91</v>
      </c>
      <c r="D6" s="64"/>
      <c r="E6" s="64"/>
      <c r="F6" s="98"/>
    </row>
    <row r="7" spans="3:19" x14ac:dyDescent="0.25">
      <c r="C7" s="99" t="s">
        <v>92</v>
      </c>
      <c r="D7" s="100"/>
      <c r="E7" s="100"/>
      <c r="F7" s="98"/>
    </row>
    <row r="8" spans="3:19" ht="26.25" customHeight="1" x14ac:dyDescent="0.25">
      <c r="C8" s="101"/>
      <c r="D8" s="283" t="s">
        <v>144</v>
      </c>
      <c r="E8" s="284"/>
      <c r="F8" s="284"/>
      <c r="G8" s="277" t="s">
        <v>145</v>
      </c>
      <c r="H8" s="278"/>
      <c r="I8" s="278"/>
      <c r="J8" s="279"/>
    </row>
    <row r="9" spans="3:19" ht="24" x14ac:dyDescent="0.25">
      <c r="C9" s="102" t="s">
        <v>93</v>
      </c>
      <c r="D9" s="120">
        <v>2024</v>
      </c>
      <c r="E9" s="119">
        <v>2025</v>
      </c>
      <c r="F9" s="131" t="s">
        <v>26</v>
      </c>
      <c r="G9" s="119">
        <v>2024</v>
      </c>
      <c r="H9" s="119">
        <v>2025</v>
      </c>
      <c r="I9" s="210" t="s">
        <v>26</v>
      </c>
      <c r="J9" s="177" t="s">
        <v>33</v>
      </c>
    </row>
    <row r="10" spans="3:19" s="84" customFormat="1" ht="4.5" customHeight="1" x14ac:dyDescent="0.25">
      <c r="D10" s="117"/>
      <c r="E10" s="117"/>
      <c r="F10" s="178"/>
      <c r="G10" s="178"/>
      <c r="H10" s="117"/>
      <c r="I10" s="178"/>
      <c r="J10" s="178"/>
    </row>
    <row r="11" spans="3:19" x14ac:dyDescent="0.25">
      <c r="C11" s="103" t="s">
        <v>94</v>
      </c>
      <c r="D11" s="186">
        <f>+SUM(D12:D26)</f>
        <v>246671.20287211897</v>
      </c>
      <c r="E11" s="186">
        <f>+SUM(E12:E26)</f>
        <v>242739.65998500001</v>
      </c>
      <c r="F11" s="211">
        <f>(E11-D11)/D11</f>
        <v>-1.5938394272789043E-2</v>
      </c>
      <c r="G11" s="190">
        <f>+SUM(G12:G26)</f>
        <v>1761203.1762706642</v>
      </c>
      <c r="H11" s="186">
        <f>+SUM(H12:H26)</f>
        <v>1807405.8757616121</v>
      </c>
      <c r="I11" s="214">
        <f>(H11-G11)/G11</f>
        <v>2.6233599912522179E-2</v>
      </c>
      <c r="J11" s="214">
        <f>SUM(J12:J26)</f>
        <v>0.99999999999999989</v>
      </c>
    </row>
    <row r="12" spans="3:19" x14ac:dyDescent="0.25">
      <c r="C12" s="104" t="s">
        <v>95</v>
      </c>
      <c r="D12" s="187">
        <v>37502.545092779998</v>
      </c>
      <c r="E12" s="187">
        <v>42436.638175</v>
      </c>
      <c r="F12" s="212">
        <f t="shared" ref="F12:F78" si="0">+E12/D12-1</f>
        <v>0.13156688619434309</v>
      </c>
      <c r="G12" s="196">
        <v>306275.62187138025</v>
      </c>
      <c r="H12" s="187">
        <v>324551.65974934667</v>
      </c>
      <c r="I12" s="216">
        <f t="shared" ref="I12:I79" si="1">+H12/G12-1</f>
        <v>5.9671866034579191E-2</v>
      </c>
      <c r="J12" s="216">
        <f t="shared" ref="J12:J26" si="2">(H12/$H$11)</f>
        <v>0.17956766883508429</v>
      </c>
    </row>
    <row r="13" spans="3:19" x14ac:dyDescent="0.25">
      <c r="C13" s="104" t="s">
        <v>96</v>
      </c>
      <c r="D13" s="187">
        <v>32951.533148000002</v>
      </c>
      <c r="E13" s="187">
        <v>30365.966475000001</v>
      </c>
      <c r="F13" s="212">
        <f t="shared" si="0"/>
        <v>-7.8465747295795585E-2</v>
      </c>
      <c r="G13" s="196">
        <v>183375.67385999998</v>
      </c>
      <c r="H13" s="187">
        <v>278883.91931500001</v>
      </c>
      <c r="I13" s="216">
        <f t="shared" si="1"/>
        <v>0.52083378042780515</v>
      </c>
      <c r="J13" s="216">
        <f t="shared" si="2"/>
        <v>0.15430065988774258</v>
      </c>
    </row>
    <row r="14" spans="3:19" x14ac:dyDescent="0.25">
      <c r="C14" s="104" t="s">
        <v>97</v>
      </c>
      <c r="D14" s="187">
        <v>40887.194878889997</v>
      </c>
      <c r="E14" s="187">
        <v>37073.120624999996</v>
      </c>
      <c r="F14" s="212">
        <f t="shared" si="0"/>
        <v>-9.3282854575558183E-2</v>
      </c>
      <c r="G14" s="196">
        <v>306311.60355889</v>
      </c>
      <c r="H14" s="187">
        <v>272605.88754571002</v>
      </c>
      <c r="I14" s="216">
        <f t="shared" si="1"/>
        <v>-0.11003734635439588</v>
      </c>
      <c r="J14" s="216">
        <f t="shared" si="2"/>
        <v>0.15082715576037301</v>
      </c>
    </row>
    <row r="15" spans="3:19" x14ac:dyDescent="0.25">
      <c r="C15" s="105" t="s">
        <v>98</v>
      </c>
      <c r="D15" s="188">
        <v>43769.022985840005</v>
      </c>
      <c r="E15" s="188">
        <v>37980.213434999991</v>
      </c>
      <c r="F15" s="212">
        <f t="shared" si="0"/>
        <v>-0.13225813956854349</v>
      </c>
      <c r="G15" s="196">
        <v>309386.75973931997</v>
      </c>
      <c r="H15" s="187">
        <v>236365.75036470997</v>
      </c>
      <c r="I15" s="216">
        <f t="shared" si="1"/>
        <v>-0.23601853368300352</v>
      </c>
      <c r="J15" s="216">
        <f t="shared" si="2"/>
        <v>0.13077624319723383</v>
      </c>
    </row>
    <row r="16" spans="3:19" x14ac:dyDescent="0.25">
      <c r="C16" s="106" t="s">
        <v>100</v>
      </c>
      <c r="D16" s="188">
        <v>20477.074576854</v>
      </c>
      <c r="E16" s="188">
        <v>22359.044447999997</v>
      </c>
      <c r="F16" s="212">
        <f t="shared" si="0"/>
        <v>9.1906188263496169E-2</v>
      </c>
      <c r="G16" s="196">
        <v>121807.321808384</v>
      </c>
      <c r="H16" s="187">
        <v>166044.70360564301</v>
      </c>
      <c r="I16" s="216">
        <f t="shared" si="1"/>
        <v>0.36317506321047888</v>
      </c>
      <c r="J16" s="216">
        <f t="shared" si="2"/>
        <v>9.186907369971585E-2</v>
      </c>
    </row>
    <row r="17" spans="3:10" x14ac:dyDescent="0.25">
      <c r="C17" s="106" t="s">
        <v>99</v>
      </c>
      <c r="D17" s="188">
        <v>22296.435611935998</v>
      </c>
      <c r="E17" s="188">
        <v>19035.561839999998</v>
      </c>
      <c r="F17" s="212">
        <f t="shared" si="0"/>
        <v>-0.14625089986088846</v>
      </c>
      <c r="G17" s="196">
        <v>168432.32752042302</v>
      </c>
      <c r="H17" s="187">
        <v>164370.91681822803</v>
      </c>
      <c r="I17" s="216">
        <f t="shared" si="1"/>
        <v>-2.411301180708636E-2</v>
      </c>
      <c r="J17" s="216">
        <f t="shared" si="2"/>
        <v>9.0943002356327268E-2</v>
      </c>
    </row>
    <row r="18" spans="3:10" x14ac:dyDescent="0.25">
      <c r="C18" s="106" t="s">
        <v>102</v>
      </c>
      <c r="D18" s="188">
        <v>20902.22741584</v>
      </c>
      <c r="E18" s="188">
        <v>22864.848853</v>
      </c>
      <c r="F18" s="212">
        <f t="shared" si="0"/>
        <v>9.3895325034723198E-2</v>
      </c>
      <c r="G18" s="196">
        <v>150633.58690838001</v>
      </c>
      <c r="H18" s="187">
        <v>131458.85729155</v>
      </c>
      <c r="I18" s="216">
        <f t="shared" si="1"/>
        <v>-0.12729385265513637</v>
      </c>
      <c r="J18" s="216">
        <f t="shared" si="2"/>
        <v>7.2733445793494125E-2</v>
      </c>
    </row>
    <row r="19" spans="3:10" x14ac:dyDescent="0.25">
      <c r="C19" s="106" t="s">
        <v>101</v>
      </c>
      <c r="D19" s="188">
        <v>14482.42870072</v>
      </c>
      <c r="E19" s="188">
        <v>17059.122829</v>
      </c>
      <c r="F19" s="212">
        <f t="shared" si="0"/>
        <v>0.17791864759202292</v>
      </c>
      <c r="G19" s="196">
        <v>112594.14178236999</v>
      </c>
      <c r="H19" s="187">
        <v>129835.16551971011</v>
      </c>
      <c r="I19" s="216">
        <f t="shared" si="1"/>
        <v>0.15312540656568796</v>
      </c>
      <c r="J19" s="216">
        <f t="shared" si="2"/>
        <v>7.1835090978112276E-2</v>
      </c>
    </row>
    <row r="20" spans="3:10" x14ac:dyDescent="0.25">
      <c r="C20" s="106" t="s">
        <v>103</v>
      </c>
      <c r="D20" s="188">
        <v>5713.1920389890001</v>
      </c>
      <c r="E20" s="188">
        <v>5774.8386319999981</v>
      </c>
      <c r="F20" s="212">
        <f t="shared" si="0"/>
        <v>1.0790218951209463E-2</v>
      </c>
      <c r="G20" s="196">
        <v>44610.785400383</v>
      </c>
      <c r="H20" s="187">
        <v>40549.420086434999</v>
      </c>
      <c r="I20" s="216">
        <f t="shared" si="1"/>
        <v>-9.1039986799092198E-2</v>
      </c>
      <c r="J20" s="216">
        <f t="shared" si="2"/>
        <v>2.2435148978005904E-2</v>
      </c>
    </row>
    <row r="21" spans="3:10" x14ac:dyDescent="0.25">
      <c r="C21" s="106" t="s">
        <v>104</v>
      </c>
      <c r="D21" s="188">
        <v>4017.0296402200001</v>
      </c>
      <c r="E21" s="188">
        <v>4007.6283800000006</v>
      </c>
      <c r="F21" s="212">
        <f t="shared" si="0"/>
        <v>-2.3403512201828347E-3</v>
      </c>
      <c r="G21" s="196">
        <v>30439.264320670001</v>
      </c>
      <c r="H21" s="187">
        <v>31761.048617304004</v>
      </c>
      <c r="I21" s="216">
        <f t="shared" si="1"/>
        <v>4.3423661055317808E-2</v>
      </c>
      <c r="J21" s="216">
        <f t="shared" si="2"/>
        <v>1.7572726216749962E-2</v>
      </c>
    </row>
    <row r="22" spans="3:10" x14ac:dyDescent="0.25">
      <c r="C22" s="106" t="s">
        <v>105</v>
      </c>
      <c r="D22" s="188">
        <v>2029.4991889999999</v>
      </c>
      <c r="E22" s="188">
        <v>1910.65203</v>
      </c>
      <c r="F22" s="212">
        <f t="shared" si="0"/>
        <v>-5.8559845524530529E-2</v>
      </c>
      <c r="G22" s="196">
        <v>14147.404027999999</v>
      </c>
      <c r="H22" s="187">
        <v>16586.042085000001</v>
      </c>
      <c r="I22" s="216">
        <f t="shared" si="1"/>
        <v>0.17237353596274918</v>
      </c>
      <c r="J22" s="216">
        <f t="shared" si="2"/>
        <v>9.1767113891952495E-3</v>
      </c>
    </row>
    <row r="23" spans="3:10" x14ac:dyDescent="0.25">
      <c r="C23" s="106" t="s">
        <v>106</v>
      </c>
      <c r="D23" s="188">
        <v>1386.9450556000002</v>
      </c>
      <c r="E23" s="188">
        <v>1578.1834800000001</v>
      </c>
      <c r="F23" s="212">
        <f t="shared" si="0"/>
        <v>0.13788464339509776</v>
      </c>
      <c r="G23" s="196">
        <v>10851.275254683998</v>
      </c>
      <c r="H23" s="187">
        <v>12112.651941885</v>
      </c>
      <c r="I23" s="216">
        <f t="shared" si="1"/>
        <v>0.11624225333852101</v>
      </c>
      <c r="J23" s="216">
        <f t="shared" si="2"/>
        <v>6.7016778601435723E-3</v>
      </c>
    </row>
    <row r="24" spans="3:10" x14ac:dyDescent="0.25">
      <c r="C24" s="106" t="s">
        <v>107</v>
      </c>
      <c r="D24" s="188">
        <v>219.34568159999998</v>
      </c>
      <c r="E24" s="188">
        <v>194.88461699999999</v>
      </c>
      <c r="F24" s="212">
        <f t="shared" si="0"/>
        <v>-0.1115183322578801</v>
      </c>
      <c r="G24" s="196">
        <v>1430.5429685000001</v>
      </c>
      <c r="H24" s="187">
        <v>1236.5427135</v>
      </c>
      <c r="I24" s="216">
        <f t="shared" si="1"/>
        <v>-0.13561302195866209</v>
      </c>
      <c r="J24" s="216">
        <f t="shared" si="2"/>
        <v>6.8415331059988973E-4</v>
      </c>
    </row>
    <row r="25" spans="3:10" x14ac:dyDescent="0.25">
      <c r="C25" s="106" t="s">
        <v>108</v>
      </c>
      <c r="D25" s="188">
        <v>0</v>
      </c>
      <c r="E25" s="188">
        <v>48.008470000000003</v>
      </c>
      <c r="F25" s="212" t="s">
        <v>81</v>
      </c>
      <c r="G25" s="196">
        <v>630.25488529999996</v>
      </c>
      <c r="H25" s="187">
        <v>749.53787729999999</v>
      </c>
      <c r="I25" s="216">
        <f t="shared" si="1"/>
        <v>0.18926151114754397</v>
      </c>
      <c r="J25" s="222">
        <f t="shared" si="2"/>
        <v>4.1470368518313944E-4</v>
      </c>
    </row>
    <row r="26" spans="3:10" x14ac:dyDescent="0.25">
      <c r="C26" s="89" t="s">
        <v>109</v>
      </c>
      <c r="D26" s="189">
        <v>36.728855850000002</v>
      </c>
      <c r="E26" s="189">
        <v>50.947696000000001</v>
      </c>
      <c r="F26" s="213">
        <f t="shared" si="0"/>
        <v>0.38712995057808208</v>
      </c>
      <c r="G26" s="203">
        <v>276.61236398</v>
      </c>
      <c r="H26" s="204">
        <v>293.77223028999998</v>
      </c>
      <c r="I26" s="217">
        <f t="shared" si="1"/>
        <v>6.2035789229004656E-2</v>
      </c>
      <c r="J26" s="223">
        <f t="shared" si="2"/>
        <v>1.6253805203892514E-4</v>
      </c>
    </row>
    <row r="27" spans="3:10" x14ac:dyDescent="0.25">
      <c r="C27" s="103" t="s">
        <v>110</v>
      </c>
      <c r="D27" s="190">
        <f>+SUM(D28:D44)</f>
        <v>8966756.8121961243</v>
      </c>
      <c r="E27" s="186">
        <f>+SUM(E28:E44)</f>
        <v>9693299.9348070007</v>
      </c>
      <c r="F27" s="214">
        <f>+E27/D27-1</f>
        <v>8.1026299455636996E-2</v>
      </c>
      <c r="G27" s="190">
        <f>+SUM(G28:G44)</f>
        <v>70962593.318637103</v>
      </c>
      <c r="H27" s="186">
        <f>+SUM(H28:H44)</f>
        <v>69980954.661192879</v>
      </c>
      <c r="I27" s="214">
        <f>+H27/G27-1</f>
        <v>-1.383318466162109E-2</v>
      </c>
      <c r="J27" s="224">
        <f>SUM(J28:J44)</f>
        <v>1.0000000000000002</v>
      </c>
    </row>
    <row r="28" spans="3:10" x14ac:dyDescent="0.25">
      <c r="C28" s="107" t="s">
        <v>111</v>
      </c>
      <c r="D28" s="187">
        <v>2822682.9637202197</v>
      </c>
      <c r="E28" s="191">
        <v>2647349.4032339999</v>
      </c>
      <c r="F28" s="212">
        <f t="shared" si="0"/>
        <v>-6.2115924012640433E-2</v>
      </c>
      <c r="G28" s="194">
        <v>23867426.764241178</v>
      </c>
      <c r="H28" s="195">
        <v>19436970.190815199</v>
      </c>
      <c r="I28" s="215">
        <f t="shared" si="1"/>
        <v>-0.18562774350118916</v>
      </c>
      <c r="J28" s="225">
        <f t="shared" ref="J28:J44" si="3">(H28/$H$27)</f>
        <v>0.27774657097659949</v>
      </c>
    </row>
    <row r="29" spans="3:10" x14ac:dyDescent="0.25">
      <c r="C29" s="104" t="s">
        <v>105</v>
      </c>
      <c r="D29" s="187">
        <v>1741970.6125079999</v>
      </c>
      <c r="E29" s="191">
        <v>2449984.2037200001</v>
      </c>
      <c r="F29" s="212">
        <f t="shared" si="0"/>
        <v>0.40644405027742603</v>
      </c>
      <c r="G29" s="196">
        <v>12747860.626024</v>
      </c>
      <c r="H29" s="187">
        <v>17125249.172775</v>
      </c>
      <c r="I29" s="216">
        <f t="shared" si="1"/>
        <v>0.34338220938930109</v>
      </c>
      <c r="J29" s="226">
        <f t="shared" si="3"/>
        <v>0.24471299735314425</v>
      </c>
    </row>
    <row r="30" spans="3:10" x14ac:dyDescent="0.25">
      <c r="C30" s="104" t="s">
        <v>97</v>
      </c>
      <c r="D30" s="187">
        <v>2052485.2304740311</v>
      </c>
      <c r="E30" s="191">
        <v>2003282.3655030001</v>
      </c>
      <c r="F30" s="212">
        <f t="shared" si="0"/>
        <v>-2.3972335703320691E-2</v>
      </c>
      <c r="G30" s="196">
        <v>15325467.927217133</v>
      </c>
      <c r="H30" s="188">
        <v>15222301.178139957</v>
      </c>
      <c r="I30" s="216">
        <f t="shared" si="1"/>
        <v>-6.7317193554631283E-3</v>
      </c>
      <c r="J30" s="226">
        <f t="shared" si="3"/>
        <v>0.21752062760271698</v>
      </c>
    </row>
    <row r="31" spans="3:10" x14ac:dyDescent="0.25">
      <c r="C31" s="104" t="s">
        <v>109</v>
      </c>
      <c r="D31" s="188">
        <v>757170.93281863781</v>
      </c>
      <c r="E31" s="192">
        <v>772972.42964999995</v>
      </c>
      <c r="F31" s="212">
        <f t="shared" si="0"/>
        <v>2.0869127625567474E-2</v>
      </c>
      <c r="G31" s="196">
        <v>5725869.2346200952</v>
      </c>
      <c r="H31" s="187">
        <v>5679865.6159001021</v>
      </c>
      <c r="I31" s="216">
        <f t="shared" si="1"/>
        <v>-8.0343467227375065E-3</v>
      </c>
      <c r="J31" s="226">
        <f t="shared" si="3"/>
        <v>8.1163019901610539E-2</v>
      </c>
    </row>
    <row r="32" spans="3:10" x14ac:dyDescent="0.25">
      <c r="C32" s="104" t="s">
        <v>104</v>
      </c>
      <c r="D32" s="188">
        <v>342625.43981427007</v>
      </c>
      <c r="E32" s="192">
        <v>399484.63536300004</v>
      </c>
      <c r="F32" s="212">
        <f t="shared" si="0"/>
        <v>0.16595147044408654</v>
      </c>
      <c r="G32" s="196">
        <v>2968994.6315039126</v>
      </c>
      <c r="H32" s="188">
        <v>3105431.077897042</v>
      </c>
      <c r="I32" s="216">
        <f t="shared" si="1"/>
        <v>4.5953753147751186E-2</v>
      </c>
      <c r="J32" s="226">
        <f t="shared" si="3"/>
        <v>4.4375374599156796E-2</v>
      </c>
    </row>
    <row r="33" spans="3:10" x14ac:dyDescent="0.25">
      <c r="C33" s="104" t="s">
        <v>108</v>
      </c>
      <c r="D33" s="188">
        <v>255836.84635998664</v>
      </c>
      <c r="E33" s="192">
        <v>194855.56497500007</v>
      </c>
      <c r="F33" s="212">
        <f t="shared" si="0"/>
        <v>-0.2383600417712316</v>
      </c>
      <c r="G33" s="196">
        <v>2328518.2533418923</v>
      </c>
      <c r="H33" s="187">
        <v>1788252.8685038066</v>
      </c>
      <c r="I33" s="216">
        <f t="shared" si="1"/>
        <v>-0.23202110787093722</v>
      </c>
      <c r="J33" s="227">
        <f t="shared" si="3"/>
        <v>2.5553422029772073E-2</v>
      </c>
    </row>
    <row r="34" spans="3:10" x14ac:dyDescent="0.25">
      <c r="C34" s="104" t="s">
        <v>102</v>
      </c>
      <c r="D34" s="188">
        <v>361298.26027099998</v>
      </c>
      <c r="E34" s="192">
        <v>519524.09774499998</v>
      </c>
      <c r="F34" s="212">
        <f t="shared" si="0"/>
        <v>0.43793689279134385</v>
      </c>
      <c r="G34" s="196">
        <v>2992958.1154340003</v>
      </c>
      <c r="H34" s="187">
        <v>1786225.264072</v>
      </c>
      <c r="I34" s="216">
        <f t="shared" si="1"/>
        <v>-0.40319069122255835</v>
      </c>
      <c r="J34" s="227">
        <f t="shared" si="3"/>
        <v>2.5524448369129357E-2</v>
      </c>
    </row>
    <row r="35" spans="3:10" x14ac:dyDescent="0.25">
      <c r="C35" s="104" t="s">
        <v>96</v>
      </c>
      <c r="D35" s="188">
        <v>186092.63193052</v>
      </c>
      <c r="E35" s="192">
        <v>184134.46658100002</v>
      </c>
      <c r="F35" s="212">
        <f t="shared" si="0"/>
        <v>-1.052253025391725E-2</v>
      </c>
      <c r="G35" s="196">
        <v>1043610.7563505201</v>
      </c>
      <c r="H35" s="187">
        <v>1734424.78568518</v>
      </c>
      <c r="I35" s="216">
        <f t="shared" si="1"/>
        <v>0.66194606095324149</v>
      </c>
      <c r="J35" s="226">
        <f t="shared" si="3"/>
        <v>2.4784240141939431E-2</v>
      </c>
    </row>
    <row r="36" spans="3:10" x14ac:dyDescent="0.25">
      <c r="C36" s="104" t="s">
        <v>99</v>
      </c>
      <c r="D36" s="188">
        <v>87279.232647684505</v>
      </c>
      <c r="E36" s="192">
        <v>132815.15199000001</v>
      </c>
      <c r="F36" s="212">
        <f t="shared" si="0"/>
        <v>0.52172685255068596</v>
      </c>
      <c r="G36" s="196">
        <v>1202327.0823332635</v>
      </c>
      <c r="H36" s="187">
        <v>1119356.6314145071</v>
      </c>
      <c r="I36" s="216">
        <f t="shared" si="1"/>
        <v>-6.9008219259057202E-2</v>
      </c>
      <c r="J36" s="226">
        <f t="shared" si="3"/>
        <v>1.5995160923908246E-2</v>
      </c>
    </row>
    <row r="37" spans="3:10" x14ac:dyDescent="0.25">
      <c r="C37" s="104" t="s">
        <v>103</v>
      </c>
      <c r="D37" s="188">
        <v>141333.17505860003</v>
      </c>
      <c r="E37" s="192">
        <v>164472.31717699999</v>
      </c>
      <c r="F37" s="212">
        <f t="shared" si="0"/>
        <v>0.16372052852280383</v>
      </c>
      <c r="G37" s="196">
        <v>990123.44339459995</v>
      </c>
      <c r="H37" s="187">
        <v>1082074.5726883002</v>
      </c>
      <c r="I37" s="216">
        <f t="shared" si="1"/>
        <v>9.2868348797448208E-2</v>
      </c>
      <c r="J37" s="226">
        <f t="shared" si="3"/>
        <v>1.5462415137476711E-2</v>
      </c>
    </row>
    <row r="38" spans="3:10" x14ac:dyDescent="0.25">
      <c r="C38" s="104" t="s">
        <v>112</v>
      </c>
      <c r="D38" s="188">
        <v>106944.5489588857</v>
      </c>
      <c r="E38" s="192">
        <v>121145.59437799998</v>
      </c>
      <c r="F38" s="212">
        <f t="shared" si="0"/>
        <v>0.13278886635515952</v>
      </c>
      <c r="G38" s="196">
        <v>807152.55426586664</v>
      </c>
      <c r="H38" s="187">
        <v>833178.10508851265</v>
      </c>
      <c r="I38" s="216">
        <f t="shared" si="1"/>
        <v>3.2243657887345956E-2</v>
      </c>
      <c r="J38" s="226">
        <f t="shared" si="3"/>
        <v>1.1905783639595614E-2</v>
      </c>
    </row>
    <row r="39" spans="3:10" x14ac:dyDescent="0.25">
      <c r="C39" s="104" t="s">
        <v>106</v>
      </c>
      <c r="D39" s="188">
        <v>49440.377826290001</v>
      </c>
      <c r="E39" s="192">
        <v>26417.311440000001</v>
      </c>
      <c r="F39" s="212">
        <f t="shared" si="0"/>
        <v>-0.4656733503773397</v>
      </c>
      <c r="G39" s="196">
        <v>473915.29981229</v>
      </c>
      <c r="H39" s="187">
        <v>448229.52979985304</v>
      </c>
      <c r="I39" s="216">
        <f t="shared" si="1"/>
        <v>-5.4199073173224588E-2</v>
      </c>
      <c r="J39" s="226">
        <f t="shared" si="3"/>
        <v>6.4050216515324776E-3</v>
      </c>
    </row>
    <row r="40" spans="3:10" x14ac:dyDescent="0.25">
      <c r="C40" s="104" t="s">
        <v>101</v>
      </c>
      <c r="D40" s="188">
        <v>40675.4211</v>
      </c>
      <c r="E40" s="192">
        <v>49028.539190000003</v>
      </c>
      <c r="F40" s="212">
        <f t="shared" si="0"/>
        <v>0.20536033467149539</v>
      </c>
      <c r="G40" s="196">
        <v>327534.79874</v>
      </c>
      <c r="H40" s="187">
        <v>321873.36566000001</v>
      </c>
      <c r="I40" s="216">
        <f t="shared" si="1"/>
        <v>-1.7284981937122579E-2</v>
      </c>
      <c r="J40" s="226">
        <f t="shared" si="3"/>
        <v>4.5994423371090581E-3</v>
      </c>
    </row>
    <row r="41" spans="3:10" x14ac:dyDescent="0.25">
      <c r="C41" s="104" t="s">
        <v>113</v>
      </c>
      <c r="D41" s="188">
        <v>6122.5155479959994</v>
      </c>
      <c r="E41" s="192">
        <v>12155.025680999999</v>
      </c>
      <c r="F41" s="212">
        <f t="shared" si="0"/>
        <v>0.98529927538992368</v>
      </c>
      <c r="G41" s="196">
        <v>36649.506378351201</v>
      </c>
      <c r="H41" s="187">
        <v>180889.74834343005</v>
      </c>
      <c r="I41" s="216">
        <f t="shared" si="1"/>
        <v>3.9356667038299129</v>
      </c>
      <c r="J41" s="226">
        <f t="shared" si="3"/>
        <v>2.5848425363614014E-3</v>
      </c>
    </row>
    <row r="42" spans="3:10" x14ac:dyDescent="0.25">
      <c r="C42" s="104" t="s">
        <v>95</v>
      </c>
      <c r="D42" s="188">
        <v>13653.55632</v>
      </c>
      <c r="E42" s="192">
        <v>13324.33056</v>
      </c>
      <c r="F42" s="212">
        <f t="shared" si="0"/>
        <v>-2.4112821032403309E-2</v>
      </c>
      <c r="G42" s="196">
        <v>96031.86967</v>
      </c>
      <c r="H42" s="187">
        <v>98073.77178000001</v>
      </c>
      <c r="I42" s="216">
        <f t="shared" si="1"/>
        <v>2.1262754927262373E-2</v>
      </c>
      <c r="J42" s="226">
        <f t="shared" si="3"/>
        <v>1.4014351798259431E-3</v>
      </c>
    </row>
    <row r="43" spans="3:10" x14ac:dyDescent="0.25">
      <c r="C43" s="104" t="s">
        <v>98</v>
      </c>
      <c r="D43" s="188">
        <v>1145.0668400000002</v>
      </c>
      <c r="E43" s="192">
        <v>864.23101999999994</v>
      </c>
      <c r="F43" s="212">
        <f t="shared" si="0"/>
        <v>-0.24525714149577527</v>
      </c>
      <c r="G43" s="196">
        <v>28152.455309999998</v>
      </c>
      <c r="H43" s="187">
        <v>9572.1552900000006</v>
      </c>
      <c r="I43" s="216">
        <f t="shared" si="1"/>
        <v>-0.65998861610483095</v>
      </c>
      <c r="J43" s="227">
        <f>(H43/$H$27)</f>
        <v>1.3678229078672641E-4</v>
      </c>
    </row>
    <row r="44" spans="3:10" x14ac:dyDescent="0.25">
      <c r="C44" s="108" t="s">
        <v>100</v>
      </c>
      <c r="D44" s="193">
        <v>0</v>
      </c>
      <c r="E44" s="192">
        <v>1490.2666000000002</v>
      </c>
      <c r="F44" s="212" t="s">
        <v>81</v>
      </c>
      <c r="G44" s="205">
        <v>0</v>
      </c>
      <c r="H44" s="204">
        <v>8986.6273400000009</v>
      </c>
      <c r="I44" s="217" t="s">
        <v>81</v>
      </c>
      <c r="J44" s="228">
        <f t="shared" si="3"/>
        <v>1.2841532933507451E-4</v>
      </c>
    </row>
    <row r="45" spans="3:10" x14ac:dyDescent="0.25">
      <c r="C45" s="103" t="s">
        <v>114</v>
      </c>
      <c r="D45" s="190">
        <f>+SUM(D46:D57)</f>
        <v>113486.31276100798</v>
      </c>
      <c r="E45" s="186">
        <f>+SUM(E46:E57)</f>
        <v>146679.88339200002</v>
      </c>
      <c r="F45" s="214">
        <f t="shared" si="0"/>
        <v>0.29248963882450507</v>
      </c>
      <c r="G45" s="190">
        <f>+SUM(G46:G57)</f>
        <v>849811.55569918314</v>
      </c>
      <c r="H45" s="186">
        <f>+SUM(H46:H57)</f>
        <v>987055.14752940659</v>
      </c>
      <c r="I45" s="214">
        <f t="shared" si="1"/>
        <v>0.16149885337497705</v>
      </c>
      <c r="J45" s="224">
        <f>SUM(J46:J57)</f>
        <v>1</v>
      </c>
    </row>
    <row r="46" spans="3:10" x14ac:dyDescent="0.25">
      <c r="C46" s="107" t="s">
        <v>98</v>
      </c>
      <c r="D46" s="194">
        <v>38005.962511119993</v>
      </c>
      <c r="E46" s="195">
        <v>63013.02296100001</v>
      </c>
      <c r="F46" s="215">
        <f t="shared" si="0"/>
        <v>0.65797729612987199</v>
      </c>
      <c r="G46" s="187">
        <v>246594.06588643999</v>
      </c>
      <c r="H46" s="191">
        <v>403637.53625304997</v>
      </c>
      <c r="I46" s="212">
        <f t="shared" si="1"/>
        <v>0.6368501602099812</v>
      </c>
      <c r="J46" s="225">
        <f t="shared" ref="J46:J57" si="4">(H46/$H$45)</f>
        <v>0.40893108886909957</v>
      </c>
    </row>
    <row r="47" spans="3:10" x14ac:dyDescent="0.25">
      <c r="C47" s="106" t="s">
        <v>100</v>
      </c>
      <c r="D47" s="196">
        <v>18622.832923394002</v>
      </c>
      <c r="E47" s="187">
        <v>20386.772971000002</v>
      </c>
      <c r="F47" s="216">
        <f t="shared" si="0"/>
        <v>9.471921134996264E-2</v>
      </c>
      <c r="G47" s="187">
        <v>146427.359187108</v>
      </c>
      <c r="H47" s="191">
        <v>155413.16861817599</v>
      </c>
      <c r="I47" s="212">
        <f t="shared" si="1"/>
        <v>6.1367011472123423E-2</v>
      </c>
      <c r="J47" s="226">
        <f t="shared" si="4"/>
        <v>0.1574513531560767</v>
      </c>
    </row>
    <row r="48" spans="3:10" x14ac:dyDescent="0.25">
      <c r="C48" s="104" t="s">
        <v>104</v>
      </c>
      <c r="D48" s="196">
        <v>14619.576088139998</v>
      </c>
      <c r="E48" s="187">
        <v>17700.497828</v>
      </c>
      <c r="F48" s="216">
        <f t="shared" si="0"/>
        <v>0.2107394716020099</v>
      </c>
      <c r="G48" s="187">
        <v>105768.19261520001</v>
      </c>
      <c r="H48" s="191">
        <v>118820.95693315999</v>
      </c>
      <c r="I48" s="212">
        <f t="shared" si="1"/>
        <v>0.12340916484644704</v>
      </c>
      <c r="J48" s="226">
        <f t="shared" si="4"/>
        <v>0.12037924854611029</v>
      </c>
    </row>
    <row r="49" spans="3:10" x14ac:dyDescent="0.25">
      <c r="C49" s="106" t="s">
        <v>103</v>
      </c>
      <c r="D49" s="163">
        <v>13632.701430054</v>
      </c>
      <c r="E49" s="188">
        <v>15264.366352999999</v>
      </c>
      <c r="F49" s="216">
        <f t="shared" si="0"/>
        <v>0.11968757119178952</v>
      </c>
      <c r="G49" s="187">
        <v>107632.31463789502</v>
      </c>
      <c r="H49" s="191">
        <v>112715.428758444</v>
      </c>
      <c r="I49" s="212">
        <f t="shared" si="1"/>
        <v>4.722665435236606E-2</v>
      </c>
      <c r="J49" s="226">
        <f t="shared" si="4"/>
        <v>0.11419364869386485</v>
      </c>
    </row>
    <row r="50" spans="3:10" x14ac:dyDescent="0.25">
      <c r="C50" s="106" t="s">
        <v>101</v>
      </c>
      <c r="D50" s="163">
        <v>16089.190742999999</v>
      </c>
      <c r="E50" s="188">
        <v>17664.494054999999</v>
      </c>
      <c r="F50" s="216">
        <f t="shared" si="0"/>
        <v>9.7910661708412894E-2</v>
      </c>
      <c r="G50" s="187">
        <v>139723.11145500001</v>
      </c>
      <c r="H50" s="191">
        <v>101468.301833</v>
      </c>
      <c r="I50" s="212">
        <f t="shared" si="1"/>
        <v>-0.27379013553044551</v>
      </c>
      <c r="J50" s="226">
        <f t="shared" si="4"/>
        <v>0.10279901998077269</v>
      </c>
    </row>
    <row r="51" spans="3:10" x14ac:dyDescent="0.25">
      <c r="C51" s="106" t="s">
        <v>107</v>
      </c>
      <c r="D51" s="163">
        <v>4324.1322072000003</v>
      </c>
      <c r="E51" s="188">
        <v>4161.1805770000001</v>
      </c>
      <c r="F51" s="216">
        <f t="shared" si="0"/>
        <v>-3.7684238684625226E-2</v>
      </c>
      <c r="G51" s="187">
        <v>36042.992129499995</v>
      </c>
      <c r="H51" s="191">
        <v>33440.899076900001</v>
      </c>
      <c r="I51" s="212">
        <f t="shared" si="1"/>
        <v>-7.2194146458508524E-2</v>
      </c>
      <c r="J51" s="226">
        <f t="shared" si="4"/>
        <v>3.3879463736755114E-2</v>
      </c>
    </row>
    <row r="52" spans="3:10" x14ac:dyDescent="0.25">
      <c r="C52" s="106" t="s">
        <v>109</v>
      </c>
      <c r="D52" s="163">
        <v>4204.3219264999998</v>
      </c>
      <c r="E52" s="188">
        <v>4755.6097840000002</v>
      </c>
      <c r="F52" s="216">
        <f t="shared" si="0"/>
        <v>0.13112408305967538</v>
      </c>
      <c r="G52" s="187">
        <v>33582.620240540004</v>
      </c>
      <c r="H52" s="191">
        <v>30671.093681509999</v>
      </c>
      <c r="I52" s="212">
        <f t="shared" si="1"/>
        <v>-8.6697420813974801E-2</v>
      </c>
      <c r="J52" s="226">
        <f t="shared" si="4"/>
        <v>3.1073333398118203E-2</v>
      </c>
    </row>
    <row r="53" spans="3:10" x14ac:dyDescent="0.25">
      <c r="C53" s="106" t="s">
        <v>97</v>
      </c>
      <c r="D53" s="163">
        <v>2189.9963593000002</v>
      </c>
      <c r="E53" s="188">
        <v>2137.1456789999997</v>
      </c>
      <c r="F53" s="216">
        <f t="shared" si="0"/>
        <v>-2.4132770849396912E-2</v>
      </c>
      <c r="G53" s="187">
        <v>20244.623212799997</v>
      </c>
      <c r="H53" s="191">
        <v>18838.178276500003</v>
      </c>
      <c r="I53" s="212">
        <f t="shared" si="1"/>
        <v>-6.9472517295888547E-2</v>
      </c>
      <c r="J53" s="226">
        <f t="shared" si="4"/>
        <v>1.9085233812570507E-2</v>
      </c>
    </row>
    <row r="54" spans="3:10" x14ac:dyDescent="0.25">
      <c r="C54" s="106" t="s">
        <v>106</v>
      </c>
      <c r="D54" s="163">
        <v>1543.0104719000001</v>
      </c>
      <c r="E54" s="188">
        <v>1405.602691</v>
      </c>
      <c r="F54" s="216">
        <f t="shared" si="0"/>
        <v>-8.9051748774460204E-2</v>
      </c>
      <c r="G54" s="187">
        <v>11175.277740000001</v>
      </c>
      <c r="H54" s="191">
        <v>9272.3826685269996</v>
      </c>
      <c r="I54" s="212">
        <f t="shared" si="1"/>
        <v>-0.17027720614601938</v>
      </c>
      <c r="J54" s="226">
        <f t="shared" si="4"/>
        <v>9.3939864370655695E-3</v>
      </c>
    </row>
    <row r="55" spans="3:10" x14ac:dyDescent="0.25">
      <c r="C55" s="106" t="s">
        <v>108</v>
      </c>
      <c r="D55" s="197">
        <v>254.10710040000001</v>
      </c>
      <c r="E55" s="193">
        <v>190.30048300000001</v>
      </c>
      <c r="F55" s="216">
        <f t="shared" si="0"/>
        <v>-0.25110127697950779</v>
      </c>
      <c r="G55" s="187">
        <v>2617.0937947000002</v>
      </c>
      <c r="H55" s="191">
        <v>2683.6266792999995</v>
      </c>
      <c r="I55" s="212">
        <f t="shared" si="1"/>
        <v>2.5422430305989785E-2</v>
      </c>
      <c r="J55" s="226">
        <f t="shared" si="4"/>
        <v>2.7188214214951432E-3</v>
      </c>
    </row>
    <row r="56" spans="3:10" x14ac:dyDescent="0.25">
      <c r="C56" s="106" t="s">
        <v>96</v>
      </c>
      <c r="D56" s="197">
        <v>0</v>
      </c>
      <c r="E56" s="193">
        <v>0</v>
      </c>
      <c r="F56" s="216" t="s">
        <v>46</v>
      </c>
      <c r="G56" s="206">
        <v>0</v>
      </c>
      <c r="H56" s="191">
        <v>83.735690839699984</v>
      </c>
      <c r="I56" s="212" t="s">
        <v>81</v>
      </c>
      <c r="J56" s="227">
        <f t="shared" si="4"/>
        <v>8.4833852545412419E-5</v>
      </c>
    </row>
    <row r="57" spans="3:10" x14ac:dyDescent="0.25">
      <c r="C57" s="89" t="s">
        <v>102</v>
      </c>
      <c r="D57" s="243">
        <v>0.48099999999999998</v>
      </c>
      <c r="E57" s="259">
        <v>0.89000999999999997</v>
      </c>
      <c r="F57" s="217">
        <f t="shared" si="0"/>
        <v>0.85033264033264033</v>
      </c>
      <c r="G57" s="187">
        <v>3.9048000000000003</v>
      </c>
      <c r="H57" s="191">
        <v>9.8390599999999999</v>
      </c>
      <c r="I57" s="212">
        <f t="shared" si="1"/>
        <v>1.5197346855152629</v>
      </c>
      <c r="J57" s="228">
        <f t="shared" si="4"/>
        <v>9.9680955259968113E-6</v>
      </c>
    </row>
    <row r="58" spans="3:10" x14ac:dyDescent="0.25">
      <c r="C58" s="103" t="s">
        <v>115</v>
      </c>
      <c r="D58" s="190">
        <f>+SUM(D59:D76)</f>
        <v>341533.60475342814</v>
      </c>
      <c r="E58" s="186">
        <f>+SUM(E59:E76)</f>
        <v>348598.082888</v>
      </c>
      <c r="F58" s="214">
        <f t="shared" si="0"/>
        <v>2.0684576967681112E-2</v>
      </c>
      <c r="G58" s="190">
        <f>+SUM(G59:G76)</f>
        <v>2272789.2594428491</v>
      </c>
      <c r="H58" s="186">
        <f>+SUM(H59:H76)</f>
        <v>2441212.835850358</v>
      </c>
      <c r="I58" s="214">
        <f t="shared" si="1"/>
        <v>7.4104352485719005E-2</v>
      </c>
      <c r="J58" s="224">
        <f>SUM(J59:J76)</f>
        <v>1.0000000000000002</v>
      </c>
    </row>
    <row r="59" spans="3:10" x14ac:dyDescent="0.25">
      <c r="C59" s="107" t="s">
        <v>104</v>
      </c>
      <c r="D59" s="194">
        <v>82400.293523961911</v>
      </c>
      <c r="E59" s="195">
        <v>67671.357168000002</v>
      </c>
      <c r="F59" s="215">
        <f t="shared" si="0"/>
        <v>-0.17874859088552575</v>
      </c>
      <c r="G59" s="194">
        <v>442229.15219355578</v>
      </c>
      <c r="H59" s="195">
        <v>483802.95380968379</v>
      </c>
      <c r="I59" s="215">
        <f t="shared" si="1"/>
        <v>9.4009635976987527E-2</v>
      </c>
      <c r="J59" s="225">
        <f t="shared" ref="J59:J75" si="5">(H59/$H$58)</f>
        <v>0.19818139029289458</v>
      </c>
    </row>
    <row r="60" spans="3:10" x14ac:dyDescent="0.25">
      <c r="C60" s="104" t="s">
        <v>98</v>
      </c>
      <c r="D60" s="196">
        <v>50387.454243321212</v>
      </c>
      <c r="E60" s="187">
        <v>80114.655262999993</v>
      </c>
      <c r="F60" s="216">
        <f t="shared" si="0"/>
        <v>0.58997227516448869</v>
      </c>
      <c r="G60" s="196">
        <v>343443.7955513866</v>
      </c>
      <c r="H60" s="187">
        <v>468169.88242823601</v>
      </c>
      <c r="I60" s="216">
        <f t="shared" si="1"/>
        <v>0.36316302257435229</v>
      </c>
      <c r="J60" s="226">
        <f t="shared" si="5"/>
        <v>0.19177757692936118</v>
      </c>
    </row>
    <row r="61" spans="3:10" ht="15" customHeight="1" x14ac:dyDescent="0.25">
      <c r="C61" s="104" t="s">
        <v>103</v>
      </c>
      <c r="D61" s="196">
        <v>46264.397430922894</v>
      </c>
      <c r="E61" s="187">
        <v>46338.683035000002</v>
      </c>
      <c r="F61" s="216">
        <f t="shared" si="0"/>
        <v>1.6056753832798254E-3</v>
      </c>
      <c r="G61" s="196">
        <v>362436.12280586141</v>
      </c>
      <c r="H61" s="187">
        <v>343433.82201593218</v>
      </c>
      <c r="I61" s="216">
        <f t="shared" si="1"/>
        <v>-5.2429378845628483E-2</v>
      </c>
      <c r="J61" s="226">
        <f t="shared" si="5"/>
        <v>0.14068163863979619</v>
      </c>
    </row>
    <row r="62" spans="3:10" x14ac:dyDescent="0.25">
      <c r="C62" s="104" t="s">
        <v>100</v>
      </c>
      <c r="D62" s="196">
        <v>46234.326952547497</v>
      </c>
      <c r="E62" s="187">
        <v>46371.838020000003</v>
      </c>
      <c r="F62" s="216">
        <f t="shared" si="0"/>
        <v>2.9742201631623999E-3</v>
      </c>
      <c r="G62" s="196">
        <v>321872.99319409678</v>
      </c>
      <c r="H62" s="187">
        <v>339295.40694779641</v>
      </c>
      <c r="I62" s="216">
        <f t="shared" si="1"/>
        <v>5.4128224865369612E-2</v>
      </c>
      <c r="J62" s="226">
        <f t="shared" si="5"/>
        <v>0.13898640952770847</v>
      </c>
    </row>
    <row r="63" spans="3:10" x14ac:dyDescent="0.25">
      <c r="C63" s="106" t="s">
        <v>101</v>
      </c>
      <c r="D63" s="163">
        <v>17984.214483149499</v>
      </c>
      <c r="E63" s="188">
        <v>18115.735140999997</v>
      </c>
      <c r="F63" s="216">
        <f t="shared" si="0"/>
        <v>7.3131166208970644E-3</v>
      </c>
      <c r="G63" s="196">
        <v>142627.66028247407</v>
      </c>
      <c r="H63" s="187">
        <v>155297.48853223689</v>
      </c>
      <c r="I63" s="216">
        <f t="shared" si="1"/>
        <v>8.8831494709162628E-2</v>
      </c>
      <c r="J63" s="226">
        <f t="shared" si="5"/>
        <v>6.3614891029417947E-2</v>
      </c>
    </row>
    <row r="64" spans="3:10" x14ac:dyDescent="0.25">
      <c r="C64" s="106" t="s">
        <v>109</v>
      </c>
      <c r="D64" s="163">
        <v>21797.6167939632</v>
      </c>
      <c r="E64" s="188">
        <v>17417.555147999999</v>
      </c>
      <c r="F64" s="216">
        <f t="shared" si="0"/>
        <v>-0.20094222627017866</v>
      </c>
      <c r="G64" s="196">
        <v>148228.17291972716</v>
      </c>
      <c r="H64" s="187">
        <v>137854.69501228959</v>
      </c>
      <c r="I64" s="216">
        <f t="shared" si="1"/>
        <v>-6.9983173259885789E-2</v>
      </c>
      <c r="J64" s="226">
        <f t="shared" si="5"/>
        <v>5.6469756748706461E-2</v>
      </c>
    </row>
    <row r="65" spans="3:10" ht="15" customHeight="1" x14ac:dyDescent="0.25">
      <c r="C65" s="106" t="s">
        <v>96</v>
      </c>
      <c r="D65" s="163">
        <v>12162.5205055427</v>
      </c>
      <c r="E65" s="188">
        <v>13508.232613</v>
      </c>
      <c r="F65" s="216">
        <f t="shared" si="0"/>
        <v>0.11064417994970976</v>
      </c>
      <c r="G65" s="196">
        <v>68318.294439065692</v>
      </c>
      <c r="H65" s="187">
        <v>100628.2142191271</v>
      </c>
      <c r="I65" s="216">
        <f t="shared" si="1"/>
        <v>0.47293217790849851</v>
      </c>
      <c r="J65" s="226">
        <f t="shared" si="5"/>
        <v>4.1220582139072218E-2</v>
      </c>
    </row>
    <row r="66" spans="3:10" x14ac:dyDescent="0.25">
      <c r="C66" s="106" t="s">
        <v>106</v>
      </c>
      <c r="D66" s="163">
        <v>12147.113800963802</v>
      </c>
      <c r="E66" s="188">
        <v>12156.621425000001</v>
      </c>
      <c r="F66" s="216">
        <f t="shared" si="0"/>
        <v>7.827064265624184E-4</v>
      </c>
      <c r="G66" s="196">
        <v>97216.870402360306</v>
      </c>
      <c r="H66" s="187">
        <v>92041.806048168699</v>
      </c>
      <c r="I66" s="216">
        <f t="shared" si="1"/>
        <v>-5.3232163643749275E-2</v>
      </c>
      <c r="J66" s="226">
        <f t="shared" si="5"/>
        <v>3.7703310705437684E-2</v>
      </c>
    </row>
    <row r="67" spans="3:10" x14ac:dyDescent="0.25">
      <c r="C67" s="106" t="s">
        <v>99</v>
      </c>
      <c r="D67" s="163">
        <v>9360.0819518190001</v>
      </c>
      <c r="E67" s="188">
        <v>7292.7016780000004</v>
      </c>
      <c r="F67" s="216">
        <f t="shared" si="0"/>
        <v>-0.22087202702506614</v>
      </c>
      <c r="G67" s="196">
        <v>67025.546986162706</v>
      </c>
      <c r="H67" s="187">
        <v>62609.275326171402</v>
      </c>
      <c r="I67" s="216">
        <f t="shared" si="1"/>
        <v>-6.5889378879713356E-2</v>
      </c>
      <c r="J67" s="226">
        <f t="shared" si="5"/>
        <v>2.5646790974848552E-2</v>
      </c>
    </row>
    <row r="68" spans="3:10" x14ac:dyDescent="0.25">
      <c r="C68" s="106" t="s">
        <v>102</v>
      </c>
      <c r="D68" s="163">
        <v>9048.1217832113998</v>
      </c>
      <c r="E68" s="188">
        <v>9263.725378000001</v>
      </c>
      <c r="F68" s="216">
        <f t="shared" si="0"/>
        <v>2.3828546957518792E-2</v>
      </c>
      <c r="G68" s="196">
        <v>68261.611778275095</v>
      </c>
      <c r="H68" s="187">
        <v>60273.466491184394</v>
      </c>
      <c r="I68" s="216">
        <f t="shared" si="1"/>
        <v>-0.11702251205315084</v>
      </c>
      <c r="J68" s="226">
        <f t="shared" si="5"/>
        <v>2.4689967874181311E-2</v>
      </c>
    </row>
    <row r="69" spans="3:10" x14ac:dyDescent="0.25">
      <c r="C69" s="106" t="s">
        <v>95</v>
      </c>
      <c r="D69" s="163">
        <v>7113.2739691112001</v>
      </c>
      <c r="E69" s="188">
        <v>7425.258041</v>
      </c>
      <c r="F69" s="216">
        <f t="shared" si="0"/>
        <v>4.3859420183106179E-2</v>
      </c>
      <c r="G69" s="196">
        <v>55229.730431088705</v>
      </c>
      <c r="H69" s="187">
        <v>57439.047956046103</v>
      </c>
      <c r="I69" s="216">
        <f t="shared" si="1"/>
        <v>4.0002323163861986E-2</v>
      </c>
      <c r="J69" s="226">
        <f t="shared" si="5"/>
        <v>2.3528898059409931E-2</v>
      </c>
    </row>
    <row r="70" spans="3:10" x14ac:dyDescent="0.25">
      <c r="C70" s="106" t="s">
        <v>97</v>
      </c>
      <c r="D70" s="163">
        <v>10815.613603851001</v>
      </c>
      <c r="E70" s="188">
        <v>8980.518775999999</v>
      </c>
      <c r="F70" s="216">
        <f t="shared" si="0"/>
        <v>-0.16967089386381184</v>
      </c>
      <c r="G70" s="196">
        <v>71479.527782395016</v>
      </c>
      <c r="H70" s="187">
        <v>55380.780697027192</v>
      </c>
      <c r="I70" s="216">
        <f t="shared" si="1"/>
        <v>-0.2252217884591684</v>
      </c>
      <c r="J70" s="226">
        <f t="shared" si="5"/>
        <v>2.2685764995060812E-2</v>
      </c>
    </row>
    <row r="71" spans="3:10" x14ac:dyDescent="0.25">
      <c r="C71" s="106" t="s">
        <v>107</v>
      </c>
      <c r="D71" s="163">
        <v>4875.5133653580997</v>
      </c>
      <c r="E71" s="188">
        <v>4289.0614110000006</v>
      </c>
      <c r="F71" s="216">
        <f t="shared" si="0"/>
        <v>-0.12028517007562856</v>
      </c>
      <c r="G71" s="196">
        <v>36359.9605691287</v>
      </c>
      <c r="H71" s="187">
        <v>34175.904336886197</v>
      </c>
      <c r="I71" s="216">
        <f t="shared" si="1"/>
        <v>-6.006761828275653E-2</v>
      </c>
      <c r="J71" s="226">
        <f t="shared" si="5"/>
        <v>1.3999559495590461E-2</v>
      </c>
    </row>
    <row r="72" spans="3:10" x14ac:dyDescent="0.25">
      <c r="C72" s="106" t="s">
        <v>108</v>
      </c>
      <c r="D72" s="163">
        <v>7236.9248431778997</v>
      </c>
      <c r="E72" s="188">
        <v>5392.3714739999996</v>
      </c>
      <c r="F72" s="216">
        <f t="shared" si="0"/>
        <v>-0.25488082426567171</v>
      </c>
      <c r="G72" s="196">
        <v>18527.7539403993</v>
      </c>
      <c r="H72" s="187">
        <v>19813.525237772799</v>
      </c>
      <c r="I72" s="216">
        <f t="shared" si="1"/>
        <v>6.9397040866886028E-2</v>
      </c>
      <c r="J72" s="226">
        <f t="shared" si="5"/>
        <v>8.1162629275095838E-3</v>
      </c>
    </row>
    <row r="73" spans="3:10" x14ac:dyDescent="0.25">
      <c r="C73" s="106" t="s">
        <v>105</v>
      </c>
      <c r="D73" s="163">
        <v>1806.2981912634</v>
      </c>
      <c r="E73" s="193">
        <v>2448.7370979999996</v>
      </c>
      <c r="F73" s="216">
        <f t="shared" si="0"/>
        <v>0.3556660300297656</v>
      </c>
      <c r="G73" s="196">
        <v>14551.037788781301</v>
      </c>
      <c r="H73" s="187">
        <v>18041.138714442801</v>
      </c>
      <c r="I73" s="216">
        <f t="shared" si="1"/>
        <v>0.23985237179112628</v>
      </c>
      <c r="J73" s="226">
        <f t="shared" si="5"/>
        <v>7.3902358899233193E-3</v>
      </c>
    </row>
    <row r="74" spans="3:10" x14ac:dyDescent="0.25">
      <c r="C74" s="106" t="s">
        <v>111</v>
      </c>
      <c r="D74" s="163">
        <v>1898.0373707718998</v>
      </c>
      <c r="E74" s="188">
        <v>1811.0312189999997</v>
      </c>
      <c r="F74" s="216">
        <f t="shared" si="0"/>
        <v>-4.5840062536026904E-2</v>
      </c>
      <c r="G74" s="196">
        <v>14885.8792704511</v>
      </c>
      <c r="H74" s="187">
        <v>12949.346218080902</v>
      </c>
      <c r="I74" s="216">
        <f t="shared" si="1"/>
        <v>-0.13009194936937796</v>
      </c>
      <c r="J74" s="226">
        <f t="shared" si="5"/>
        <v>5.3044724441530314E-3</v>
      </c>
    </row>
    <row r="75" spans="3:10" x14ac:dyDescent="0.25">
      <c r="C75" s="106" t="s">
        <v>113</v>
      </c>
      <c r="D75" s="197">
        <v>1.8019404914999999</v>
      </c>
      <c r="E75" s="193">
        <v>0</v>
      </c>
      <c r="F75" s="216" t="s">
        <v>46</v>
      </c>
      <c r="G75" s="196">
        <v>3.9440714663999996</v>
      </c>
      <c r="H75" s="187">
        <v>6.0818592760000003</v>
      </c>
      <c r="I75" s="216">
        <f t="shared" si="1"/>
        <v>0.54202562702325796</v>
      </c>
      <c r="J75" s="229">
        <f t="shared" si="5"/>
        <v>2.4913269284369793E-6</v>
      </c>
    </row>
    <row r="76" spans="3:10" ht="15" customHeight="1" x14ac:dyDescent="0.25">
      <c r="C76" s="89" t="s">
        <v>112</v>
      </c>
      <c r="D76" s="198">
        <v>0</v>
      </c>
      <c r="E76" s="199">
        <v>0</v>
      </c>
      <c r="F76" s="217" t="s">
        <v>46</v>
      </c>
      <c r="G76" s="203">
        <v>91.205036172700005</v>
      </c>
      <c r="H76" s="207">
        <v>0</v>
      </c>
      <c r="I76" s="217" t="s">
        <v>46</v>
      </c>
      <c r="J76" s="230" t="s">
        <v>46</v>
      </c>
    </row>
    <row r="77" spans="3:10" x14ac:dyDescent="0.25">
      <c r="C77" s="103" t="s">
        <v>116</v>
      </c>
      <c r="D77" s="190">
        <f>+SUM(D78:D89)</f>
        <v>26645.153782940997</v>
      </c>
      <c r="E77" s="186">
        <f>+SUM(E78:E89)</f>
        <v>27037.818758000001</v>
      </c>
      <c r="F77" s="214">
        <f t="shared" si="0"/>
        <v>1.4736825250015961E-2</v>
      </c>
      <c r="G77" s="190">
        <f>+SUM(G78:G89)</f>
        <v>193565.00487697503</v>
      </c>
      <c r="H77" s="186">
        <f>+SUM(H78:H89)</f>
        <v>205257.99812465941</v>
      </c>
      <c r="I77" s="214">
        <f t="shared" si="1"/>
        <v>6.0408611851693772E-2</v>
      </c>
      <c r="J77" s="224">
        <f>SUM(J78:J89)</f>
        <v>0.99999999999999989</v>
      </c>
    </row>
    <row r="78" spans="3:10" x14ac:dyDescent="0.25">
      <c r="C78" s="107" t="s">
        <v>103</v>
      </c>
      <c r="D78" s="187">
        <v>7186.1509527990002</v>
      </c>
      <c r="E78" s="191">
        <v>7564.4842890000009</v>
      </c>
      <c r="F78" s="212">
        <f t="shared" si="0"/>
        <v>5.264756316504049E-2</v>
      </c>
      <c r="G78" s="194">
        <v>53814.913289203992</v>
      </c>
      <c r="H78" s="195">
        <v>62448.219692200997</v>
      </c>
      <c r="I78" s="215">
        <f t="shared" si="1"/>
        <v>0.16042590938688672</v>
      </c>
      <c r="J78" s="225">
        <f t="shared" ref="J78:J89" si="6">(H78/$H$77)</f>
        <v>0.30424256429839242</v>
      </c>
    </row>
    <row r="79" spans="3:10" x14ac:dyDescent="0.25">
      <c r="C79" s="104" t="s">
        <v>104</v>
      </c>
      <c r="D79" s="187">
        <v>4749.9335878000002</v>
      </c>
      <c r="E79" s="191">
        <v>5439.1170460000012</v>
      </c>
      <c r="F79" s="212">
        <f t="shared" ref="F79:F93" si="7">+E79/D79-1</f>
        <v>0.14509328298192181</v>
      </c>
      <c r="G79" s="196">
        <v>33581.775965480003</v>
      </c>
      <c r="H79" s="187">
        <v>39431.64030698</v>
      </c>
      <c r="I79" s="216">
        <f t="shared" si="1"/>
        <v>0.17419758703391075</v>
      </c>
      <c r="J79" s="226">
        <f t="shared" si="6"/>
        <v>0.19210769211064782</v>
      </c>
    </row>
    <row r="80" spans="3:10" x14ac:dyDescent="0.25">
      <c r="C80" s="104" t="s">
        <v>100</v>
      </c>
      <c r="D80" s="187">
        <v>3089.4284178519997</v>
      </c>
      <c r="E80" s="191">
        <v>3294.8857330000001</v>
      </c>
      <c r="F80" s="212">
        <f t="shared" si="7"/>
        <v>6.6503342158951817E-2</v>
      </c>
      <c r="G80" s="196">
        <v>20806.802454221001</v>
      </c>
      <c r="H80" s="187">
        <v>24709.613839248999</v>
      </c>
      <c r="I80" s="216">
        <f t="shared" ref="I80:I94" si="8">+H80/G80-1</f>
        <v>0.18757381839977283</v>
      </c>
      <c r="J80" s="226">
        <f t="shared" si="6"/>
        <v>0.12038319609958439</v>
      </c>
    </row>
    <row r="81" spans="3:10" x14ac:dyDescent="0.25">
      <c r="C81" s="104" t="s">
        <v>98</v>
      </c>
      <c r="D81" s="187">
        <v>1904.1923818</v>
      </c>
      <c r="E81" s="191">
        <v>2621.572596</v>
      </c>
      <c r="F81" s="212">
        <f t="shared" si="7"/>
        <v>0.37673725672711322</v>
      </c>
      <c r="G81" s="196">
        <v>15150.294649259999</v>
      </c>
      <c r="H81" s="187">
        <v>23392.169208899999</v>
      </c>
      <c r="I81" s="216">
        <f t="shared" si="8"/>
        <v>0.54400754245677763</v>
      </c>
      <c r="J81" s="226">
        <f t="shared" si="6"/>
        <v>0.11396471476201978</v>
      </c>
    </row>
    <row r="82" spans="3:10" x14ac:dyDescent="0.25">
      <c r="C82" s="106" t="s">
        <v>106</v>
      </c>
      <c r="D82" s="188">
        <v>2184.6402149999999</v>
      </c>
      <c r="E82" s="192">
        <v>1995.961014</v>
      </c>
      <c r="F82" s="212">
        <f t="shared" si="7"/>
        <v>-8.6366258253650185E-2</v>
      </c>
      <c r="G82" s="196">
        <v>15798.739608079999</v>
      </c>
      <c r="H82" s="187">
        <v>15189.1889005249</v>
      </c>
      <c r="I82" s="216">
        <f t="shared" si="8"/>
        <v>-3.8582236474316911E-2</v>
      </c>
      <c r="J82" s="226">
        <f t="shared" si="6"/>
        <v>7.4000472767448727E-2</v>
      </c>
    </row>
    <row r="83" spans="3:10" x14ac:dyDescent="0.25">
      <c r="C83" s="106" t="s">
        <v>101</v>
      </c>
      <c r="D83" s="188">
        <v>2784.2109380000002</v>
      </c>
      <c r="E83" s="192">
        <v>2978.10232</v>
      </c>
      <c r="F83" s="212">
        <f t="shared" si="7"/>
        <v>6.9639616508108126E-2</v>
      </c>
      <c r="G83" s="196">
        <v>23348.174601999999</v>
      </c>
      <c r="H83" s="187">
        <v>14964.329493999998</v>
      </c>
      <c r="I83" s="216">
        <f t="shared" si="8"/>
        <v>-0.35907925355680026</v>
      </c>
      <c r="J83" s="226">
        <f t="shared" si="6"/>
        <v>7.2904976325997808E-2</v>
      </c>
    </row>
    <row r="84" spans="3:10" x14ac:dyDescent="0.25">
      <c r="C84" s="106" t="s">
        <v>97</v>
      </c>
      <c r="D84" s="188">
        <v>1834.0421596000001</v>
      </c>
      <c r="E84" s="192">
        <v>1483.326125</v>
      </c>
      <c r="F84" s="212">
        <f t="shared" si="7"/>
        <v>-0.19122572115599035</v>
      </c>
      <c r="G84" s="196">
        <v>15576.587706499999</v>
      </c>
      <c r="H84" s="187">
        <v>12610.472645599999</v>
      </c>
      <c r="I84" s="216">
        <f t="shared" si="8"/>
        <v>-0.19042136293189948</v>
      </c>
      <c r="J84" s="226">
        <f t="shared" si="6"/>
        <v>6.1437180333120449E-2</v>
      </c>
    </row>
    <row r="85" spans="3:10" x14ac:dyDescent="0.25">
      <c r="C85" s="106" t="s">
        <v>107</v>
      </c>
      <c r="D85" s="188">
        <v>1575.9339743999999</v>
      </c>
      <c r="E85" s="192">
        <v>631.10395899999992</v>
      </c>
      <c r="F85" s="212">
        <f t="shared" si="7"/>
        <v>-0.59953654832507941</v>
      </c>
      <c r="G85" s="196">
        <v>8384.1253598000003</v>
      </c>
      <c r="H85" s="187">
        <v>5171.6284351000004</v>
      </c>
      <c r="I85" s="216">
        <f t="shared" si="8"/>
        <v>-0.38316422844811004</v>
      </c>
      <c r="J85" s="226">
        <f t="shared" si="6"/>
        <v>2.5195746243023932E-2</v>
      </c>
    </row>
    <row r="86" spans="3:10" x14ac:dyDescent="0.25">
      <c r="C86" s="106" t="s">
        <v>109</v>
      </c>
      <c r="D86" s="188">
        <v>467.88416479</v>
      </c>
      <c r="E86" s="192">
        <v>627.87145299999997</v>
      </c>
      <c r="F86" s="212">
        <f t="shared" si="7"/>
        <v>0.34193781335131734</v>
      </c>
      <c r="G86" s="196">
        <v>3324.9542018299999</v>
      </c>
      <c r="H86" s="187">
        <v>4335.9069666199994</v>
      </c>
      <c r="I86" s="216">
        <f t="shared" si="8"/>
        <v>0.30405013224951727</v>
      </c>
      <c r="J86" s="226">
        <f t="shared" si="6"/>
        <v>2.112418033029179E-2</v>
      </c>
    </row>
    <row r="87" spans="3:10" x14ac:dyDescent="0.25">
      <c r="C87" s="106" t="s">
        <v>108</v>
      </c>
      <c r="D87" s="193">
        <v>856.81599089999997</v>
      </c>
      <c r="E87" s="200">
        <v>392.97823299999999</v>
      </c>
      <c r="F87" s="212">
        <f t="shared" si="7"/>
        <v>-0.54135049161814142</v>
      </c>
      <c r="G87" s="196">
        <v>3693.4613206000004</v>
      </c>
      <c r="H87" s="187">
        <v>2899.7780192999999</v>
      </c>
      <c r="I87" s="216">
        <f t="shared" si="8"/>
        <v>-0.21488875404577601</v>
      </c>
      <c r="J87" s="226">
        <f t="shared" si="6"/>
        <v>1.4127478811027265E-2</v>
      </c>
    </row>
    <row r="88" spans="3:10" x14ac:dyDescent="0.25">
      <c r="C88" s="106" t="s">
        <v>102</v>
      </c>
      <c r="D88" s="188">
        <v>11.920999999999999</v>
      </c>
      <c r="E88" s="192">
        <v>8.4159900000000007</v>
      </c>
      <c r="F88" s="212">
        <f t="shared" si="7"/>
        <v>-0.29401979699689618</v>
      </c>
      <c r="G88" s="196">
        <v>85.175720000000013</v>
      </c>
      <c r="H88" s="187">
        <v>65.591849999999994</v>
      </c>
      <c r="I88" s="216">
        <f t="shared" si="8"/>
        <v>-0.22992315180898992</v>
      </c>
      <c r="J88" s="227">
        <f t="shared" si="6"/>
        <v>3.1955807130187478E-4</v>
      </c>
    </row>
    <row r="89" spans="3:10" x14ac:dyDescent="0.25">
      <c r="C89" s="89" t="s">
        <v>96</v>
      </c>
      <c r="D89" s="193">
        <v>0</v>
      </c>
      <c r="E89" s="200">
        <v>0</v>
      </c>
      <c r="F89" s="212" t="s">
        <v>46</v>
      </c>
      <c r="G89" s="205">
        <v>0</v>
      </c>
      <c r="H89" s="204">
        <v>39.4587661845</v>
      </c>
      <c r="I89" s="217" t="s">
        <v>81</v>
      </c>
      <c r="J89" s="262">
        <f t="shared" si="6"/>
        <v>1.9223984714366888E-4</v>
      </c>
    </row>
    <row r="90" spans="3:10" x14ac:dyDescent="0.25">
      <c r="C90" s="103" t="s">
        <v>117</v>
      </c>
      <c r="D90" s="190">
        <f>+D91</f>
        <v>1066912.938414</v>
      </c>
      <c r="E90" s="186">
        <f>+E91</f>
        <v>1148061.4364120001</v>
      </c>
      <c r="F90" s="214">
        <f t="shared" si="7"/>
        <v>7.605915635312277E-2</v>
      </c>
      <c r="G90" s="190">
        <f>+G91</f>
        <v>8924225.7491059992</v>
      </c>
      <c r="H90" s="186">
        <f>+H91</f>
        <v>7241037.3594589997</v>
      </c>
      <c r="I90" s="214">
        <f t="shared" si="8"/>
        <v>-0.18860889862805363</v>
      </c>
      <c r="J90" s="224">
        <f>SUM(J91)</f>
        <v>1</v>
      </c>
    </row>
    <row r="91" spans="3:10" x14ac:dyDescent="0.25">
      <c r="C91" s="109" t="s">
        <v>101</v>
      </c>
      <c r="D91" s="201">
        <v>1066912.938414</v>
      </c>
      <c r="E91" s="202">
        <v>1148061.4364120001</v>
      </c>
      <c r="F91" s="218">
        <f t="shared" si="7"/>
        <v>7.605915635312277E-2</v>
      </c>
      <c r="G91" s="208">
        <v>8924225.7491059992</v>
      </c>
      <c r="H91" s="209">
        <v>7241037.3594589997</v>
      </c>
      <c r="I91" s="218">
        <f t="shared" si="8"/>
        <v>-0.18860889862805363</v>
      </c>
      <c r="J91" s="231">
        <f>(H91/$H$90)</f>
        <v>1</v>
      </c>
    </row>
    <row r="92" spans="3:10" x14ac:dyDescent="0.25">
      <c r="C92" s="103" t="s">
        <v>118</v>
      </c>
      <c r="D92" s="190">
        <f>+D93</f>
        <v>2832.2348000000002</v>
      </c>
      <c r="E92" s="186">
        <f>+E93</f>
        <v>2934.8496</v>
      </c>
      <c r="F92" s="214">
        <f t="shared" si="7"/>
        <v>3.6231035647185772E-2</v>
      </c>
      <c r="G92" s="190">
        <f>+G93</f>
        <v>21977.208299999998</v>
      </c>
      <c r="H92" s="186">
        <f>+H93</f>
        <v>22413.989740000001</v>
      </c>
      <c r="I92" s="214">
        <f t="shared" si="8"/>
        <v>1.9874291312969028E-2</v>
      </c>
      <c r="J92" s="224">
        <f>SUM(J93)</f>
        <v>1</v>
      </c>
    </row>
    <row r="93" spans="3:10" x14ac:dyDescent="0.25">
      <c r="C93" s="109" t="s">
        <v>108</v>
      </c>
      <c r="D93" s="201">
        <v>2832.2348000000002</v>
      </c>
      <c r="E93" s="202">
        <v>2934.8496</v>
      </c>
      <c r="F93" s="218">
        <f t="shared" si="7"/>
        <v>3.6231035647185772E-2</v>
      </c>
      <c r="G93" s="187">
        <v>21977.208299999998</v>
      </c>
      <c r="H93" s="191">
        <v>22413.989740000001</v>
      </c>
      <c r="I93" s="212">
        <f t="shared" si="8"/>
        <v>1.9874291312969028E-2</v>
      </c>
      <c r="J93" s="231">
        <f>(H93/$H$92)</f>
        <v>1</v>
      </c>
    </row>
    <row r="94" spans="3:10" x14ac:dyDescent="0.25">
      <c r="C94" s="103" t="s">
        <v>119</v>
      </c>
      <c r="D94" s="190">
        <f>SUM(D95:D99)</f>
        <v>3624.9767510500001</v>
      </c>
      <c r="E94" s="186">
        <f>SUM(E95:E99)</f>
        <v>2874.9100050000002</v>
      </c>
      <c r="F94" s="214">
        <f t="shared" ref="F94:F113" si="9">(E94-D94)/D94</f>
        <v>-0.20691629148593513</v>
      </c>
      <c r="G94" s="190">
        <f>SUM(G95:G99)</f>
        <v>27982.105903755004</v>
      </c>
      <c r="H94" s="186">
        <f>SUM(H95:H99)</f>
        <v>25669.100988976097</v>
      </c>
      <c r="I94" s="214">
        <f t="shared" si="8"/>
        <v>-8.2660144405661717E-2</v>
      </c>
      <c r="J94" s="224">
        <f>SUM(J95:J99)</f>
        <v>1.0000000000000002</v>
      </c>
    </row>
    <row r="95" spans="3:10" x14ac:dyDescent="0.25">
      <c r="C95" s="107" t="s">
        <v>99</v>
      </c>
      <c r="D95" s="122">
        <v>628.62574500000005</v>
      </c>
      <c r="E95" s="123">
        <v>806.38773500000002</v>
      </c>
      <c r="F95" s="215">
        <f t="shared" si="9"/>
        <v>0.28277873029205947</v>
      </c>
      <c r="G95" s="122">
        <v>6132.5724355000011</v>
      </c>
      <c r="H95" s="123">
        <v>6797.2490682000007</v>
      </c>
      <c r="I95" s="215">
        <f t="shared" ref="I95:I106" si="10">(H95-G95)/G95</f>
        <v>0.10838463625025363</v>
      </c>
      <c r="J95" s="225">
        <f>(H95/$H$94)</f>
        <v>0.26480277089248899</v>
      </c>
    </row>
    <row r="96" spans="3:10" x14ac:dyDescent="0.25">
      <c r="C96" s="104" t="s">
        <v>97</v>
      </c>
      <c r="D96" s="196">
        <v>709.11690299999998</v>
      </c>
      <c r="E96" s="187">
        <v>957.70844899999997</v>
      </c>
      <c r="F96" s="216">
        <f t="shared" si="9"/>
        <v>0.35056497024440553</v>
      </c>
      <c r="G96" s="196">
        <v>5817.2472420000004</v>
      </c>
      <c r="H96" s="187">
        <v>6434.8807635000003</v>
      </c>
      <c r="I96" s="216">
        <f t="shared" si="10"/>
        <v>0.10617281607712005</v>
      </c>
      <c r="J96" s="226">
        <f>(H96/$H$94)</f>
        <v>0.2506858641548661</v>
      </c>
    </row>
    <row r="97" spans="3:10" x14ac:dyDescent="0.25">
      <c r="C97" s="104" t="s">
        <v>95</v>
      </c>
      <c r="D97" s="196">
        <v>813.01941192000004</v>
      </c>
      <c r="E97" s="187">
        <v>767.70786699999996</v>
      </c>
      <c r="F97" s="216">
        <f t="shared" si="9"/>
        <v>-5.5732426871572247E-2</v>
      </c>
      <c r="G97" s="196">
        <v>6664.7792382450007</v>
      </c>
      <c r="H97" s="187">
        <v>5964.7552466460993</v>
      </c>
      <c r="I97" s="216">
        <f t="shared" si="10"/>
        <v>-0.10503333517513999</v>
      </c>
      <c r="J97" s="226">
        <f>(H97/$H$94)</f>
        <v>0.23237102262396081</v>
      </c>
    </row>
    <row r="98" spans="3:10" x14ac:dyDescent="0.25">
      <c r="C98" s="104" t="s">
        <v>98</v>
      </c>
      <c r="D98" s="196">
        <v>932.9035824</v>
      </c>
      <c r="E98" s="187">
        <v>0</v>
      </c>
      <c r="F98" s="216" t="s">
        <v>46</v>
      </c>
      <c r="G98" s="196">
        <v>5528.7932020999997</v>
      </c>
      <c r="H98" s="187">
        <v>2486.2516989999999</v>
      </c>
      <c r="I98" s="216">
        <f t="shared" si="10"/>
        <v>-0.55030842932312107</v>
      </c>
      <c r="J98" s="226">
        <f>(H98/$H$94)</f>
        <v>9.6857762960524035E-2</v>
      </c>
    </row>
    <row r="99" spans="3:10" x14ac:dyDescent="0.25">
      <c r="C99" s="106" t="s">
        <v>129</v>
      </c>
      <c r="D99" s="163">
        <v>541.31110873</v>
      </c>
      <c r="E99" s="188">
        <v>343.10595400000005</v>
      </c>
      <c r="F99" s="216">
        <f t="shared" si="9"/>
        <v>-0.36615755991969212</v>
      </c>
      <c r="G99" s="196">
        <v>3838.7137859099994</v>
      </c>
      <c r="H99" s="187">
        <v>3985.9642116300001</v>
      </c>
      <c r="I99" s="216">
        <f t="shared" si="10"/>
        <v>3.8359313544157288E-2</v>
      </c>
      <c r="J99" s="226">
        <f t="shared" ref="J99" si="11">(H99/$H$94)</f>
        <v>0.1552825793681602</v>
      </c>
    </row>
    <row r="100" spans="3:10" x14ac:dyDescent="0.25">
      <c r="C100" s="103" t="s">
        <v>120</v>
      </c>
      <c r="D100" s="190">
        <f>SUM(D101:D106)</f>
        <v>3299.2486297</v>
      </c>
      <c r="E100" s="186">
        <f>SUM(E101:E106)</f>
        <v>2570.0481629999999</v>
      </c>
      <c r="F100" s="214">
        <f t="shared" si="9"/>
        <v>-0.2210201620258932</v>
      </c>
      <c r="G100" s="190">
        <f>SUM(G101:G106)</f>
        <v>20974.304215180004</v>
      </c>
      <c r="H100" s="186">
        <f>SUM(H101:H106)</f>
        <v>18826.385868000001</v>
      </c>
      <c r="I100" s="214">
        <f t="shared" si="10"/>
        <v>-0.10240713232458323</v>
      </c>
      <c r="J100" s="224">
        <f>SUM(J101:J106)</f>
        <v>1</v>
      </c>
    </row>
    <row r="101" spans="3:10" x14ac:dyDescent="0.25">
      <c r="C101" s="94" t="s">
        <v>103</v>
      </c>
      <c r="D101" s="142">
        <v>1688.93868</v>
      </c>
      <c r="E101" s="143">
        <v>1680.107</v>
      </c>
      <c r="F101" s="133">
        <f t="shared" si="9"/>
        <v>-5.2291300475159974E-3</v>
      </c>
      <c r="G101" s="122">
        <v>11639.4224046</v>
      </c>
      <c r="H101" s="123">
        <v>12236.162877500001</v>
      </c>
      <c r="I101" s="167">
        <f t="shared" si="10"/>
        <v>5.1268907696327262E-2</v>
      </c>
      <c r="J101" s="225">
        <f>(H101/$H$100)</f>
        <v>0.64994752382603194</v>
      </c>
    </row>
    <row r="102" spans="3:10" x14ac:dyDescent="0.25">
      <c r="C102" s="88" t="s">
        <v>100</v>
      </c>
      <c r="D102" s="126">
        <v>1476.7473</v>
      </c>
      <c r="E102" s="127">
        <v>752.91162599999996</v>
      </c>
      <c r="F102" s="136">
        <f t="shared" si="9"/>
        <v>-0.49015540708962191</v>
      </c>
      <c r="G102" s="124">
        <v>8329.7842359999995</v>
      </c>
      <c r="H102" s="125">
        <v>5228.2992540000005</v>
      </c>
      <c r="I102" s="134">
        <f t="shared" si="10"/>
        <v>-0.37233677297376749</v>
      </c>
      <c r="J102" s="226">
        <f t="shared" ref="J102:J106" si="12">(H102/$H$100)</f>
        <v>0.27771125539749825</v>
      </c>
    </row>
    <row r="103" spans="3:10" x14ac:dyDescent="0.25">
      <c r="C103" s="88" t="s">
        <v>98</v>
      </c>
      <c r="D103" s="126">
        <v>98.349620999999999</v>
      </c>
      <c r="E103" s="127">
        <v>74.442892999999998</v>
      </c>
      <c r="F103" s="136">
        <f t="shared" si="9"/>
        <v>-0.24307900484944422</v>
      </c>
      <c r="G103" s="124">
        <v>718.47047548</v>
      </c>
      <c r="H103" s="125">
        <v>879.61568900000009</v>
      </c>
      <c r="I103" s="134">
        <f t="shared" si="10"/>
        <v>0.2242892631215517</v>
      </c>
      <c r="J103" s="226">
        <f t="shared" si="12"/>
        <v>4.6722493375381188E-2</v>
      </c>
    </row>
    <row r="104" spans="3:10" x14ac:dyDescent="0.25">
      <c r="C104" s="88" t="s">
        <v>106</v>
      </c>
      <c r="D104" s="126">
        <v>32.437244700000001</v>
      </c>
      <c r="E104" s="127">
        <v>60.617533999999999</v>
      </c>
      <c r="F104" s="136">
        <f t="shared" si="9"/>
        <v>0.86876334783145126</v>
      </c>
      <c r="G104" s="124">
        <v>276.39033509999996</v>
      </c>
      <c r="H104" s="125">
        <v>459.05614349999996</v>
      </c>
      <c r="I104" s="134">
        <f t="shared" si="10"/>
        <v>0.660897959163117</v>
      </c>
      <c r="J104" s="226">
        <f t="shared" si="12"/>
        <v>2.4383657422016244E-2</v>
      </c>
    </row>
    <row r="105" spans="3:10" x14ac:dyDescent="0.25">
      <c r="C105" s="88" t="s">
        <v>104</v>
      </c>
      <c r="D105" s="239">
        <v>1.9827840000000001</v>
      </c>
      <c r="E105" s="240">
        <v>1.58928</v>
      </c>
      <c r="F105" s="136">
        <f t="shared" si="9"/>
        <v>-0.19846034666408446</v>
      </c>
      <c r="G105" s="124">
        <v>4.0247039999999998</v>
      </c>
      <c r="H105" s="125">
        <v>17.666573999999997</v>
      </c>
      <c r="I105" s="134">
        <f t="shared" si="10"/>
        <v>3.3895337396240812</v>
      </c>
      <c r="J105" s="226">
        <f t="shared" si="12"/>
        <v>9.3839434312395639E-4</v>
      </c>
    </row>
    <row r="106" spans="3:10" x14ac:dyDescent="0.25">
      <c r="C106" s="93" t="s">
        <v>102</v>
      </c>
      <c r="D106" s="236">
        <v>0.79300000000000004</v>
      </c>
      <c r="E106" s="232">
        <v>0.37983</v>
      </c>
      <c r="F106" s="138">
        <f t="shared" si="9"/>
        <v>-0.52102143757881469</v>
      </c>
      <c r="G106" s="237">
        <v>6.2120600000000001</v>
      </c>
      <c r="H106" s="238">
        <v>5.5853300000000008</v>
      </c>
      <c r="I106" s="170">
        <f t="shared" si="10"/>
        <v>-0.10088923803054048</v>
      </c>
      <c r="J106" s="227">
        <f t="shared" si="12"/>
        <v>2.9667563594846E-4</v>
      </c>
    </row>
    <row r="107" spans="3:10" x14ac:dyDescent="0.25">
      <c r="C107" s="103" t="s">
        <v>121</v>
      </c>
      <c r="D107" s="190">
        <f>SUM(D108:D110)</f>
        <v>21.985339000000003</v>
      </c>
      <c r="E107" s="186">
        <f>SUM(E108:E110)</f>
        <v>24.831367</v>
      </c>
      <c r="F107" s="214">
        <f t="shared" si="9"/>
        <v>0.12945117653177859</v>
      </c>
      <c r="G107" s="190">
        <f>SUM(G108:G110)</f>
        <v>178.14434309999999</v>
      </c>
      <c r="H107" s="186">
        <f>SUM(H108:H110)</f>
        <v>175.32105380000002</v>
      </c>
      <c r="I107" s="214">
        <f>(H107-G107)/G107</f>
        <v>-1.5848324178417153E-2</v>
      </c>
      <c r="J107" s="224">
        <f>SUM(J108:J110)</f>
        <v>0.99999999999999989</v>
      </c>
    </row>
    <row r="108" spans="3:10" x14ac:dyDescent="0.25">
      <c r="C108" s="94" t="s">
        <v>103</v>
      </c>
      <c r="D108" s="142">
        <v>15.727059000000001</v>
      </c>
      <c r="E108" s="143">
        <v>24.523652999999999</v>
      </c>
      <c r="F108" s="133">
        <f t="shared" si="9"/>
        <v>0.55932860682979557</v>
      </c>
      <c r="G108" s="122">
        <v>130.58193199999999</v>
      </c>
      <c r="H108" s="123">
        <v>143.352923</v>
      </c>
      <c r="I108" s="133">
        <f>(H108-G108)/G108</f>
        <v>9.780059771209397E-2</v>
      </c>
      <c r="J108" s="225">
        <f>(H108/$H$107)</f>
        <v>0.81765948751102013</v>
      </c>
    </row>
    <row r="109" spans="3:10" x14ac:dyDescent="0.25">
      <c r="C109" s="88" t="s">
        <v>98</v>
      </c>
      <c r="D109" s="126">
        <v>6.1152800000000003</v>
      </c>
      <c r="E109" s="240">
        <v>0.245674</v>
      </c>
      <c r="F109" s="136">
        <f t="shared" si="9"/>
        <v>-0.95982620583194878</v>
      </c>
      <c r="G109" s="124">
        <v>46.489611099999998</v>
      </c>
      <c r="H109" s="125">
        <v>31.260990799999998</v>
      </c>
      <c r="I109" s="136">
        <f>(H109-G109)/G109</f>
        <v>-0.3275703956146882</v>
      </c>
      <c r="J109" s="226">
        <f>(H109/$H$107)</f>
        <v>0.1783071121376068</v>
      </c>
    </row>
    <row r="110" spans="3:10" x14ac:dyDescent="0.25">
      <c r="C110" s="93" t="s">
        <v>102</v>
      </c>
      <c r="D110" s="234">
        <v>0.14299999999999999</v>
      </c>
      <c r="E110" s="233">
        <v>6.2039999999999998E-2</v>
      </c>
      <c r="F110" s="138">
        <f t="shared" si="9"/>
        <v>-0.56615384615384612</v>
      </c>
      <c r="G110" s="237">
        <v>1.0728</v>
      </c>
      <c r="H110" s="238">
        <v>0.7071400000000001</v>
      </c>
      <c r="I110" s="138">
        <f>(H110-G110)/G110</f>
        <v>-0.34084638329604761</v>
      </c>
      <c r="J110" s="230">
        <f>(H110/$H$107)</f>
        <v>4.0334003513729736E-3</v>
      </c>
    </row>
    <row r="111" spans="3:10" x14ac:dyDescent="0.25">
      <c r="C111" s="103" t="s">
        <v>122</v>
      </c>
      <c r="D111" s="190">
        <f>SUM(D112:D113)</f>
        <v>25.638396</v>
      </c>
      <c r="E111" s="186">
        <f>SUM(E112:E113)</f>
        <v>24.351747</v>
      </c>
      <c r="F111" s="214">
        <f t="shared" si="9"/>
        <v>-5.0184457717245674E-2</v>
      </c>
      <c r="G111" s="190">
        <f>SUM(G112:G113)</f>
        <v>204.361424</v>
      </c>
      <c r="H111" s="186">
        <f>SUM(H112:H113)</f>
        <v>221.29911900000002</v>
      </c>
      <c r="I111" s="214">
        <f t="shared" ref="I111:I119" si="13">(H111-G111)/G111</f>
        <v>8.2881077399421618E-2</v>
      </c>
      <c r="J111" s="224">
        <f>SUM(J112:J113)</f>
        <v>1</v>
      </c>
    </row>
    <row r="112" spans="3:10" x14ac:dyDescent="0.25">
      <c r="C112" s="94" t="s">
        <v>97</v>
      </c>
      <c r="D112" s="142">
        <v>14.265314999999999</v>
      </c>
      <c r="E112" s="143">
        <v>15.144987</v>
      </c>
      <c r="F112" s="133">
        <f t="shared" si="9"/>
        <v>6.1665094671936871E-2</v>
      </c>
      <c r="G112" s="122">
        <v>121.38157399999999</v>
      </c>
      <c r="H112" s="123">
        <v>125.496005</v>
      </c>
      <c r="I112" s="133">
        <f t="shared" si="13"/>
        <v>3.3896668698661057E-2</v>
      </c>
      <c r="J112" s="225">
        <f>(H112/$H$111)</f>
        <v>0.56708768461025816</v>
      </c>
    </row>
    <row r="113" spans="3:10" x14ac:dyDescent="0.25">
      <c r="C113" s="93" t="s">
        <v>98</v>
      </c>
      <c r="D113" s="128">
        <v>11.373080999999999</v>
      </c>
      <c r="E113" s="129">
        <v>9.2067599999999992</v>
      </c>
      <c r="F113" s="138">
        <f t="shared" si="9"/>
        <v>-0.19047793645363117</v>
      </c>
      <c r="G113" s="153">
        <v>82.979849999999999</v>
      </c>
      <c r="H113" s="154">
        <v>95.803114000000008</v>
      </c>
      <c r="I113" s="138">
        <f t="shared" si="13"/>
        <v>0.15453467317668096</v>
      </c>
      <c r="J113" s="230">
        <f>(H113/$H$111)</f>
        <v>0.43291231538974179</v>
      </c>
    </row>
    <row r="114" spans="3:10" x14ac:dyDescent="0.25">
      <c r="C114" s="103" t="s">
        <v>123</v>
      </c>
      <c r="D114" s="190">
        <f>SUM(D115:D117)</f>
        <v>1999.3391766000002</v>
      </c>
      <c r="E114" s="186">
        <f>SUM(E115:E117)</f>
        <v>3892.8888760000004</v>
      </c>
      <c r="F114" s="214">
        <f>(E114-D114)/D114</f>
        <v>0.94708777858297089</v>
      </c>
      <c r="G114" s="190">
        <f>SUM(G115:G117)</f>
        <v>10231.8409871</v>
      </c>
      <c r="H114" s="186">
        <f>SUM(H115:H117)</f>
        <v>24750.474217800001</v>
      </c>
      <c r="I114" s="214">
        <f t="shared" si="13"/>
        <v>1.4189658780863248</v>
      </c>
      <c r="J114" s="224">
        <f>SUM(J115:J117)</f>
        <v>1</v>
      </c>
    </row>
    <row r="115" spans="3:10" x14ac:dyDescent="0.25">
      <c r="C115" s="94" t="s">
        <v>104</v>
      </c>
      <c r="D115" s="142">
        <v>1907.3253276</v>
      </c>
      <c r="E115" s="143">
        <v>3808.8454650000003</v>
      </c>
      <c r="F115" s="133">
        <f>(E115-D115)/D115</f>
        <v>0.99695637125140868</v>
      </c>
      <c r="G115" s="122">
        <v>9489.5463321000007</v>
      </c>
      <c r="H115" s="123">
        <v>24043.092704800001</v>
      </c>
      <c r="I115" s="133">
        <f t="shared" si="13"/>
        <v>1.5336398457184577</v>
      </c>
      <c r="J115" s="225">
        <f>(H115/$H$114)</f>
        <v>0.97141947637951653</v>
      </c>
    </row>
    <row r="116" spans="3:10" x14ac:dyDescent="0.25">
      <c r="C116" s="88" t="s">
        <v>97</v>
      </c>
      <c r="D116" s="126">
        <v>77.732134000000002</v>
      </c>
      <c r="E116" s="127">
        <v>74.836651000000003</v>
      </c>
      <c r="F116" s="136">
        <f>(E116-D116)/D116</f>
        <v>-3.7249498386343012E-2</v>
      </c>
      <c r="G116" s="124">
        <v>634.21386000000007</v>
      </c>
      <c r="H116" s="125">
        <v>617.72745099999997</v>
      </c>
      <c r="I116" s="136">
        <f t="shared" si="13"/>
        <v>-2.5995031076741358E-2</v>
      </c>
      <c r="J116" s="226">
        <f>(H116/$H$114)</f>
        <v>2.4958206681783248E-2</v>
      </c>
    </row>
    <row r="117" spans="3:10" x14ac:dyDescent="0.25">
      <c r="C117" s="93" t="s">
        <v>98</v>
      </c>
      <c r="D117" s="128">
        <v>14.281715</v>
      </c>
      <c r="E117" s="129">
        <v>9.2067599999999992</v>
      </c>
      <c r="F117" s="138">
        <f>(E117-D117)/D117</f>
        <v>-0.35534632920486098</v>
      </c>
      <c r="G117" s="153">
        <v>108.08079500000001</v>
      </c>
      <c r="H117" s="154">
        <v>89.654061999999996</v>
      </c>
      <c r="I117" s="138">
        <f t="shared" si="13"/>
        <v>-0.17049035399859902</v>
      </c>
      <c r="J117" s="230">
        <f>(H117/$H$114)</f>
        <v>3.6223169387002191E-3</v>
      </c>
    </row>
    <row r="118" spans="3:10" x14ac:dyDescent="0.25">
      <c r="C118" s="103" t="s">
        <v>124</v>
      </c>
      <c r="D118" s="190">
        <f>SUM(D119)</f>
        <v>3.9266559000000001</v>
      </c>
      <c r="E118" s="186">
        <f>SUM(E119)</f>
        <v>7.7741199999999999</v>
      </c>
      <c r="F118" s="214">
        <f t="shared" ref="F118:F119" si="14">(E118-D118)/D118</f>
        <v>0.97983225369964289</v>
      </c>
      <c r="G118" s="260">
        <f>SUM(G119)</f>
        <v>28.847666800000002</v>
      </c>
      <c r="H118" s="260">
        <f>SUM(H119)</f>
        <v>29.110292000000001</v>
      </c>
      <c r="I118" s="221">
        <f t="shared" si="13"/>
        <v>9.1038627775608758E-3</v>
      </c>
      <c r="J118" s="224">
        <f>SUM(J119)</f>
        <v>1</v>
      </c>
    </row>
    <row r="119" spans="3:10" x14ac:dyDescent="0.25">
      <c r="C119" s="110" t="s">
        <v>98</v>
      </c>
      <c r="D119" s="181">
        <v>3.9266559000000001</v>
      </c>
      <c r="E119" s="181">
        <v>7.7741199999999999</v>
      </c>
      <c r="F119" s="219">
        <f t="shared" si="14"/>
        <v>0.97983225369964289</v>
      </c>
      <c r="G119" s="261">
        <v>28.847666800000002</v>
      </c>
      <c r="H119" s="261">
        <v>29.110292000000001</v>
      </c>
      <c r="I119" s="159">
        <f t="shared" si="13"/>
        <v>9.1038627775608758E-3</v>
      </c>
      <c r="J119" s="231">
        <f>(H119/$H$118)</f>
        <v>1</v>
      </c>
    </row>
    <row r="120" spans="3:10" ht="156" customHeight="1" x14ac:dyDescent="0.25">
      <c r="C120" s="280" t="s">
        <v>133</v>
      </c>
      <c r="D120" s="281"/>
      <c r="E120" s="281"/>
      <c r="F120" s="281"/>
      <c r="G120" s="281"/>
      <c r="H120" s="281"/>
      <c r="I120" s="281"/>
      <c r="J120" s="282"/>
    </row>
    <row r="121" spans="3:10" x14ac:dyDescent="0.25">
      <c r="D121" s="111"/>
      <c r="E121" s="111"/>
      <c r="F121" s="220"/>
    </row>
    <row r="122" spans="3:10" x14ac:dyDescent="0.25">
      <c r="F122" s="75"/>
    </row>
    <row r="123" spans="3:10" x14ac:dyDescent="0.25">
      <c r="F123" s="75"/>
    </row>
    <row r="124" spans="3:10" x14ac:dyDescent="0.25">
      <c r="F124" s="75"/>
    </row>
    <row r="125" spans="3:10" x14ac:dyDescent="0.25">
      <c r="F125" s="75"/>
    </row>
  </sheetData>
  <mergeCells count="5">
    <mergeCell ref="C3:J3"/>
    <mergeCell ref="C4:J4"/>
    <mergeCell ref="D8:F8"/>
    <mergeCell ref="G8:J8"/>
    <mergeCell ref="C120:J120"/>
  </mergeCells>
  <printOptions horizontalCentered="1"/>
  <pageMargins left="0" right="0" top="0" bottom="0" header="0.31496062992125984" footer="0.31496062992125984"/>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Carranza</dc:creator>
  <cp:lastModifiedBy>Victor Carranza</cp:lastModifiedBy>
  <dcterms:created xsi:type="dcterms:W3CDTF">2025-08-15T20:36:18Z</dcterms:created>
  <dcterms:modified xsi:type="dcterms:W3CDTF">2025-10-01T15:56:53Z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{650ED805-88E6-4860-94ED-AF4ABE06F984}</vt:lpwstr>
  </property>
</Properties>
</file>