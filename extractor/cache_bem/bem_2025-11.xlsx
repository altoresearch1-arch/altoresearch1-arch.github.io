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MANUEL ALONSO\Descargas\Cuadros estadisticos 11-2025\"/>
    </mc:Choice>
  </mc:AlternateContent>
  <xr:revisionPtr revIDLastSave="0" documentId="13_ncr:1_{0EBF7B14-3C9F-4868-A5C2-CF719260D081}" xr6:coauthVersionLast="47" xr6:coauthVersionMax="47" xr10:uidLastSave="{00000000-0000-0000-0000-000000000000}"/>
  <bookViews>
    <workbookView xWindow="-108" yWindow="-108" windowWidth="23256" windowHeight="12576" activeTab="2" xr2:uid="{C2E09711-F6FF-4B8A-8D2D-18AB30956760}"/>
  </bookViews>
  <sheets>
    <sheet name="S01.C01" sheetId="1" r:id="rId1"/>
    <sheet name="S01.C02" sheetId="2" r:id="rId2"/>
    <sheet name="S01.C03" sheetId="3" r:id="rId3"/>
  </sheets>
  <definedNames>
    <definedName name="_xlnm._FilterDatabase" localSheetId="1" hidden="1">'S01.C02'!$C$9:$G$110</definedName>
    <definedName name="_xlnm._FilterDatabase" localSheetId="2" hidden="1">'S01.C03'!$C$11:$G$121</definedName>
    <definedName name="_xlnm.Print_Area" localSheetId="0">'S01.C01'!$B$2:$Q$76</definedName>
    <definedName name="_xlnm.Print_Area" localSheetId="1">'S01.C02'!$B$2:$K$111</definedName>
    <definedName name="_xlnm.Print_Area" localSheetId="2">'S01.C03'!$B$2:$K$122</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6" i="1" l="1"/>
  <c r="F36" i="1"/>
  <c r="G36" i="1"/>
  <c r="H36" i="1"/>
  <c r="I36" i="1"/>
  <c r="J36" i="1"/>
  <c r="K36" i="1"/>
  <c r="L36" i="1"/>
  <c r="M36" i="1"/>
  <c r="N36" i="1"/>
  <c r="O36" i="1"/>
  <c r="P36" i="1"/>
  <c r="D36" i="1"/>
  <c r="F43" i="3"/>
  <c r="I43" i="3"/>
  <c r="D101" i="3"/>
  <c r="E101" i="3"/>
  <c r="I75" i="3" l="1"/>
  <c r="F95" i="2" l="1"/>
  <c r="H74" i="2" l="1"/>
  <c r="J76" i="2" s="1"/>
  <c r="G74" i="2"/>
  <c r="E74" i="2"/>
  <c r="D74" i="2"/>
  <c r="F48" i="2"/>
  <c r="F49" i="2"/>
  <c r="F50" i="2"/>
  <c r="F51" i="2"/>
  <c r="F52" i="2"/>
  <c r="F53" i="2"/>
  <c r="F54" i="2"/>
  <c r="F55" i="2"/>
  <c r="F56" i="2"/>
  <c r="F57" i="2"/>
  <c r="F58" i="2"/>
  <c r="D92" i="3" l="1"/>
  <c r="E92" i="3"/>
  <c r="G92" i="3"/>
  <c r="H92" i="3"/>
  <c r="J94" i="3" s="1"/>
  <c r="F99" i="3"/>
  <c r="D108" i="2" l="1"/>
  <c r="E108" i="2"/>
  <c r="F109" i="2"/>
  <c r="F94" i="2"/>
  <c r="F81" i="2"/>
  <c r="F108" i="2" l="1"/>
  <c r="F73" i="3" l="1"/>
  <c r="L61" i="1" l="1"/>
  <c r="I69" i="2"/>
  <c r="H108" i="2" l="1"/>
  <c r="J109" i="2" s="1"/>
  <c r="G108" i="2"/>
  <c r="I61" i="1"/>
  <c r="I88" i="2" l="1"/>
  <c r="F25" i="2"/>
  <c r="I106" i="3"/>
  <c r="F74" i="3"/>
  <c r="I74" i="3"/>
  <c r="D45" i="3"/>
  <c r="E45" i="3"/>
  <c r="F45" i="3" s="1"/>
  <c r="I97" i="2"/>
  <c r="I96" i="2"/>
  <c r="I95" i="2"/>
  <c r="I94" i="2"/>
  <c r="I93" i="2"/>
  <c r="F97" i="2"/>
  <c r="F93" i="2"/>
  <c r="Q36" i="1"/>
  <c r="I120" i="3"/>
  <c r="F120" i="3"/>
  <c r="H119" i="3"/>
  <c r="J120" i="3" s="1"/>
  <c r="J119" i="3" s="1"/>
  <c r="G119" i="3"/>
  <c r="E119" i="3"/>
  <c r="D119" i="3"/>
  <c r="I118" i="3"/>
  <c r="F118" i="3"/>
  <c r="I117" i="3"/>
  <c r="F117" i="3"/>
  <c r="I116" i="3"/>
  <c r="F116" i="3"/>
  <c r="H115" i="3"/>
  <c r="J118" i="3" s="1"/>
  <c r="G115" i="3"/>
  <c r="E115" i="3"/>
  <c r="D115" i="3"/>
  <c r="I114" i="3"/>
  <c r="F114" i="3"/>
  <c r="I113" i="3"/>
  <c r="F113" i="3"/>
  <c r="H112" i="3"/>
  <c r="J114" i="3" s="1"/>
  <c r="G112" i="3"/>
  <c r="E112" i="3"/>
  <c r="D112" i="3"/>
  <c r="I111" i="3"/>
  <c r="F111" i="3"/>
  <c r="I110" i="3"/>
  <c r="F110" i="3"/>
  <c r="I109" i="3"/>
  <c r="F109" i="3"/>
  <c r="H108" i="3"/>
  <c r="J111" i="3" s="1"/>
  <c r="G108" i="3"/>
  <c r="E108" i="3"/>
  <c r="D108" i="3"/>
  <c r="I107" i="3"/>
  <c r="F107" i="3"/>
  <c r="I105" i="3"/>
  <c r="F105" i="3"/>
  <c r="I104" i="3"/>
  <c r="F104" i="3"/>
  <c r="I103" i="3"/>
  <c r="F103" i="3"/>
  <c r="I102" i="3"/>
  <c r="F102" i="3"/>
  <c r="H101" i="3"/>
  <c r="J106" i="3" s="1"/>
  <c r="G101" i="3"/>
  <c r="I100" i="3"/>
  <c r="F100" i="3"/>
  <c r="I99" i="3"/>
  <c r="I98" i="3"/>
  <c r="F98" i="3"/>
  <c r="I97" i="3"/>
  <c r="F97" i="3"/>
  <c r="I96" i="3"/>
  <c r="F96" i="3"/>
  <c r="H95" i="3"/>
  <c r="J99" i="3" s="1"/>
  <c r="G95" i="3"/>
  <c r="E95" i="3"/>
  <c r="D95" i="3"/>
  <c r="I93" i="3"/>
  <c r="F93" i="3"/>
  <c r="J93" i="3"/>
  <c r="J92" i="3" s="1"/>
  <c r="I91" i="3"/>
  <c r="F91" i="3"/>
  <c r="H90" i="3"/>
  <c r="G90" i="3"/>
  <c r="E90" i="3"/>
  <c r="D90" i="3"/>
  <c r="I88" i="3"/>
  <c r="F88" i="3"/>
  <c r="I87" i="3"/>
  <c r="I86" i="3"/>
  <c r="F86" i="3"/>
  <c r="I85" i="3"/>
  <c r="F85" i="3"/>
  <c r="I84" i="3"/>
  <c r="F84" i="3"/>
  <c r="I83" i="3"/>
  <c r="F83" i="3"/>
  <c r="I82" i="3"/>
  <c r="F82" i="3"/>
  <c r="I81" i="3"/>
  <c r="F81" i="3"/>
  <c r="I80" i="3"/>
  <c r="F80" i="3"/>
  <c r="I79" i="3"/>
  <c r="F79" i="3"/>
  <c r="I78" i="3"/>
  <c r="F78" i="3"/>
  <c r="H77" i="3"/>
  <c r="J85" i="3" s="1"/>
  <c r="G77" i="3"/>
  <c r="E77" i="3"/>
  <c r="D77" i="3"/>
  <c r="I73" i="3"/>
  <c r="I72" i="3"/>
  <c r="I71" i="3"/>
  <c r="F71" i="3"/>
  <c r="I70" i="3"/>
  <c r="F70" i="3"/>
  <c r="I69" i="3"/>
  <c r="F69" i="3"/>
  <c r="I68" i="3"/>
  <c r="F68" i="3"/>
  <c r="I67" i="3"/>
  <c r="F67" i="3"/>
  <c r="I66" i="3"/>
  <c r="F66" i="3"/>
  <c r="I65" i="3"/>
  <c r="F65" i="3"/>
  <c r="I64" i="3"/>
  <c r="F64" i="3"/>
  <c r="I63" i="3"/>
  <c r="F63" i="3"/>
  <c r="I62" i="3"/>
  <c r="F62" i="3"/>
  <c r="I61" i="3"/>
  <c r="F61" i="3"/>
  <c r="I60" i="3"/>
  <c r="F60" i="3"/>
  <c r="I59" i="3"/>
  <c r="F59" i="3"/>
  <c r="H58" i="3"/>
  <c r="J68" i="3" s="1"/>
  <c r="G58" i="3"/>
  <c r="E58" i="3"/>
  <c r="D58" i="3"/>
  <c r="I57" i="3"/>
  <c r="F57" i="3"/>
  <c r="I55" i="3"/>
  <c r="I54" i="3"/>
  <c r="F54" i="3"/>
  <c r="I53" i="3"/>
  <c r="F53" i="3"/>
  <c r="I52" i="3"/>
  <c r="F52" i="3"/>
  <c r="I51" i="3"/>
  <c r="F51" i="3"/>
  <c r="I50" i="3"/>
  <c r="F50" i="3"/>
  <c r="I49" i="3"/>
  <c r="F49" i="3"/>
  <c r="I48" i="3"/>
  <c r="F48" i="3"/>
  <c r="I47" i="3"/>
  <c r="F47" i="3"/>
  <c r="I46" i="3"/>
  <c r="F46" i="3"/>
  <c r="H45" i="3"/>
  <c r="J57" i="3" s="1"/>
  <c r="G45"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6" i="3"/>
  <c r="F26"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J21" i="3" s="1"/>
  <c r="G11" i="3"/>
  <c r="E11" i="3"/>
  <c r="D11" i="3"/>
  <c r="I109" i="2"/>
  <c r="I107" i="2"/>
  <c r="F107" i="2"/>
  <c r="I106" i="2"/>
  <c r="F106" i="2"/>
  <c r="I105" i="2"/>
  <c r="F105" i="2"/>
  <c r="I104" i="2"/>
  <c r="F104" i="2"/>
  <c r="H103" i="2"/>
  <c r="J107" i="2" s="1"/>
  <c r="G103" i="2"/>
  <c r="E103" i="2"/>
  <c r="D103" i="2"/>
  <c r="I102" i="2"/>
  <c r="F102" i="2"/>
  <c r="I101" i="2"/>
  <c r="F101" i="2"/>
  <c r="I100" i="2"/>
  <c r="F100" i="2"/>
  <c r="H99" i="2"/>
  <c r="J102" i="2" s="1"/>
  <c r="G99" i="2"/>
  <c r="E99" i="2"/>
  <c r="D99" i="2"/>
  <c r="H92" i="2"/>
  <c r="J97" i="2" s="1"/>
  <c r="G92" i="2"/>
  <c r="E92" i="2"/>
  <c r="D92" i="2"/>
  <c r="I90" i="2"/>
  <c r="I89" i="2"/>
  <c r="F89" i="2"/>
  <c r="I87" i="2"/>
  <c r="F87" i="2"/>
  <c r="I86" i="2"/>
  <c r="F86" i="2"/>
  <c r="I85" i="2"/>
  <c r="F85" i="2"/>
  <c r="I84" i="2"/>
  <c r="F84" i="2"/>
  <c r="H83" i="2"/>
  <c r="J88" i="2" s="1"/>
  <c r="G83" i="2"/>
  <c r="E83" i="2"/>
  <c r="D83" i="2"/>
  <c r="I82" i="2"/>
  <c r="F82" i="2"/>
  <c r="I81" i="2"/>
  <c r="I80" i="2"/>
  <c r="F80" i="2"/>
  <c r="I79" i="2"/>
  <c r="F79" i="2"/>
  <c r="I78" i="2"/>
  <c r="F78" i="2"/>
  <c r="H77" i="2"/>
  <c r="J79" i="2" s="1"/>
  <c r="G77" i="2"/>
  <c r="E77" i="2"/>
  <c r="D77" i="2"/>
  <c r="I75" i="2"/>
  <c r="F75" i="2"/>
  <c r="J75" i="2"/>
  <c r="J74" i="2" s="1"/>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I57" i="2"/>
  <c r="I56" i="2"/>
  <c r="I55" i="2"/>
  <c r="I54" i="2"/>
  <c r="I53" i="2"/>
  <c r="I52" i="2"/>
  <c r="I51" i="2"/>
  <c r="I50" i="2"/>
  <c r="I49" i="2"/>
  <c r="I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E35" i="2"/>
  <c r="D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E11" i="2"/>
  <c r="D11" i="2"/>
  <c r="P61" i="1"/>
  <c r="O61" i="1"/>
  <c r="N61" i="1"/>
  <c r="M61" i="1"/>
  <c r="K61" i="1"/>
  <c r="J61" i="1"/>
  <c r="H61" i="1"/>
  <c r="G61" i="1"/>
  <c r="F61" i="1"/>
  <c r="E61" i="1"/>
  <c r="D61" i="1"/>
  <c r="P56" i="1"/>
  <c r="O56" i="1"/>
  <c r="N56" i="1"/>
  <c r="M56" i="1"/>
  <c r="L56" i="1"/>
  <c r="K56" i="1"/>
  <c r="J56" i="1"/>
  <c r="I56" i="1"/>
  <c r="H56" i="1"/>
  <c r="G56" i="1"/>
  <c r="F56" i="1"/>
  <c r="E56" i="1"/>
  <c r="D56" i="1"/>
  <c r="P51" i="1"/>
  <c r="O51" i="1"/>
  <c r="N51" i="1"/>
  <c r="M51" i="1"/>
  <c r="L51" i="1"/>
  <c r="K51" i="1"/>
  <c r="J51" i="1"/>
  <c r="I51" i="1"/>
  <c r="H51" i="1"/>
  <c r="G51" i="1"/>
  <c r="F51" i="1"/>
  <c r="E51" i="1"/>
  <c r="D51" i="1"/>
  <c r="Q35" i="1"/>
  <c r="Q34" i="1"/>
  <c r="Q33" i="1"/>
  <c r="Q32" i="1"/>
  <c r="Q31" i="1"/>
  <c r="Q30" i="1"/>
  <c r="Q29" i="1"/>
  <c r="Q28" i="1"/>
  <c r="Q27" i="1"/>
  <c r="Q26" i="1"/>
  <c r="Q25" i="1"/>
  <c r="Q24" i="1"/>
  <c r="Q23" i="1"/>
  <c r="Q22" i="1"/>
  <c r="I92" i="2" l="1"/>
  <c r="I11" i="2"/>
  <c r="I45" i="3"/>
  <c r="I99" i="2"/>
  <c r="J43" i="2"/>
  <c r="J104" i="2"/>
  <c r="J65" i="3"/>
  <c r="J75" i="3"/>
  <c r="I58" i="3"/>
  <c r="J74" i="3"/>
  <c r="J43" i="3"/>
  <c r="J39" i="2"/>
  <c r="J62" i="2"/>
  <c r="J53" i="2"/>
  <c r="J18" i="2"/>
  <c r="F101" i="3"/>
  <c r="I92" i="3"/>
  <c r="F90" i="3"/>
  <c r="F58" i="3"/>
  <c r="J50" i="3"/>
  <c r="F112" i="3"/>
  <c r="J51" i="3"/>
  <c r="J87" i="3"/>
  <c r="J52" i="3"/>
  <c r="I119" i="3"/>
  <c r="J46" i="3"/>
  <c r="J69" i="3"/>
  <c r="I27" i="3"/>
  <c r="J80" i="3"/>
  <c r="I90" i="3"/>
  <c r="F77" i="3"/>
  <c r="F95" i="3"/>
  <c r="J53" i="3"/>
  <c r="J70" i="3"/>
  <c r="J59" i="3"/>
  <c r="F119" i="3"/>
  <c r="J47" i="3"/>
  <c r="J54" i="3"/>
  <c r="J63" i="3"/>
  <c r="J91" i="3"/>
  <c r="J90" i="3" s="1"/>
  <c r="J48" i="3"/>
  <c r="J55" i="3"/>
  <c r="F115" i="3"/>
  <c r="F92" i="3"/>
  <c r="F108" i="3"/>
  <c r="J64" i="3"/>
  <c r="J49" i="3"/>
  <c r="I103" i="2"/>
  <c r="F103" i="2"/>
  <c r="J100" i="2"/>
  <c r="F99" i="2"/>
  <c r="F83" i="2"/>
  <c r="J80" i="2"/>
  <c r="J81" i="2"/>
  <c r="F74" i="2"/>
  <c r="J72" i="2"/>
  <c r="J71" i="2" s="1"/>
  <c r="J58" i="2"/>
  <c r="J38" i="2"/>
  <c r="F35" i="2"/>
  <c r="J30" i="2"/>
  <c r="F23" i="2"/>
  <c r="J15" i="2"/>
  <c r="J16" i="2"/>
  <c r="J13" i="3"/>
  <c r="I23" i="2"/>
  <c r="I47" i="2"/>
  <c r="J63" i="2"/>
  <c r="I108" i="2"/>
  <c r="J16" i="3"/>
  <c r="J23" i="3"/>
  <c r="J54" i="2"/>
  <c r="F77" i="2"/>
  <c r="J22" i="3"/>
  <c r="F71" i="2"/>
  <c r="J93" i="2"/>
  <c r="I95" i="3"/>
  <c r="I101" i="3"/>
  <c r="I115" i="3"/>
  <c r="F11" i="2"/>
  <c r="J24" i="2"/>
  <c r="J48" i="2"/>
  <c r="I71" i="2"/>
  <c r="J94" i="2"/>
  <c r="J81" i="3"/>
  <c r="J102" i="3"/>
  <c r="J49" i="2"/>
  <c r="J95" i="2"/>
  <c r="F11" i="3"/>
  <c r="J103" i="3"/>
  <c r="F47" i="2"/>
  <c r="J34" i="2"/>
  <c r="J17" i="3"/>
  <c r="J24" i="3"/>
  <c r="J19" i="2"/>
  <c r="J32" i="3"/>
  <c r="J18" i="3"/>
  <c r="I11" i="3"/>
  <c r="J104" i="3"/>
  <c r="J13" i="2"/>
  <c r="J20" i="2"/>
  <c r="F59" i="2"/>
  <c r="J44" i="3"/>
  <c r="J44" i="2"/>
  <c r="J67" i="2"/>
  <c r="J19" i="3"/>
  <c r="J26" i="3"/>
  <c r="J100" i="3"/>
  <c r="J25" i="3"/>
  <c r="J12" i="3"/>
  <c r="J14" i="2"/>
  <c r="J29" i="2"/>
  <c r="J52" i="2"/>
  <c r="F27" i="3"/>
  <c r="J68" i="2"/>
  <c r="I74" i="2"/>
  <c r="F92" i="2"/>
  <c r="J20" i="3"/>
  <c r="J86" i="3"/>
  <c r="J107" i="3"/>
  <c r="I108" i="3"/>
  <c r="J25" i="2"/>
  <c r="I77" i="2"/>
  <c r="J39" i="3"/>
  <c r="I77" i="3"/>
  <c r="J116" i="3"/>
  <c r="J21" i="2"/>
  <c r="I35" i="2"/>
  <c r="J40" i="2"/>
  <c r="I59" i="2"/>
  <c r="J64" i="2"/>
  <c r="J96" i="2"/>
  <c r="J101" i="2"/>
  <c r="J105" i="2"/>
  <c r="J108" i="2"/>
  <c r="J14" i="3"/>
  <c r="J34" i="3"/>
  <c r="J56" i="3"/>
  <c r="J60" i="3"/>
  <c r="J88" i="3"/>
  <c r="J82" i="2"/>
  <c r="J90" i="2"/>
  <c r="J28" i="3"/>
  <c r="J45" i="2"/>
  <c r="J96" i="3"/>
  <c r="J29" i="3"/>
  <c r="J71" i="3"/>
  <c r="J26" i="2"/>
  <c r="J46" i="2"/>
  <c r="J50" i="2"/>
  <c r="J70" i="2"/>
  <c r="J85" i="2"/>
  <c r="J40" i="3"/>
  <c r="J66" i="3"/>
  <c r="J83" i="3"/>
  <c r="J97" i="3"/>
  <c r="J109" i="3"/>
  <c r="J113" i="3"/>
  <c r="J112" i="3" s="1"/>
  <c r="J117" i="3"/>
  <c r="I112" i="3"/>
  <c r="J82" i="3"/>
  <c r="J55" i="2"/>
  <c r="J22" i="2"/>
  <c r="J41" i="2"/>
  <c r="J65" i="2"/>
  <c r="J78" i="2"/>
  <c r="J106" i="2"/>
  <c r="J15" i="3"/>
  <c r="J35" i="3"/>
  <c r="J61" i="3"/>
  <c r="J78" i="3"/>
  <c r="J84" i="2"/>
  <c r="J31" i="2"/>
  <c r="J89" i="3"/>
  <c r="J17" i="2"/>
  <c r="J32" i="2"/>
  <c r="J36" i="2"/>
  <c r="J56" i="2"/>
  <c r="J60" i="2"/>
  <c r="J30" i="3"/>
  <c r="J72" i="3"/>
  <c r="J105" i="3"/>
  <c r="J69" i="2"/>
  <c r="J27" i="2"/>
  <c r="J51" i="2"/>
  <c r="J86" i="2"/>
  <c r="J41" i="3"/>
  <c r="J67" i="3"/>
  <c r="J84" i="3"/>
  <c r="J98" i="3"/>
  <c r="J110" i="3"/>
  <c r="J89" i="2"/>
  <c r="J42" i="2"/>
  <c r="J66" i="2"/>
  <c r="J36" i="3"/>
  <c r="J62" i="3"/>
  <c r="J73" i="3"/>
  <c r="J79" i="3"/>
  <c r="I83" i="2"/>
  <c r="J33" i="3"/>
  <c r="J33" i="2"/>
  <c r="J31" i="3"/>
  <c r="J38" i="3"/>
  <c r="J87" i="2"/>
  <c r="J42" i="3"/>
  <c r="J99" i="2" l="1"/>
  <c r="J101" i="3"/>
  <c r="J45" i="3"/>
  <c r="J11" i="2"/>
  <c r="J11" i="3"/>
  <c r="J35" i="2"/>
  <c r="J92" i="2"/>
  <c r="J95" i="3"/>
  <c r="J83" i="2"/>
  <c r="J58" i="3"/>
  <c r="J27" i="3"/>
  <c r="J23" i="2"/>
  <c r="J108" i="3"/>
  <c r="J77" i="2"/>
  <c r="J115" i="3"/>
  <c r="J77" i="3"/>
  <c r="J47" i="2"/>
  <c r="J103" i="2"/>
  <c r="J59" i="2"/>
</calcChain>
</file>

<file path=xl/sharedStrings.xml><?xml version="1.0" encoding="utf-8"?>
<sst xmlns="http://schemas.openxmlformats.org/spreadsheetml/2006/main" count="403" uniqueCount="154">
  <si>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</si>
  <si>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</si>
  <si>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</si>
  <si>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</si>
  <si>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</si>
  <si>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</si>
  <si>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</si>
  <si>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</si>
  <si>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</si>
  <si>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</si>
  <si>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</si>
  <si>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</si>
  <si>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</si>
  <si>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</si>
  <si>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</si>
  <si>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</si>
  <si>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</si>
  <si>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</si>
  <si>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</si>
  <si>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</si>
  <si>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</si>
  <si>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</si>
  <si>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</si>
  <si>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</si>
  <si>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r>
      <t xml:space="preserve">Mar. / </t>
    </r>
    <r>
      <rPr>
        <i/>
        <sz val="10"/>
        <color rgb="FF000000"/>
        <rFont val="Calibri Light"/>
        <family val="2"/>
        <scheme val="major"/>
      </rPr>
      <t>Mar.</t>
    </r>
  </si>
  <si>
    <r>
      <t xml:space="preserve">Abr. / </t>
    </r>
    <r>
      <rPr>
        <i/>
        <sz val="10"/>
        <color rgb="FF000000"/>
        <rFont val="Calibri Light"/>
        <family val="2"/>
        <scheme val="major"/>
      </rPr>
      <t>Apr.</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</si>
  <si>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</si>
  <si>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</si>
  <si>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</si>
  <si>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</si>
  <si>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</si>
  <si>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</si>
  <si>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</si>
  <si>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</si>
  <si>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</si>
  <si>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</si>
  <si>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</si>
  <si>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</si>
  <si>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</si>
  <si>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</si>
  <si>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</si>
  <si>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</si>
  <si>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</si>
  <si>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</si>
  <si>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</si>
  <si>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</si>
  <si>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CONSORCIO MINERO HORIZONTE S.R.L.</t>
  </si>
  <si>
    <t>MINERA AURIFERA RETAMAS S.A.</t>
  </si>
  <si>
    <t>MINERA BOROO MISQUICHILCA S.A.</t>
  </si>
  <si>
    <t>COMPAÑIA MINERA ARES S.A.C.</t>
  </si>
  <si>
    <t>PALTARUMI S.A.C.</t>
  </si>
  <si>
    <t>SHAHUINDO S.A.C.</t>
  </si>
  <si>
    <t>GOLD FIELDS LA CIMA S.A.</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</si>
  <si>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</si>
  <si>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</si>
  <si>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</si>
  <si>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</si>
  <si>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</si>
  <si>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</si>
  <si>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</si>
  <si>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</si>
  <si>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</si>
  <si>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</si>
  <si>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</si>
  <si>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</si>
  <si>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</si>
  <si>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</si>
  <si>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</si>
  <si>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</si>
  <si>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</si>
  <si>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</si>
  <si>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</si>
  <si>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</si>
  <si>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</si>
  <si>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</si>
  <si>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</si>
  <si>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</si>
  <si>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</si>
  <si>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</si>
  <si>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t>
  </si>
  <si>
    <t>SOCIEDAD MINERA ANDEREAL S.A.C.</t>
  </si>
  <si>
    <t>GLORE PERU S.A.C</t>
  </si>
  <si>
    <t>EL PACIFICO DORADO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</si>
  <si>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</si>
  <si>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</si>
  <si>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</si>
  <si>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</si>
  <si>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</si>
  <si>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</si>
  <si>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</si>
  <si>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</si>
  <si>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</si>
  <si>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</si>
  <si>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</si>
  <si>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</si>
  <si>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</si>
  <si>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</si>
  <si>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</si>
  <si>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</si>
  <si>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</si>
  <si>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</si>
  <si>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</si>
  <si>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</si>
  <si>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</si>
  <si>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</si>
  <si>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</si>
  <si>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</si>
  <si>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</si>
  <si>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</si>
  <si>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</si>
  <si>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</si>
  <si>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</si>
  <si>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</si>
  <si>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</si>
  <si>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</si>
  <si>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</si>
  <si>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</si>
  <si>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</si>
  <si>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</si>
  <si>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</si>
  <si>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</si>
  <si>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</si>
  <si>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</si>
  <si>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OTROS (2024: 3 titulares mineros, 2025: 3 titulares mineros)</t>
  </si>
  <si>
    <r>
      <t xml:space="preserve">May. / </t>
    </r>
    <r>
      <rPr>
        <i/>
        <sz val="10"/>
        <color theme="1"/>
        <rFont val="Calibri Light"/>
        <family val="2"/>
        <scheme val="major"/>
      </rPr>
      <t>May.</t>
    </r>
  </si>
  <si>
    <r>
      <t xml:space="preserve">Jun. / </t>
    </r>
    <r>
      <rPr>
        <i/>
        <sz val="10"/>
        <color rgb="FF000000"/>
        <rFont val="Calibri Light"/>
        <family val="2"/>
        <scheme val="major"/>
      </rPr>
      <t>Jun.</t>
    </r>
  </si>
  <si>
    <t>OTROS** (2024: 3 departamentos, 2025: 3 departamentos)</t>
  </si>
  <si>
    <t>Jul. / Jul.</t>
  </si>
  <si>
    <r>
      <t>Ago. /</t>
    </r>
    <r>
      <rPr>
        <i/>
        <sz val="10"/>
        <color rgb="FF000000"/>
        <rFont val="Calibri Light"/>
        <family val="2"/>
        <scheme val="major"/>
      </rPr>
      <t xml:space="preserve"> Aug.</t>
    </r>
  </si>
  <si>
    <r>
      <t>Set. /</t>
    </r>
    <r>
      <rPr>
        <i/>
        <sz val="10"/>
        <color rgb="FF000000"/>
        <rFont val="Calibri Light"/>
        <family val="2"/>
        <scheme val="major"/>
      </rPr>
      <t xml:space="preserve"> Sept.</t>
    </r>
  </si>
  <si>
    <t>EMPRESA MINERA LOS QUENUALES S.A.</t>
  </si>
  <si>
    <r>
      <t>Oct. /</t>
    </r>
    <r>
      <rPr>
        <i/>
        <sz val="10"/>
        <color rgb="FF000000"/>
        <rFont val="Calibri Light"/>
        <family val="2"/>
        <scheme val="major"/>
      </rPr>
      <t xml:space="preserve"> Oct.</t>
    </r>
  </si>
  <si>
    <r>
      <t xml:space="preserve">Oct. 2025
</t>
    </r>
    <r>
      <rPr>
        <i/>
        <sz val="8"/>
        <color rgb="FF000000"/>
        <rFont val="Calibri Light"/>
        <family val="2"/>
        <scheme val="major"/>
      </rPr>
      <t>(Oct. 2025)</t>
    </r>
  </si>
  <si>
    <t>OTROS (2024: 50 titulares mineros, 2025: 47 titulares mineros)</t>
  </si>
  <si>
    <t>OTROS (2024: 34 titulares mineros, 2025: 30 titulares mineros)</t>
  </si>
  <si>
    <t>OTROS (2024: 33 titulares mineros, 2025: 30 titulares mineros)</t>
  </si>
  <si>
    <r>
      <t>Nov. /</t>
    </r>
    <r>
      <rPr>
        <i/>
        <sz val="10"/>
        <color rgb="FF000000"/>
        <rFont val="Calibri Light"/>
        <family val="2"/>
        <scheme val="major"/>
      </rPr>
      <t xml:space="preserve"> Nov.</t>
    </r>
  </si>
  <si>
    <r>
      <t xml:space="preserve">2025
(Ene-Nov)
</t>
    </r>
    <r>
      <rPr>
        <i/>
        <sz val="10"/>
        <color rgb="FF000000"/>
        <rFont val="Calibri Light"/>
        <family val="2"/>
        <scheme val="major"/>
      </rPr>
      <t>(Jan-Nov.)</t>
    </r>
  </si>
  <si>
    <r>
      <t xml:space="preserve">Nov. 2024
</t>
    </r>
    <r>
      <rPr>
        <i/>
        <sz val="10"/>
        <color rgb="FF000000"/>
        <rFont val="Calibri Light"/>
        <family val="2"/>
        <scheme val="major"/>
      </rPr>
      <t>(Nov</t>
    </r>
    <r>
      <rPr>
        <i/>
        <sz val="8"/>
        <color rgb="FF000000"/>
        <rFont val="Calibri Light"/>
        <family val="2"/>
        <scheme val="major"/>
      </rPr>
      <t>. 2024)</t>
    </r>
  </si>
  <si>
    <r>
      <t xml:space="preserve">Nov. 2025
</t>
    </r>
    <r>
      <rPr>
        <i/>
        <sz val="8"/>
        <color rgb="FF000000"/>
        <rFont val="Calibri Light"/>
        <family val="2"/>
        <scheme val="major"/>
      </rPr>
      <t>(Nov. 2025)</t>
    </r>
  </si>
  <si>
    <r>
      <t xml:space="preserve">VARIACIÓN INTERANUAL, NOVIEMBRE / </t>
    </r>
    <r>
      <rPr>
        <i/>
        <sz val="8"/>
        <color rgb="FF000000"/>
        <rFont val="Calibri Light"/>
        <family val="2"/>
        <scheme val="major"/>
      </rPr>
      <t>YEAR-OVER-YEAR VARIATION, NOVEMBER</t>
    </r>
  </si>
  <si>
    <r>
      <t xml:space="preserve">VARIACIÓN INTERANUAL ACUMULADA ENERO-NOVIEMBRE / </t>
    </r>
    <r>
      <rPr>
        <sz val="8"/>
        <color rgb="FF000000"/>
        <rFont val="Calibri Light"/>
        <family val="2"/>
        <scheme val="major"/>
      </rPr>
      <t>CUMULATIVE YEAR-OVER-YEAR VARIATION, JANUARY–NOVEMBER</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</si>
  <si>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29 de diciembre de 2025.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December 29, 2025.</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</si>
  <si>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29 de diciembre de 2025. / </t>
    </r>
    <r>
      <rPr>
        <i/>
        <u/>
        <sz val="10"/>
        <color theme="1"/>
        <rFont val="Calibri Light"/>
        <family val="2"/>
        <scheme val="major"/>
      </rPr>
      <t>Date of consultation</t>
    </r>
    <r>
      <rPr>
        <i/>
        <sz val="10"/>
        <color theme="1"/>
        <rFont val="Calibri Light"/>
        <family val="2"/>
        <scheme val="major"/>
      </rPr>
      <t>: December 29,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</si>
  <si>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29 de diciembre de 2025. / </t>
    </r>
    <r>
      <rPr>
        <i/>
        <u/>
        <sz val="10"/>
        <color theme="1"/>
        <rFont val="Calibri Light"/>
        <family val="2"/>
        <scheme val="major"/>
      </rPr>
      <t>Date of consultation</t>
    </r>
    <r>
      <rPr>
        <i/>
        <sz val="10"/>
        <color theme="1"/>
        <rFont val="Calibri Light"/>
        <family val="2"/>
        <scheme val="major"/>
      </rPr>
      <t>: December 29,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</si>
  <si>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29 de diciembre de 2025.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December 29,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</si>
  <si>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r>
      <t xml:space="preserve">Ene-Nov 2024
</t>
    </r>
    <r>
      <rPr>
        <i/>
        <sz val="8"/>
        <color theme="1"/>
        <rFont val="Calibri Light"/>
        <family val="2"/>
        <scheme val="major"/>
      </rPr>
      <t>(Jan-Nov. 2024)</t>
    </r>
  </si>
  <si>
    <r>
      <t xml:space="preserve">Ene-Nov 2025
</t>
    </r>
    <r>
      <rPr>
        <i/>
        <sz val="8"/>
        <color theme="1"/>
        <rFont val="Calibri Light"/>
        <family val="2"/>
        <scheme val="major"/>
      </rPr>
      <t>(Jan-Nov. 2025)</t>
    </r>
  </si>
  <si>
    <r>
      <t xml:space="preserve">NOVIEMBRE
</t>
    </r>
    <r>
      <rPr>
        <i/>
        <sz val="10"/>
        <color theme="1"/>
        <rFont val="Calibri Light"/>
        <family val="2"/>
        <scheme val="major"/>
      </rPr>
      <t>November</t>
    </r>
  </si>
  <si>
    <r>
      <t xml:space="preserve">ENERO - NOVIEMBRE
</t>
    </r>
    <r>
      <rPr>
        <i/>
        <sz val="9"/>
        <color theme="1"/>
        <rFont val="Calibri Light"/>
        <family val="2"/>
        <scheme val="major"/>
      </rPr>
      <t>January -November</t>
    </r>
  </si>
  <si>
    <t>OTROS (2024: 270 titulares mineros, 2025: 274 titulares mineros)</t>
  </si>
  <si>
    <t>OTROS (2024: 89 titulares mineros, 2025: 81 titulares mineros)</t>
  </si>
  <si>
    <r>
      <t xml:space="preserve">ENERO - NOVIEMBRE
</t>
    </r>
    <r>
      <rPr>
        <i/>
        <sz val="8"/>
        <color theme="1"/>
        <rFont val="Calibri Light"/>
        <family val="2"/>
        <scheme val="major"/>
      </rPr>
      <t>January - November</t>
    </r>
  </si>
  <si>
    <r>
      <t xml:space="preserve">NOVIEMBRE
</t>
    </r>
    <r>
      <rPr>
        <i/>
        <sz val="8"/>
        <color theme="1"/>
        <rFont val="Calibri Light"/>
        <family val="2"/>
        <scheme val="major"/>
      </rPr>
      <t>November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</si>
</sst>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 numFmtId="170" formatCode="0.0000%"/>
    <numFmt numFmtId="171" formatCode="#,##0.000"/>
  </numFmts>
  <fonts count="34"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8"/>
      <color rgb="FF00000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8" fillId="3" borderId="0">
      <alignment horizontal="left"/>
    </xf>
    <xf numFmtId="167" fontId="1" fillId="0" borderId="0" applyFont="0" applyFill="0" applyBorder="0" applyAlignment="0" applyProtection="0"/>
  </cellStyleXfs>
  <cellXfs count="302">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2" fontId="7" fillId="2" borderId="7" xfId="3" applyNumberFormat="1" applyFont="1" applyFill="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0" fontId="7" fillId="2" borderId="4"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7" borderId="9" xfId="4" applyFont="1" applyFill="1" applyBorder="1" applyAlignment="1">
      <alignment horizontal="center" vertical="center"/>
    </xf>
    <xf numFmtId="166" fontId="16"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4" fillId="3" borderId="5" xfId="0" applyFont="1" applyFill="1" applyBorder="1" applyAlignment="1">
      <alignment vertical="center"/>
    </xf>
    <xf numFmtId="10" fontId="23" fillId="0" borderId="0" xfId="0" applyNumberFormat="1" applyFont="1" applyAlignment="1">
      <alignment horizontal="center" vertical="center"/>
    </xf>
    <xf numFmtId="0" fontId="23" fillId="0" borderId="0" xfId="0" applyFont="1" applyAlignment="1">
      <alignment horizontal="center" vertical="center"/>
    </xf>
    <xf numFmtId="0" fontId="27"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8" fillId="3" borderId="0" xfId="5" applyNumberFormat="1" applyFont="1" applyFill="1" applyAlignment="1">
      <alignment horizontal="center" vertical="center"/>
    </xf>
    <xf numFmtId="10" fontId="28"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23"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9"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9" fillId="9" borderId="12" xfId="0" applyFont="1" applyFill="1" applyBorder="1" applyAlignment="1">
      <alignment vertical="center"/>
    </xf>
    <xf numFmtId="0" fontId="5" fillId="2" borderId="0" xfId="3" applyFont="1" applyFill="1" applyAlignment="1">
      <alignment vertical="center"/>
    </xf>
    <xf numFmtId="0" fontId="30" fillId="3" borderId="0" xfId="0" applyFont="1" applyFill="1" applyAlignment="1">
      <alignment horizontal="left" vertical="center"/>
    </xf>
    <xf numFmtId="166" fontId="15" fillId="3" borderId="0" xfId="2" applyNumberFormat="1" applyFont="1" applyFill="1" applyAlignment="1">
      <alignment horizontal="center" vertical="center"/>
    </xf>
    <xf numFmtId="0" fontId="31"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3" borderId="15"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3" fillId="0" borderId="0" xfId="0" applyNumberFormat="1" applyFont="1" applyAlignment="1">
      <alignment vertical="center"/>
    </xf>
    <xf numFmtId="166" fontId="23" fillId="0" borderId="0" xfId="0" applyNumberFormat="1" applyFont="1" applyAlignment="1">
      <alignment horizontal="center" vertical="center"/>
    </xf>
    <xf numFmtId="0" fontId="4" fillId="3" borderId="7" xfId="0" applyFont="1" applyFill="1" applyBorder="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166" fontId="4" fillId="3" borderId="5" xfId="2" applyNumberFormat="1" applyFont="1" applyFill="1" applyBorder="1" applyAlignment="1">
      <alignment horizontal="center" vertical="center"/>
    </xf>
    <xf numFmtId="3" fontId="11" fillId="4" borderId="4" xfId="5"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3" fontId="4" fillId="3" borderId="4"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4" xfId="1" applyNumberFormat="1" applyFont="1" applyFill="1" applyBorder="1" applyAlignment="1">
      <alignment horizontal="center" vertical="center"/>
    </xf>
    <xf numFmtId="3" fontId="15" fillId="0" borderId="5"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4" xfId="1"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5"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5" fillId="3" borderId="5"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6"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3"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164" fontId="4" fillId="0" borderId="4" xfId="5" applyNumberFormat="1" applyFont="1" applyFill="1" applyBorder="1" applyAlignment="1">
      <alignment horizontal="center" vertical="center"/>
    </xf>
    <xf numFmtId="164" fontId="4" fillId="3" borderId="4"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164" fontId="4" fillId="3" borderId="4" xfId="2" applyNumberFormat="1" applyFont="1" applyFill="1" applyBorder="1" applyAlignment="1">
      <alignment horizontal="center" vertical="center"/>
    </xf>
    <xf numFmtId="164" fontId="4" fillId="3" borderId="5" xfId="2" applyNumberFormat="1" applyFont="1" applyFill="1" applyBorder="1" applyAlignment="1">
      <alignment horizontal="center" vertical="center"/>
    </xf>
    <xf numFmtId="0" fontId="6" fillId="5" borderId="4" xfId="3" applyFont="1" applyFill="1" applyBorder="1" applyAlignment="1">
      <alignment horizontal="left" vertical="center"/>
    </xf>
    <xf numFmtId="2" fontId="7" fillId="0" borderId="17" xfId="3" applyNumberFormat="1" applyFont="1" applyBorder="1" applyAlignment="1">
      <alignment horizontal="center" vertical="center"/>
    </xf>
    <xf numFmtId="0" fontId="23" fillId="4" borderId="11" xfId="0" applyFont="1" applyFill="1" applyBorder="1" applyAlignment="1">
      <alignment vertical="center"/>
    </xf>
    <xf numFmtId="0" fontId="23" fillId="0" borderId="8" xfId="0" applyFont="1" applyBorder="1" applyAlignment="1">
      <alignment vertical="center"/>
    </xf>
    <xf numFmtId="0" fontId="29" fillId="4" borderId="11" xfId="0" applyFont="1" applyFill="1" applyBorder="1" applyAlignment="1">
      <alignment vertical="center"/>
    </xf>
    <xf numFmtId="3" fontId="11" fillId="4" borderId="2" xfId="5" applyNumberFormat="1" applyFont="1" applyFill="1" applyBorder="1" applyAlignment="1">
      <alignment horizontal="center" vertical="center"/>
    </xf>
    <xf numFmtId="3" fontId="4" fillId="3" borderId="5" xfId="2" applyNumberFormat="1" applyFont="1" applyFill="1" applyBorder="1" applyAlignment="1">
      <alignment horizontal="center" vertical="center"/>
    </xf>
    <xf numFmtId="169" fontId="15" fillId="3" borderId="14" xfId="2"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0" fontId="7" fillId="5" borderId="5" xfId="3" applyFont="1" applyFill="1" applyBorder="1" applyAlignment="1">
      <alignment horizontal="center" vertical="center"/>
    </xf>
    <xf numFmtId="3" fontId="7" fillId="5" borderId="5" xfId="3" applyNumberFormat="1" applyFont="1" applyFill="1" applyBorder="1" applyAlignment="1">
      <alignment horizontal="center" vertical="center"/>
    </xf>
    <xf numFmtId="0" fontId="7" fillId="5" borderId="6" xfId="3" applyFont="1" applyFill="1" applyBorder="1" applyAlignment="1">
      <alignment horizontal="center" vertical="center"/>
    </xf>
    <xf numFmtId="3" fontId="4" fillId="3" borderId="9" xfId="5" applyNumberFormat="1" applyFont="1" applyFill="1" applyBorder="1" applyAlignment="1">
      <alignment horizontal="center" vertical="center"/>
    </xf>
    <xf numFmtId="3" fontId="9" fillId="2" borderId="7" xfId="3" applyNumberFormat="1" applyFont="1" applyFill="1" applyBorder="1" applyAlignment="1">
      <alignment horizontal="center" vertical="center"/>
    </xf>
    <xf numFmtId="3" fontId="15" fillId="0" borderId="4" xfId="5" applyNumberFormat="1" applyFont="1" applyFill="1" applyBorder="1" applyAlignment="1">
      <alignment horizontal="center" vertical="center"/>
    </xf>
    <xf numFmtId="0" fontId="15" fillId="0" borderId="13" xfId="4" applyFont="1" applyFill="1" applyBorder="1" applyAlignment="1">
      <alignment horizontal="left" vertical="center"/>
    </xf>
    <xf numFmtId="3" fontId="15" fillId="0" borderId="1" xfId="5" applyNumberFormat="1" applyFont="1" applyFill="1" applyBorder="1" applyAlignment="1">
      <alignment horizontal="center" vertical="center"/>
    </xf>
    <xf numFmtId="3" fontId="15" fillId="0" borderId="2" xfId="5"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170" fontId="15" fillId="3" borderId="14" xfId="2" applyNumberFormat="1" applyFont="1" applyFill="1" applyBorder="1" applyAlignment="1">
      <alignment horizontal="center" vertical="center"/>
    </xf>
    <xf numFmtId="10" fontId="15" fillId="0" borderId="6" xfId="2" applyNumberFormat="1" applyFont="1" applyFill="1" applyBorder="1" applyAlignment="1">
      <alignment horizontal="center" vertical="center"/>
    </xf>
    <xf numFmtId="170" fontId="15" fillId="0" borderId="15" xfId="2" applyNumberFormat="1" applyFont="1" applyFill="1" applyBorder="1" applyAlignment="1">
      <alignment horizontal="center" vertical="center"/>
    </xf>
    <xf numFmtId="169" fontId="15" fillId="0" borderId="15" xfId="2" applyNumberFormat="1" applyFont="1" applyFill="1" applyBorder="1" applyAlignment="1">
      <alignment horizontal="center" vertical="center"/>
    </xf>
    <xf numFmtId="166" fontId="15" fillId="0" borderId="15" xfId="2" applyNumberFormat="1" applyFont="1" applyFill="1" applyBorder="1" applyAlignment="1">
      <alignment horizontal="center" vertical="center"/>
    </xf>
    <xf numFmtId="10" fontId="15" fillId="0" borderId="15" xfId="2" applyNumberFormat="1" applyFont="1" applyFill="1" applyBorder="1" applyAlignment="1">
      <alignment horizontal="center" vertical="center"/>
    </xf>
    <xf numFmtId="166" fontId="15" fillId="0" borderId="14" xfId="2" applyNumberFormat="1" applyFont="1" applyFill="1" applyBorder="1" applyAlignment="1">
      <alignment horizontal="center" vertical="center"/>
    </xf>
    <xf numFmtId="10" fontId="15" fillId="0" borderId="14" xfId="2" applyNumberFormat="1" applyFont="1" applyFill="1" applyBorder="1" applyAlignment="1">
      <alignment horizontal="center" vertical="center"/>
    </xf>
    <xf numFmtId="0" fontId="4" fillId="3" borderId="8" xfId="0" applyFont="1" applyFill="1" applyBorder="1" applyAlignment="1">
      <alignment vertical="center"/>
    </xf>
    <xf numFmtId="10" fontId="16" fillId="6" borderId="10" xfId="3" applyNumberFormat="1" applyFont="1" applyFill="1" applyBorder="1" applyAlignment="1">
      <alignment horizontal="center" vertical="center"/>
    </xf>
    <xf numFmtId="10" fontId="6" fillId="8" borderId="10" xfId="3" applyNumberFormat="1" applyFont="1" applyFill="1" applyBorder="1" applyAlignment="1">
      <alignment horizontal="center" vertical="center"/>
    </xf>
    <xf numFmtId="10" fontId="11" fillId="4" borderId="6" xfId="2" applyNumberFormat="1" applyFont="1" applyFill="1" applyBorder="1" applyAlignment="1">
      <alignment horizontal="center" vertical="center"/>
    </xf>
    <xf numFmtId="10" fontId="4" fillId="3" borderId="13" xfId="2" applyNumberFormat="1" applyFont="1" applyFill="1" applyBorder="1" applyAlignment="1">
      <alignment horizontal="center" vertical="center"/>
    </xf>
    <xf numFmtId="169" fontId="4" fillId="3" borderId="14" xfId="2"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4" fontId="11" fillId="4" borderId="9" xfId="5" applyNumberFormat="1" applyFont="1" applyFill="1" applyBorder="1" applyAlignment="1">
      <alignment horizontal="center" vertical="center"/>
    </xf>
    <xf numFmtId="4" fontId="11" fillId="4" borderId="10" xfId="5" applyNumberFormat="1" applyFont="1" applyFill="1" applyBorder="1" applyAlignment="1">
      <alignment horizontal="center" vertical="center"/>
    </xf>
    <xf numFmtId="4" fontId="4" fillId="0" borderId="1" xfId="5" applyNumberFormat="1" applyFont="1" applyFill="1" applyBorder="1" applyAlignment="1">
      <alignment horizontal="center" vertical="center"/>
    </xf>
    <xf numFmtId="4" fontId="4" fillId="0" borderId="2" xfId="5" applyNumberFormat="1" applyFont="1" applyFill="1" applyBorder="1" applyAlignment="1">
      <alignment horizontal="center" vertical="center"/>
    </xf>
    <xf numFmtId="0" fontId="3" fillId="2" borderId="0" xfId="3" applyFont="1" applyFill="1" applyAlignment="1">
      <alignment horizontal="left" vertical="center" wrapText="1"/>
    </xf>
    <xf numFmtId="10" fontId="16" fillId="4" borderId="11" xfId="2" applyNumberFormat="1" applyFont="1" applyFill="1" applyBorder="1" applyAlignment="1">
      <alignment horizontal="center" vertical="center"/>
    </xf>
    <xf numFmtId="10" fontId="15" fillId="3" borderId="13" xfId="2" applyNumberFormat="1" applyFont="1" applyFill="1" applyBorder="1" applyAlignment="1">
      <alignment horizontal="center" vertical="center"/>
    </xf>
    <xf numFmtId="164" fontId="15" fillId="0" borderId="7" xfId="1" applyNumberFormat="1" applyFont="1" applyFill="1" applyBorder="1" applyAlignment="1">
      <alignment horizontal="center" vertical="center"/>
    </xf>
    <xf numFmtId="164" fontId="15" fillId="0" borderId="7" xfId="5" applyNumberFormat="1" applyFont="1" applyFill="1" applyBorder="1" applyAlignment="1">
      <alignment horizontal="center" vertical="center"/>
    </xf>
    <xf numFmtId="4" fontId="15" fillId="0" borderId="4" xfId="5" applyNumberFormat="1" applyFont="1" applyFill="1" applyBorder="1" applyAlignment="1">
      <alignment horizontal="center" vertical="center"/>
    </xf>
    <xf numFmtId="4" fontId="15" fillId="0" borderId="5" xfId="5" applyNumberFormat="1" applyFont="1" applyFill="1" applyBorder="1" applyAlignment="1">
      <alignment horizontal="center" vertical="center"/>
    </xf>
    <xf numFmtId="3" fontId="4" fillId="0" borderId="7" xfId="1" applyNumberFormat="1" applyFont="1" applyFill="1" applyBorder="1" applyAlignment="1">
      <alignment horizontal="center" vertical="center"/>
    </xf>
    <xf numFmtId="4" fontId="4" fillId="0" borderId="4" xfId="5"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4" fontId="16" fillId="4" borderId="9" xfId="5" applyNumberFormat="1" applyFont="1" applyFill="1" applyBorder="1" applyAlignment="1">
      <alignment horizontal="center" vertical="center"/>
    </xf>
    <xf numFmtId="4" fontId="16" fillId="4" borderId="10" xfId="5" applyNumberFormat="1" applyFont="1" applyFill="1" applyBorder="1" applyAlignment="1">
      <alignment horizontal="center" vertical="center"/>
    </xf>
    <xf numFmtId="4" fontId="4" fillId="0" borderId="9" xfId="5" applyNumberFormat="1" applyFont="1" applyFill="1" applyBorder="1" applyAlignment="1">
      <alignment horizontal="center" vertical="center"/>
    </xf>
    <xf numFmtId="4" fontId="4" fillId="0" borderId="10" xfId="5" applyNumberFormat="1" applyFont="1" applyFill="1" applyBorder="1" applyAlignment="1">
      <alignment horizontal="center" vertical="center"/>
    </xf>
    <xf numFmtId="3" fontId="6" fillId="4" borderId="11" xfId="3"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4" fillId="0" borderId="0" xfId="0" applyFont="1" applyAlignment="1">
      <alignment horizontal="center" vertical="center" wrapText="1"/>
    </xf>
    <xf numFmtId="0" fontId="14" fillId="2" borderId="0" xfId="3" applyFont="1" applyFill="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xf numFmtId="0" fontId="4" fillId="0" borderId="13" xfId="4" applyFont="1" applyFill="1" applyBorder="1" applyAlignment="1">
      <alignment horizontal="left" vertical="center" indent="1"/>
    </xf>
    <xf numFmtId="37" fontId="4" fillId="3" borderId="0" xfId="5" applyNumberFormat="1" applyFont="1" applyFill="1" applyBorder="1" applyAlignment="1">
      <alignment horizontal="center" vertical="center"/>
    </xf>
    <xf numFmtId="0" fontId="4" fillId="0" borderId="14" xfId="4" applyFont="1" applyFill="1" applyBorder="1" applyAlignment="1">
      <alignment horizontal="left" vertical="center" indent="1"/>
    </xf>
    <xf numFmtId="0" fontId="15" fillId="0" borderId="15" xfId="4" applyFont="1" applyFill="1" applyBorder="1" applyAlignment="1">
      <alignment horizontal="left" indent="1"/>
    </xf>
    <xf numFmtId="0" fontId="4" fillId="0" borderId="3" xfId="4" applyFont="1" applyFill="1" applyBorder="1" applyAlignment="1">
      <alignment horizontal="left" vertical="center" indent="1"/>
    </xf>
    <xf numFmtId="0" fontId="4" fillId="0" borderId="8" xfId="4" applyFont="1" applyFill="1" applyBorder="1" applyAlignment="1">
      <alignment horizontal="left" vertical="center" indent="1"/>
    </xf>
    <xf numFmtId="0" fontId="15" fillId="0" borderId="6" xfId="4" applyFont="1" applyFill="1" applyBorder="1" applyAlignment="1">
      <alignment horizontal="left" indent="1"/>
    </xf>
    <xf numFmtId="0" fontId="15" fillId="0" borderId="8" xfId="4" applyFont="1" applyFill="1" applyBorder="1" applyAlignment="1">
      <alignment horizontal="left" indent="1"/>
    </xf>
    <xf numFmtId="37" fontId="4" fillId="3" borderId="5" xfId="5" applyNumberFormat="1" applyFont="1" applyFill="1" applyBorder="1" applyAlignment="1">
      <alignment horizontal="center" vertical="center"/>
    </xf>
    <xf numFmtId="0" fontId="4" fillId="3" borderId="8" xfId="4" applyFont="1" applyBorder="1" applyAlignment="1">
      <alignment horizontal="left" vertical="center" indent="1"/>
    </xf>
    <xf numFmtId="37" fontId="4" fillId="3" borderId="2" xfId="5" applyNumberFormat="1" applyFont="1" applyFill="1" applyBorder="1" applyAlignment="1">
      <alignment horizontal="center" vertical="center"/>
    </xf>
    <xf numFmtId="37" fontId="4" fillId="3" borderId="1" xfId="5" applyNumberFormat="1" applyFont="1" applyFill="1" applyBorder="1" applyAlignment="1">
      <alignment horizontal="center" vertical="center"/>
    </xf>
    <xf numFmtId="0" fontId="4" fillId="0" borderId="15" xfId="4" applyFont="1" applyFill="1" applyBorder="1" applyAlignment="1">
      <alignment horizontal="left" vertical="center" indent="1"/>
    </xf>
    <xf numFmtId="37" fontId="4" fillId="3" borderId="4" xfId="5" applyNumberFormat="1" applyFont="1" applyFill="1" applyBorder="1" applyAlignment="1">
      <alignment horizontal="center" vertical="center"/>
    </xf>
    <xf numFmtId="3" fontId="15" fillId="0" borderId="5" xfId="3" applyNumberFormat="1" applyFont="1" applyBorder="1" applyAlignment="1">
      <alignment horizontal="center" vertical="center"/>
    </xf>
    <xf numFmtId="3" fontId="15" fillId="2" borderId="5" xfId="3" applyNumberFormat="1" applyFont="1" applyFill="1" applyBorder="1" applyAlignment="1">
      <alignment horizontal="center" vertical="center"/>
    </xf>
    <xf numFmtId="3" fontId="15" fillId="0" borderId="6" xfId="3" applyNumberFormat="1" applyFont="1" applyBorder="1" applyAlignment="1">
      <alignment horizontal="center" vertical="center"/>
    </xf>
    <xf numFmtId="164" fontId="7" fillId="2" borderId="0" xfId="3" applyNumberFormat="1" applyFont="1" applyFill="1" applyAlignment="1">
      <alignment horizontal="center" vertical="center"/>
    </xf>
    <xf numFmtId="4" fontId="7" fillId="2" borderId="8" xfId="3" applyNumberFormat="1" applyFont="1" applyFill="1" applyBorder="1" applyAlignment="1">
      <alignment horizontal="center" vertical="center"/>
    </xf>
    <xf numFmtId="171" fontId="7" fillId="0" borderId="8" xfId="3" applyNumberFormat="1" applyFont="1" applyBorder="1" applyAlignment="1">
      <alignment horizontal="center" vertical="center"/>
    </xf>
    <xf numFmtId="3" fontId="7" fillId="2" borderId="16" xfId="3" applyNumberFormat="1" applyFont="1" applyFill="1" applyBorder="1" applyAlignment="1">
      <alignment horizontal="center" vertical="center"/>
    </xf>
    <xf numFmtId="164" fontId="7" fillId="2" borderId="16" xfId="3" applyNumberFormat="1" applyFont="1" applyFill="1" applyBorder="1" applyAlignment="1">
      <alignment horizontal="center" vertical="center"/>
    </xf>
    <xf numFmtId="171" fontId="7" fillId="2" borderId="16" xfId="3" applyNumberFormat="1" applyFont="1" applyFill="1" applyBorder="1" applyAlignment="1">
      <alignment horizontal="center" vertical="center"/>
    </xf>
    <xf numFmtId="3" fontId="15" fillId="0" borderId="0" xfId="3" applyNumberFormat="1" applyFont="1" applyAlignment="1">
      <alignment horizontal="center" vertical="center"/>
    </xf>
    <xf numFmtId="4" fontId="15" fillId="0" borderId="3" xfId="3" applyNumberFormat="1" applyFont="1" applyBorder="1" applyAlignment="1">
      <alignment horizontal="center" vertical="center"/>
    </xf>
    <xf numFmtId="3" fontId="7" fillId="0" borderId="5" xfId="3" applyNumberFormat="1" applyFont="1" applyBorder="1" applyAlignment="1">
      <alignment horizontal="center" vertical="center"/>
    </xf>
    <xf numFmtId="4" fontId="7" fillId="0" borderId="6" xfId="3" applyNumberFormat="1" applyFont="1" applyBorder="1" applyAlignment="1">
      <alignment horizontal="center" vertical="center"/>
    </xf>
    <xf numFmtId="3" fontId="15" fillId="0" borderId="8" xfId="3" applyNumberFormat="1" applyFont="1" applyBorder="1" applyAlignment="1">
      <alignment horizontal="center" vertical="center"/>
    </xf>
    <xf numFmtId="3" fontId="15" fillId="0" borderId="0" xfId="4" applyNumberFormat="1" applyFont="1" applyFill="1" applyAlignment="1">
      <alignment horizontal="center" vertical="center"/>
    </xf>
    <xf numFmtId="171" fontId="15" fillId="0" borderId="3" xfId="4" applyNumberFormat="1" applyFont="1" applyFill="1" applyBorder="1" applyAlignment="1">
      <alignment horizontal="center" vertical="center"/>
    </xf>
    <xf numFmtId="171" fontId="15" fillId="0" borderId="6" xfId="4" applyNumberFormat="1" applyFont="1" applyFill="1" applyBorder="1" applyAlignment="1">
      <alignment horizontal="center" vertical="center"/>
    </xf>
    <xf numFmtId="0" fontId="23" fillId="0" borderId="0" xfId="0" applyFont="1" applyAlignment="1">
      <alignment horizontal="right" vertical="center"/>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9"/>
            <c:invertIfNegative val="0"/>
            <c:bubble3D val="0"/>
            <c:spPr>
              <a:solidFill>
                <a:srgbClr val="C00000"/>
              </a:solidFill>
            </c:spPr>
            <c:extLst>
              <c:ext xmlns:c16="http://schemas.microsoft.com/office/drawing/2014/chart" uri="{C3380CC4-5D6E-409C-BE32-E72D297353CC}">
                <c16:uniqueId val="{00000002-9898-4371-A9E4-B533EE1B1C1E}"/>
              </c:ext>
            </c:extLst>
          </c:dPt>
          <c:dLbls>
            <c:dLbl>
              <c:idx val="9"/>
              <c:spPr>
                <a:noFill/>
                <a:ln>
                  <a:noFill/>
                </a:ln>
                <a:effectLst/>
              </c:spPr>
              <c:txPr>
                <a:bodyPr/>
                <a:lstStyle/>
                <a:p>
                  <a:pPr>
                    <a:defRPr sz="1100" b="1"/>
                  </a:pPr>
                  <a:endParaRPr lang="es-ES"/>
                </a:p>
              </c:txPr>
              <c:dLblPos val="outEnd"/>
              <c:showLegendKey val="0"/>
              <c:showVal val="1"/>
              <c:showCatName val="0"/>
              <c:showSerName val="0"/>
              <c:showPercent val="0"/>
              <c:showBubbleSize val="0"/>
              <c:extLst>
                <c:ext xmlns:c16="http://schemas.microsoft.com/office/drawing/2014/chart" uri="{C3380CC4-5D6E-409C-BE32-E72D297353CC}">
                  <c16:uniqueId val="{00000002-9898-4371-A9E4-B533EE1B1C1E}"/>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'S01.C01'!$C$27:$C$36</c:f>
              <c:strCache>
                <c:ptCount val="10"/>
                <c:pt idx="0">
                  <c:v>2016</c:v>
                </c:pt>
                <c:pt idx="1">
                  <c:v>2017</c:v>
                </c:pt>
                <c:pt idx="2">
                  <c:v>2018</c:v>
                </c:pt>
                <c:pt idx="3">
                  <c:v>2019</c:v>
                </c:pt>
                <c:pt idx="4">
                  <c:v>2020</c:v>
                </c:pt>
                <c:pt idx="5">
                  <c:v>2021</c:v>
                </c:pt>
                <c:pt idx="6">
                  <c:v>2022</c:v>
                </c:pt>
                <c:pt idx="7">
                  <c:v>2023</c:v>
                </c:pt>
                <c:pt idx="8">
                  <c:v>2024</c:v>
                </c:pt>
                <c:pt idx="9">
                  <c:v>2025
(Ene-Nov)
(Jan-Nov.)</c:v>
                </c:pt>
              </c:strCache>
            </c:strRef>
          </c:cat>
          <c:val>
            <c:numRef>
              <c:f>'S01.C01'!$Q$27:$Q$36</c:f>
              <c:numCache>
                <c:formatCode>#,##0</c:formatCode>
                <c:ptCount val="10"/>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2512.7396714741226</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ES"/>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66</xdr:row>
      <xdr:rowOff>19050</xdr:rowOff>
    </xdr:from>
    <xdr:to>
      <xdr:col>15</xdr:col>
      <xdr:colOff>542924</xdr:colOff>
      <xdr:row>73</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B3:AJ75"/>
  <sheetViews>
    <sheetView showGridLines="0" view="pageBreakPreview" zoomScaleNormal="100" zoomScaleSheetLayoutView="100" workbookViewId="0">
      <selection sqref="A1:XFD1048576"/>
    </sheetView>
  </sheetViews>
  <sheetFormatPr baseColWidth="10" defaultColWidth="11.44140625" defaultRowHeight="13.8" x14ac:dyDescent="0.3"/>
  <cols>
    <col min="1" max="2" width="2.6640625" style="2" customWidth="1"/>
    <col min="3" max="3" width="12.88671875" style="38" customWidth="1"/>
    <col min="4" max="4" width="12.44140625" style="2" customWidth="1"/>
    <col min="5" max="5" width="13.33203125" style="2" bestFit="1" customWidth="1"/>
    <col min="6" max="16" width="12.44140625" style="2" customWidth="1"/>
    <col min="17" max="17" width="2.44140625" style="8" customWidth="1"/>
    <col min="18" max="18" width="11.44140625" style="2"/>
    <col min="19" max="19" width="12.44140625" style="2" bestFit="1" customWidth="1"/>
    <col min="20" max="20" width="14.44140625" style="2" bestFit="1" customWidth="1"/>
    <col min="21" max="22" width="12.44140625" style="2" bestFit="1" customWidth="1"/>
    <col min="23" max="23" width="11.5546875" style="2" bestFit="1" customWidth="1"/>
    <col min="24" max="24" width="13.44140625" style="2" bestFit="1" customWidth="1"/>
    <col min="25" max="26" width="11.5546875" style="2" bestFit="1" customWidth="1"/>
    <col min="27" max="27" width="11.44140625" style="2"/>
    <col min="28" max="28" width="11.5546875" style="2" bestFit="1" customWidth="1"/>
    <col min="29" max="29" width="13.44140625" style="2" bestFit="1" customWidth="1"/>
    <col min="30" max="32" width="11.5546875" style="2" bestFit="1" customWidth="1"/>
    <col min="33" max="33" width="12.44140625" style="2" bestFit="1" customWidth="1"/>
    <col min="34" max="35" width="11.5546875" style="2" bestFit="1" customWidth="1"/>
    <col min="36" max="16384" width="11.44140625" style="2"/>
  </cols>
  <sheetData>
    <row r="3" spans="3:17" ht="15.75" customHeight="1" x14ac:dyDescent="0.3">
      <c r="C3" s="251" t="s">
        <v>0</v>
      </c>
      <c r="D3" s="251"/>
      <c r="E3" s="251"/>
      <c r="F3" s="251"/>
      <c r="G3" s="251"/>
      <c r="H3" s="251"/>
      <c r="I3" s="251"/>
      <c r="J3" s="251"/>
      <c r="K3" s="251"/>
      <c r="L3" s="251"/>
      <c r="M3" s="251"/>
      <c r="N3" s="251"/>
      <c r="O3" s="251"/>
      <c r="P3" s="251"/>
      <c r="Q3" s="1"/>
    </row>
    <row r="4" spans="3:17" ht="14.25" customHeight="1" x14ac:dyDescent="0.3">
      <c r="C4" s="252" t="s">
        <v>1</v>
      </c>
      <c r="D4" s="252"/>
      <c r="E4" s="252"/>
      <c r="F4" s="252"/>
      <c r="G4" s="252"/>
      <c r="H4" s="252"/>
      <c r="I4" s="252"/>
      <c r="J4" s="252"/>
      <c r="K4" s="252"/>
      <c r="L4" s="252"/>
      <c r="M4" s="252"/>
      <c r="N4" s="252"/>
      <c r="O4" s="252"/>
      <c r="P4" s="252"/>
      <c r="Q4" s="3"/>
    </row>
    <row r="5" spans="3:17" ht="9" customHeight="1" x14ac:dyDescent="0.3">
      <c r="C5" s="4"/>
      <c r="D5" s="5"/>
      <c r="E5" s="5"/>
      <c r="F5" s="5"/>
      <c r="G5" s="5"/>
      <c r="H5" s="6"/>
      <c r="I5" s="7"/>
      <c r="J5" s="6"/>
      <c r="K5" s="5"/>
      <c r="L5" s="5"/>
      <c r="M5" s="5"/>
      <c r="N5" s="5"/>
      <c r="O5" s="5"/>
      <c r="P5" s="5"/>
    </row>
    <row r="6" spans="3:17" ht="14.4" customHeight="1" x14ac:dyDescent="0.3">
      <c r="C6" s="253" t="s">
        <v>2</v>
      </c>
      <c r="D6" s="253"/>
      <c r="E6" s="253"/>
      <c r="F6" s="253"/>
      <c r="G6" s="253"/>
      <c r="H6" s="253"/>
      <c r="I6" s="253"/>
      <c r="J6" s="253"/>
      <c r="K6" s="253"/>
      <c r="L6" s="233"/>
      <c r="M6" s="233"/>
      <c r="N6" s="233"/>
      <c r="O6" s="233"/>
      <c r="P6" s="233"/>
    </row>
    <row r="7" spans="3:17" ht="14.4" customHeight="1" x14ac:dyDescent="0.3">
      <c r="C7" s="9" t="s">
        <v>3</v>
      </c>
      <c r="D7" s="233"/>
      <c r="E7" s="233"/>
      <c r="F7" s="233"/>
      <c r="G7" s="233"/>
      <c r="H7" s="233"/>
      <c r="I7" s="233"/>
      <c r="J7" s="233"/>
      <c r="K7" s="233"/>
      <c r="L7" s="233"/>
      <c r="M7" s="233"/>
      <c r="N7" s="233"/>
      <c r="O7" s="233"/>
      <c r="P7" s="233"/>
    </row>
    <row r="8" spans="3:17" x14ac:dyDescent="0.3">
      <c r="C8" s="5"/>
      <c r="D8" s="5"/>
      <c r="E8" s="5"/>
      <c r="F8" s="5"/>
      <c r="G8" s="5"/>
      <c r="H8" s="5"/>
      <c r="I8" s="5"/>
      <c r="J8" s="5"/>
      <c r="K8" s="5"/>
      <c r="L8" s="5"/>
      <c r="M8" s="5"/>
      <c r="N8" s="5"/>
      <c r="O8" s="5"/>
      <c r="P8" s="5"/>
    </row>
    <row r="9" spans="3:17" s="14" customFormat="1" ht="29.25" customHeight="1" x14ac:dyDescent="0.3">
      <c r="C9" s="10" t="s">
        <v>4</v>
      </c>
      <c r="D9" s="11" t="s">
        <v>5</v>
      </c>
      <c r="E9" s="11" t="s">
        <v>6</v>
      </c>
      <c r="F9" s="11" t="s">
        <v>7</v>
      </c>
      <c r="G9" s="11" t="s">
        <v>8</v>
      </c>
      <c r="H9" s="11" t="s">
        <v>9</v>
      </c>
      <c r="I9" s="11" t="s">
        <v>10</v>
      </c>
      <c r="J9" s="11" t="s">
        <v>11</v>
      </c>
      <c r="K9" s="11" t="s">
        <v>12</v>
      </c>
      <c r="L9" s="11" t="s">
        <v>13</v>
      </c>
      <c r="M9" s="11" t="s">
        <v>14</v>
      </c>
      <c r="N9" s="11" t="s">
        <v>15</v>
      </c>
      <c r="O9" s="11" t="s">
        <v>16</v>
      </c>
      <c r="P9" s="12" t="s">
        <v>17</v>
      </c>
      <c r="Q9" s="13"/>
    </row>
    <row r="10" spans="3:17" ht="24" x14ac:dyDescent="0.3">
      <c r="C10" s="15"/>
      <c r="D10" s="16" t="s">
        <v>18</v>
      </c>
      <c r="E10" s="16" t="s">
        <v>19</v>
      </c>
      <c r="F10" s="16" t="s">
        <v>18</v>
      </c>
      <c r="G10" s="16" t="s">
        <v>20</v>
      </c>
      <c r="H10" s="16" t="s">
        <v>18</v>
      </c>
      <c r="I10" s="16" t="s">
        <v>18</v>
      </c>
      <c r="J10" s="16" t="s">
        <v>18</v>
      </c>
      <c r="K10" s="16" t="s">
        <v>18</v>
      </c>
      <c r="L10" s="16" t="s">
        <v>18</v>
      </c>
      <c r="M10" s="16" t="s">
        <v>18</v>
      </c>
      <c r="N10" s="16" t="s">
        <v>18</v>
      </c>
      <c r="O10" s="16" t="s">
        <v>18</v>
      </c>
      <c r="P10" s="17" t="s">
        <v>18</v>
      </c>
    </row>
    <row r="11" spans="3:17" x14ac:dyDescent="0.3">
      <c r="C11" s="18">
        <v>2000</v>
      </c>
      <c r="D11" s="19">
        <v>553924</v>
      </c>
      <c r="E11" s="19">
        <v>132585078.00000001</v>
      </c>
      <c r="F11" s="19">
        <v>910303</v>
      </c>
      <c r="G11" s="19">
        <v>2437706</v>
      </c>
      <c r="H11" s="19">
        <v>270576</v>
      </c>
      <c r="I11" s="19">
        <v>2812784.7804642497</v>
      </c>
      <c r="J11" s="19">
        <v>37410</v>
      </c>
      <c r="K11" s="19">
        <v>7193</v>
      </c>
      <c r="L11" s="19" t="s">
        <v>21</v>
      </c>
      <c r="M11" s="19" t="s">
        <v>21</v>
      </c>
      <c r="N11" s="19" t="s">
        <v>21</v>
      </c>
      <c r="O11" s="19" t="s">
        <v>21</v>
      </c>
      <c r="P11" s="20" t="s">
        <v>21</v>
      </c>
    </row>
    <row r="12" spans="3:17" x14ac:dyDescent="0.3">
      <c r="C12" s="18">
        <v>2001</v>
      </c>
      <c r="D12" s="19">
        <v>722355.34555900015</v>
      </c>
      <c r="E12" s="19">
        <v>138522109.261338</v>
      </c>
      <c r="F12" s="19">
        <v>1056629.375614</v>
      </c>
      <c r="G12" s="19">
        <v>2571113.7884550001</v>
      </c>
      <c r="H12" s="19">
        <v>289546.06610700005</v>
      </c>
      <c r="I12" s="19">
        <v>3038401.494655</v>
      </c>
      <c r="J12" s="19">
        <v>38182.076774000001</v>
      </c>
      <c r="K12" s="19">
        <v>9499.2289039999996</v>
      </c>
      <c r="L12" s="19" t="s">
        <v>21</v>
      </c>
      <c r="M12" s="19" t="s">
        <v>21</v>
      </c>
      <c r="N12" s="19" t="s">
        <v>21</v>
      </c>
      <c r="O12" s="19" t="s">
        <v>21</v>
      </c>
      <c r="P12" s="20" t="s">
        <v>21</v>
      </c>
    </row>
    <row r="13" spans="3:17" x14ac:dyDescent="0.3">
      <c r="C13" s="18">
        <v>2002</v>
      </c>
      <c r="D13" s="19">
        <v>844552.87496099994</v>
      </c>
      <c r="E13" s="19">
        <v>157529918.53579301</v>
      </c>
      <c r="F13" s="19">
        <v>1232996.9204689998</v>
      </c>
      <c r="G13" s="19">
        <v>2869638.9847490001</v>
      </c>
      <c r="H13" s="19">
        <v>305650.71951300005</v>
      </c>
      <c r="I13" s="19">
        <v>3056055.2522</v>
      </c>
      <c r="J13" s="19">
        <v>38815.044966000001</v>
      </c>
      <c r="K13" s="19">
        <v>8612.8507310000005</v>
      </c>
      <c r="L13" s="19" t="s">
        <v>21</v>
      </c>
      <c r="M13" s="19" t="s">
        <v>21</v>
      </c>
      <c r="N13" s="19" t="s">
        <v>21</v>
      </c>
      <c r="O13" s="19" t="s">
        <v>21</v>
      </c>
      <c r="P13" s="20" t="s">
        <v>21</v>
      </c>
    </row>
    <row r="14" spans="3:17" x14ac:dyDescent="0.3">
      <c r="C14" s="18">
        <v>2003</v>
      </c>
      <c r="D14" s="19">
        <v>842605.07863000024</v>
      </c>
      <c r="E14" s="19">
        <v>172624629.84419996</v>
      </c>
      <c r="F14" s="19">
        <v>1373792.267121</v>
      </c>
      <c r="G14" s="19">
        <v>2923686.4022500003</v>
      </c>
      <c r="H14" s="19">
        <v>309163.88219000009</v>
      </c>
      <c r="I14" s="19">
        <v>3484900.3702520002</v>
      </c>
      <c r="J14" s="19">
        <v>40202.178839999993</v>
      </c>
      <c r="K14" s="19">
        <v>9589.5781260000003</v>
      </c>
      <c r="L14" s="19" t="s">
        <v>21</v>
      </c>
      <c r="M14" s="19" t="s">
        <v>21</v>
      </c>
      <c r="N14" s="19" t="s">
        <v>21</v>
      </c>
      <c r="O14" s="19" t="s">
        <v>21</v>
      </c>
      <c r="P14" s="20" t="s">
        <v>21</v>
      </c>
    </row>
    <row r="15" spans="3:17" x14ac:dyDescent="0.3">
      <c r="C15" s="18">
        <v>2004</v>
      </c>
      <c r="D15" s="19">
        <v>1035574.04973</v>
      </c>
      <c r="E15" s="19">
        <v>173223817.38585296</v>
      </c>
      <c r="F15" s="19">
        <v>1209005.7091610003</v>
      </c>
      <c r="G15" s="19">
        <v>3059961.8968920005</v>
      </c>
      <c r="H15" s="19">
        <v>306210.77793799998</v>
      </c>
      <c r="I15" s="19">
        <v>4247173.7726000007</v>
      </c>
      <c r="J15" s="19">
        <v>41613.363517999998</v>
      </c>
      <c r="K15" s="19">
        <v>14246.326868</v>
      </c>
      <c r="L15" s="19" t="s">
        <v>21</v>
      </c>
      <c r="M15" s="19" t="s">
        <v>21</v>
      </c>
      <c r="N15" s="19" t="s">
        <v>21</v>
      </c>
      <c r="O15" s="19" t="s">
        <v>21</v>
      </c>
      <c r="P15" s="20" t="s">
        <v>21</v>
      </c>
    </row>
    <row r="16" spans="3:17" x14ac:dyDescent="0.3">
      <c r="C16" s="18">
        <v>2005</v>
      </c>
      <c r="D16" s="19">
        <v>1009897.918423</v>
      </c>
      <c r="E16" s="19">
        <v>208001717.81876829</v>
      </c>
      <c r="F16" s="19">
        <v>1201670.9143999997</v>
      </c>
      <c r="G16" s="19">
        <v>3193145.5305729993</v>
      </c>
      <c r="H16" s="19">
        <v>319344.80289899989</v>
      </c>
      <c r="I16" s="19">
        <v>4564989.1370999999</v>
      </c>
      <c r="J16" s="19">
        <v>42144.586211000002</v>
      </c>
      <c r="K16" s="19">
        <v>17325.373315000004</v>
      </c>
      <c r="L16" s="19" t="s">
        <v>21</v>
      </c>
      <c r="M16" s="19" t="s">
        <v>21</v>
      </c>
      <c r="N16" s="19" t="s">
        <v>21</v>
      </c>
      <c r="O16" s="19" t="s">
        <v>21</v>
      </c>
      <c r="P16" s="20" t="s">
        <v>21</v>
      </c>
    </row>
    <row r="17" spans="3:36" x14ac:dyDescent="0.3">
      <c r="C17" s="18">
        <v>2006</v>
      </c>
      <c r="D17" s="19">
        <v>1048472.4635900002</v>
      </c>
      <c r="E17" s="19">
        <v>202825998.65453294</v>
      </c>
      <c r="F17" s="19">
        <v>1203364.0679980002</v>
      </c>
      <c r="G17" s="19">
        <v>3470661.2430209992</v>
      </c>
      <c r="H17" s="19">
        <v>313332.28608800005</v>
      </c>
      <c r="I17" s="19">
        <v>4784600.5820000004</v>
      </c>
      <c r="J17" s="19">
        <v>38469.547186000011</v>
      </c>
      <c r="K17" s="19">
        <v>17209.346067999999</v>
      </c>
      <c r="L17" s="19" t="s">
        <v>21</v>
      </c>
      <c r="M17" s="19" t="s">
        <v>21</v>
      </c>
      <c r="N17" s="19" t="s">
        <v>21</v>
      </c>
      <c r="O17" s="19" t="s">
        <v>21</v>
      </c>
      <c r="P17" s="20" t="s">
        <v>21</v>
      </c>
    </row>
    <row r="18" spans="3:36" x14ac:dyDescent="0.3">
      <c r="C18" s="18">
        <v>2007</v>
      </c>
      <c r="D18" s="19">
        <v>1190273.6039159999</v>
      </c>
      <c r="E18" s="19">
        <v>170127538.95581597</v>
      </c>
      <c r="F18" s="19">
        <v>1444361.4378260002</v>
      </c>
      <c r="G18" s="19">
        <v>3501461.9256330007</v>
      </c>
      <c r="H18" s="19">
        <v>329164.77903499996</v>
      </c>
      <c r="I18" s="19">
        <v>5103597.2635999992</v>
      </c>
      <c r="J18" s="19">
        <v>39018.915689000001</v>
      </c>
      <c r="K18" s="19">
        <v>16786.886077000003</v>
      </c>
      <c r="L18" s="19" t="s">
        <v>21</v>
      </c>
      <c r="M18" s="19" t="s">
        <v>21</v>
      </c>
      <c r="N18" s="19" t="s">
        <v>21</v>
      </c>
      <c r="O18" s="19" t="s">
        <v>21</v>
      </c>
      <c r="P18" s="20" t="s">
        <v>21</v>
      </c>
    </row>
    <row r="19" spans="3:36" x14ac:dyDescent="0.3">
      <c r="C19" s="18">
        <v>2008</v>
      </c>
      <c r="D19" s="19">
        <v>1267866.5800789997</v>
      </c>
      <c r="E19" s="19">
        <v>179870472.99560794</v>
      </c>
      <c r="F19" s="19">
        <v>1602597.0080210003</v>
      </c>
      <c r="G19" s="19">
        <v>3685931.0012759985</v>
      </c>
      <c r="H19" s="19">
        <v>345109.27027199999</v>
      </c>
      <c r="I19" s="19">
        <v>5160707.0164000001</v>
      </c>
      <c r="J19" s="19">
        <v>39037.065935000006</v>
      </c>
      <c r="K19" s="19">
        <v>16720.528117000002</v>
      </c>
      <c r="L19" s="19" t="s">
        <v>21</v>
      </c>
      <c r="M19" s="19" t="s">
        <v>21</v>
      </c>
      <c r="N19" s="19" t="s">
        <v>21</v>
      </c>
      <c r="O19" s="19" t="s">
        <v>21</v>
      </c>
      <c r="P19" s="20" t="s">
        <v>21</v>
      </c>
    </row>
    <row r="20" spans="3:36" x14ac:dyDescent="0.3">
      <c r="C20" s="18">
        <v>2009</v>
      </c>
      <c r="D20" s="19">
        <v>1276249.2028349997</v>
      </c>
      <c r="E20" s="19">
        <v>183994691.50778204</v>
      </c>
      <c r="F20" s="19">
        <v>1512931.0674320005</v>
      </c>
      <c r="G20" s="19">
        <v>3922708.3963299985</v>
      </c>
      <c r="H20" s="19">
        <v>302459.11290999997</v>
      </c>
      <c r="I20" s="19">
        <v>4418768.325600001</v>
      </c>
      <c r="J20" s="19">
        <v>37502.627191</v>
      </c>
      <c r="K20" s="19">
        <v>12297.103142</v>
      </c>
      <c r="L20" s="19" t="s">
        <v>21</v>
      </c>
      <c r="M20" s="19" t="s">
        <v>21</v>
      </c>
      <c r="N20" s="19" t="s">
        <v>21</v>
      </c>
      <c r="O20" s="19" t="s">
        <v>21</v>
      </c>
      <c r="P20" s="20" t="s">
        <v>21</v>
      </c>
    </row>
    <row r="21" spans="3:36" x14ac:dyDescent="0.3">
      <c r="C21" s="18">
        <v>2010</v>
      </c>
      <c r="D21" s="19">
        <v>1247184.0293920001</v>
      </c>
      <c r="E21" s="19">
        <v>164084388.90122896</v>
      </c>
      <c r="F21" s="19">
        <v>1470449.7064990005</v>
      </c>
      <c r="G21" s="19">
        <v>3640465.4641499999</v>
      </c>
      <c r="H21" s="19">
        <v>261989.60579399997</v>
      </c>
      <c r="I21" s="19">
        <v>6042644.2223000005</v>
      </c>
      <c r="J21" s="19">
        <v>33847.813441999999</v>
      </c>
      <c r="K21" s="19">
        <v>16963.268973000002</v>
      </c>
      <c r="L21" s="19" t="s">
        <v>21</v>
      </c>
      <c r="M21" s="19" t="s">
        <v>21</v>
      </c>
      <c r="N21" s="19" t="s">
        <v>21</v>
      </c>
      <c r="O21" s="19" t="s">
        <v>21</v>
      </c>
      <c r="P21" s="20" t="s">
        <v>21</v>
      </c>
    </row>
    <row r="22" spans="3:36" x14ac:dyDescent="0.3">
      <c r="C22" s="18">
        <v>2011</v>
      </c>
      <c r="D22" s="19">
        <v>1235345.068018001</v>
      </c>
      <c r="E22" s="19">
        <v>166186716.98165271</v>
      </c>
      <c r="F22" s="19">
        <v>1256382.6002109998</v>
      </c>
      <c r="G22" s="19">
        <v>3418862.1174220056</v>
      </c>
      <c r="H22" s="19">
        <v>230199.08238500016</v>
      </c>
      <c r="I22" s="19">
        <v>7010937.8915999997</v>
      </c>
      <c r="J22" s="19">
        <v>28881.790965999993</v>
      </c>
      <c r="K22" s="19">
        <v>19141.078052000001</v>
      </c>
      <c r="L22" s="19" t="s">
        <v>21</v>
      </c>
      <c r="M22" s="19" t="s">
        <v>21</v>
      </c>
      <c r="N22" s="19" t="s">
        <v>21</v>
      </c>
      <c r="O22" s="19" t="s">
        <v>21</v>
      </c>
      <c r="P22" s="20" t="s">
        <v>21</v>
      </c>
      <c r="Q22" s="21">
        <f t="shared" ref="Q22:Q36" si="0">D22/1000</f>
        <v>1235.345068018001</v>
      </c>
      <c r="AB22" s="22"/>
      <c r="AC22" s="22"/>
      <c r="AD22" s="22"/>
      <c r="AE22" s="22"/>
      <c r="AF22" s="22"/>
      <c r="AG22" s="22"/>
      <c r="AH22" s="22"/>
      <c r="AI22" s="22"/>
      <c r="AJ22" s="23"/>
    </row>
    <row r="23" spans="3:36" x14ac:dyDescent="0.3">
      <c r="C23" s="18">
        <v>2012</v>
      </c>
      <c r="D23" s="19">
        <v>1289916.9346156276</v>
      </c>
      <c r="E23" s="19">
        <v>153780960.26084191</v>
      </c>
      <c r="F23" s="19">
        <v>1281282.431485241</v>
      </c>
      <c r="G23" s="19">
        <v>3452004.3609873233</v>
      </c>
      <c r="H23" s="19">
        <v>249236.15747171015</v>
      </c>
      <c r="I23" s="19">
        <v>6684539.3918000003</v>
      </c>
      <c r="J23" s="19">
        <v>26104.854505400006</v>
      </c>
      <c r="K23" s="19">
        <v>16790.374244900002</v>
      </c>
      <c r="L23" s="19" t="s">
        <v>21</v>
      </c>
      <c r="M23" s="19" t="s">
        <v>21</v>
      </c>
      <c r="N23" s="19" t="s">
        <v>21</v>
      </c>
      <c r="O23" s="19" t="s">
        <v>21</v>
      </c>
      <c r="P23" s="20" t="s">
        <v>21</v>
      </c>
      <c r="Q23" s="21">
        <f t="shared" si="0"/>
        <v>1289.9169346156277</v>
      </c>
      <c r="R23" s="23"/>
      <c r="AB23" s="22"/>
      <c r="AC23" s="22"/>
      <c r="AD23" s="22"/>
      <c r="AE23" s="22"/>
      <c r="AF23" s="22"/>
      <c r="AG23" s="22"/>
      <c r="AH23" s="22"/>
      <c r="AI23" s="22"/>
    </row>
    <row r="24" spans="3:36" x14ac:dyDescent="0.3">
      <c r="C24" s="18">
        <v>2013</v>
      </c>
      <c r="D24" s="19">
        <v>1363452.9126998207</v>
      </c>
      <c r="E24" s="19">
        <v>143716837.41998193</v>
      </c>
      <c r="F24" s="19">
        <v>1351048.7423302194</v>
      </c>
      <c r="G24" s="19">
        <v>3648503.3400407191</v>
      </c>
      <c r="H24" s="19">
        <v>266312.71547875</v>
      </c>
      <c r="I24" s="19">
        <v>6680658.79</v>
      </c>
      <c r="J24" s="19">
        <v>23667.787451500008</v>
      </c>
      <c r="K24" s="19">
        <v>18139.597244000001</v>
      </c>
      <c r="L24" s="19" t="s">
        <v>21</v>
      </c>
      <c r="M24" s="19" t="s">
        <v>21</v>
      </c>
      <c r="N24" s="19" t="s">
        <v>21</v>
      </c>
      <c r="O24" s="19" t="s">
        <v>21</v>
      </c>
      <c r="P24" s="20" t="s">
        <v>21</v>
      </c>
      <c r="Q24" s="21">
        <f t="shared" si="0"/>
        <v>1363.4529126998207</v>
      </c>
      <c r="R24" s="23"/>
      <c r="AB24" s="22"/>
      <c r="AC24" s="22"/>
      <c r="AD24" s="22"/>
      <c r="AE24" s="22"/>
      <c r="AF24" s="22"/>
      <c r="AG24" s="22"/>
      <c r="AH24" s="22"/>
      <c r="AI24" s="22"/>
    </row>
    <row r="25" spans="3:36" x14ac:dyDescent="0.3">
      <c r="C25" s="18">
        <v>2014</v>
      </c>
      <c r="D25" s="19">
        <v>1377373.7760182077</v>
      </c>
      <c r="E25" s="19">
        <v>129946243.44281495</v>
      </c>
      <c r="F25" s="19">
        <v>1315221.0230463955</v>
      </c>
      <c r="G25" s="19">
        <v>3738279.9180184668</v>
      </c>
      <c r="H25" s="19">
        <v>277116.52714844397</v>
      </c>
      <c r="I25" s="19">
        <v>7192591.9308000002</v>
      </c>
      <c r="J25" s="19">
        <v>23105.261867800007</v>
      </c>
      <c r="K25" s="19">
        <v>17017.692464999996</v>
      </c>
      <c r="L25" s="19" t="s">
        <v>21</v>
      </c>
      <c r="M25" s="19" t="s">
        <v>21</v>
      </c>
      <c r="N25" s="19" t="s">
        <v>21</v>
      </c>
      <c r="O25" s="19" t="s">
        <v>21</v>
      </c>
      <c r="P25" s="20" t="s">
        <v>21</v>
      </c>
      <c r="Q25" s="21">
        <f t="shared" si="0"/>
        <v>1377.3737760182078</v>
      </c>
      <c r="R25" s="23"/>
      <c r="AB25" s="22"/>
      <c r="AC25" s="22"/>
      <c r="AD25" s="22"/>
      <c r="AE25" s="22"/>
      <c r="AF25" s="22"/>
      <c r="AG25" s="22"/>
      <c r="AH25" s="22"/>
      <c r="AI25" s="22"/>
    </row>
    <row r="26" spans="3:36" x14ac:dyDescent="0.3">
      <c r="C26" s="18">
        <v>2015</v>
      </c>
      <c r="D26" s="19">
        <v>1699939.7432781935</v>
      </c>
      <c r="E26" s="19">
        <v>137378305.7952458</v>
      </c>
      <c r="F26" s="19">
        <v>1415823.5863843861</v>
      </c>
      <c r="G26" s="19">
        <v>4071094.9244271382</v>
      </c>
      <c r="H26" s="19">
        <v>314011.10750861233</v>
      </c>
      <c r="I26" s="19">
        <v>7320806.8477000007</v>
      </c>
      <c r="J26" s="19">
        <v>19510.729779199999</v>
      </c>
      <c r="K26" s="19">
        <v>20153.237616000009</v>
      </c>
      <c r="L26" s="19" t="s">
        <v>21</v>
      </c>
      <c r="M26" s="19" t="s">
        <v>21</v>
      </c>
      <c r="N26" s="19" t="s">
        <v>21</v>
      </c>
      <c r="O26" s="19" t="s">
        <v>21</v>
      </c>
      <c r="P26" s="20" t="s">
        <v>21</v>
      </c>
      <c r="Q26" s="21">
        <f t="shared" si="0"/>
        <v>1699.9397432781934</v>
      </c>
      <c r="R26" s="23"/>
      <c r="AB26" s="22"/>
      <c r="AC26" s="22"/>
      <c r="AD26" s="22"/>
      <c r="AE26" s="22"/>
      <c r="AF26" s="22"/>
      <c r="AG26" s="22"/>
      <c r="AH26" s="22"/>
      <c r="AI26" s="22"/>
    </row>
    <row r="27" spans="3:36" x14ac:dyDescent="0.3">
      <c r="C27" s="18">
        <v>2016</v>
      </c>
      <c r="D27" s="19">
        <v>2352959.5047380654</v>
      </c>
      <c r="E27" s="19">
        <v>142230636.69316867</v>
      </c>
      <c r="F27" s="19">
        <v>1329178.0227656392</v>
      </c>
      <c r="G27" s="19">
        <v>4329179.7629066529</v>
      </c>
      <c r="H27" s="19">
        <v>312806.40109176951</v>
      </c>
      <c r="I27" s="19">
        <v>7663123.9877000004</v>
      </c>
      <c r="J27" s="19">
        <v>18789.0047614</v>
      </c>
      <c r="K27" s="19">
        <v>25756.505005499999</v>
      </c>
      <c r="L27" s="19">
        <v>23251.82108854</v>
      </c>
      <c r="M27" s="19">
        <v>187.59719447999996</v>
      </c>
      <c r="N27" s="19" t="s">
        <v>21</v>
      </c>
      <c r="O27" s="19">
        <v>1194.0643193499998</v>
      </c>
      <c r="P27" s="20" t="s">
        <v>21</v>
      </c>
      <c r="Q27" s="21">
        <f t="shared" si="0"/>
        <v>2352.9595047380653</v>
      </c>
      <c r="R27" s="23"/>
      <c r="AB27" s="22"/>
      <c r="AC27" s="22"/>
      <c r="AD27" s="22"/>
      <c r="AE27" s="22"/>
      <c r="AF27" s="22"/>
      <c r="AG27" s="22"/>
      <c r="AH27" s="22"/>
      <c r="AI27" s="22"/>
    </row>
    <row r="28" spans="3:36" x14ac:dyDescent="0.3">
      <c r="C28" s="18">
        <v>2017</v>
      </c>
      <c r="D28" s="19">
        <v>2440181.1105834288</v>
      </c>
      <c r="E28" s="19">
        <v>138425832.76156646</v>
      </c>
      <c r="F28" s="19">
        <v>1466521.468671351</v>
      </c>
      <c r="G28" s="19">
        <v>4318324.2784375055</v>
      </c>
      <c r="H28" s="19">
        <v>305279.59941443987</v>
      </c>
      <c r="I28" s="19">
        <v>8668091.618999999</v>
      </c>
      <c r="J28" s="19">
        <v>17790.363566100001</v>
      </c>
      <c r="K28" s="19">
        <v>28141.125214199987</v>
      </c>
      <c r="L28" s="19">
        <v>22403.407244680002</v>
      </c>
      <c r="M28" s="19">
        <v>123.17674860000001</v>
      </c>
      <c r="N28" s="19" t="s">
        <v>21</v>
      </c>
      <c r="O28" s="19">
        <v>1133.2781170000001</v>
      </c>
      <c r="P28" s="20" t="s">
        <v>21</v>
      </c>
      <c r="Q28" s="21">
        <f t="shared" si="0"/>
        <v>2440.1811105834286</v>
      </c>
      <c r="R28" s="23"/>
      <c r="AB28" s="22"/>
      <c r="AC28" s="22"/>
      <c r="AD28" s="22"/>
      <c r="AE28" s="22"/>
      <c r="AF28" s="22"/>
      <c r="AG28" s="22"/>
      <c r="AH28" s="22"/>
      <c r="AI28" s="22"/>
    </row>
    <row r="29" spans="3:36" ht="12" customHeight="1" x14ac:dyDescent="0.3">
      <c r="C29" s="18">
        <v>2018</v>
      </c>
      <c r="D29" s="19">
        <v>2416881.1002070699</v>
      </c>
      <c r="E29" s="19">
        <v>125933914.4370804</v>
      </c>
      <c r="F29" s="19">
        <v>1471845.936649523</v>
      </c>
      <c r="G29" s="19">
        <v>3999990.1319625694</v>
      </c>
      <c r="H29" s="19">
        <v>288796.22529555805</v>
      </c>
      <c r="I29" s="19">
        <v>9096993.8719999995</v>
      </c>
      <c r="J29" s="19">
        <v>18601.344508400005</v>
      </c>
      <c r="K29" s="19">
        <v>27604.218841510006</v>
      </c>
      <c r="L29" s="19">
        <v>20407.598393799999</v>
      </c>
      <c r="M29" s="19">
        <v>145.236144</v>
      </c>
      <c r="N29" s="19" t="s">
        <v>21</v>
      </c>
      <c r="O29" s="19">
        <v>20879.636489500001</v>
      </c>
      <c r="P29" s="20" t="s">
        <v>21</v>
      </c>
      <c r="Q29" s="21">
        <f t="shared" si="0"/>
        <v>2416.8811002070697</v>
      </c>
      <c r="R29" s="23"/>
      <c r="AB29" s="22"/>
      <c r="AC29" s="22"/>
      <c r="AD29" s="22"/>
      <c r="AE29" s="22"/>
      <c r="AF29" s="22"/>
      <c r="AG29" s="22"/>
      <c r="AH29" s="22"/>
      <c r="AI29" s="22"/>
    </row>
    <row r="30" spans="3:36" x14ac:dyDescent="0.3">
      <c r="C30" s="18">
        <v>2019</v>
      </c>
      <c r="D30" s="19">
        <v>2437925.373902773</v>
      </c>
      <c r="E30" s="19">
        <v>113586028.97131993</v>
      </c>
      <c r="F30" s="19">
        <v>1382753.4838439696</v>
      </c>
      <c r="G30" s="19">
        <v>3706760.2491151234</v>
      </c>
      <c r="H30" s="19">
        <v>307020.88310454384</v>
      </c>
      <c r="I30" s="19">
        <v>9666411.8718999997</v>
      </c>
      <c r="J30" s="19">
        <v>19853.168399999995</v>
      </c>
      <c r="K30" s="19">
        <v>30441.359039579998</v>
      </c>
      <c r="L30" s="19">
        <v>24914.734069159997</v>
      </c>
      <c r="M30" s="19">
        <v>72.514848099999995</v>
      </c>
      <c r="N30" s="19" t="s">
        <v>21</v>
      </c>
      <c r="O30" s="19">
        <v>18814.2028421</v>
      </c>
      <c r="P30" s="20" t="s">
        <v>21</v>
      </c>
      <c r="Q30" s="21">
        <f t="shared" si="0"/>
        <v>2437.9253739027731</v>
      </c>
      <c r="R30" s="23"/>
      <c r="AB30" s="22"/>
      <c r="AC30" s="22"/>
      <c r="AD30" s="22"/>
      <c r="AE30" s="22"/>
      <c r="AF30" s="22"/>
      <c r="AG30" s="22"/>
      <c r="AH30" s="22"/>
      <c r="AI30" s="22"/>
    </row>
    <row r="31" spans="3:36" x14ac:dyDescent="0.3">
      <c r="C31" s="18">
        <v>2020</v>
      </c>
      <c r="D31" s="19">
        <v>2150125.9121219628</v>
      </c>
      <c r="E31" s="19">
        <v>85368457.367976174</v>
      </c>
      <c r="F31" s="19">
        <v>1334570.4777680759</v>
      </c>
      <c r="G31" s="19">
        <v>2721461.1368655483</v>
      </c>
      <c r="H31" s="19">
        <v>241547.91303967001</v>
      </c>
      <c r="I31" s="19">
        <v>8893971.5276180003</v>
      </c>
      <c r="J31" s="19">
        <v>20646.581029499997</v>
      </c>
      <c r="K31" s="19">
        <v>32184.625879069805</v>
      </c>
      <c r="L31" s="19">
        <v>19013.894022044497</v>
      </c>
      <c r="M31" s="19">
        <v>73.906293489500015</v>
      </c>
      <c r="N31" s="19">
        <v>235.52044689999997</v>
      </c>
      <c r="O31" s="19">
        <v>10119.873510295998</v>
      </c>
      <c r="P31" s="20" t="s">
        <v>21</v>
      </c>
      <c r="Q31" s="21">
        <f t="shared" si="0"/>
        <v>2150.1259121219628</v>
      </c>
      <c r="R31" s="23"/>
      <c r="AB31" s="22"/>
      <c r="AC31" s="22"/>
      <c r="AD31" s="22"/>
      <c r="AE31" s="22"/>
      <c r="AF31" s="22"/>
      <c r="AG31" s="22"/>
      <c r="AH31" s="22"/>
      <c r="AI31" s="22"/>
    </row>
    <row r="32" spans="3:36" x14ac:dyDescent="0.3">
      <c r="C32" s="18">
        <v>2021</v>
      </c>
      <c r="D32" s="19">
        <v>2326035.3089323733</v>
      </c>
      <c r="E32" s="19">
        <v>97492951.121057257</v>
      </c>
      <c r="F32" s="19">
        <v>1533134.9989912319</v>
      </c>
      <c r="G32" s="19">
        <v>3333632.4494976597</v>
      </c>
      <c r="H32" s="19">
        <v>264426.50705023162</v>
      </c>
      <c r="I32" s="19">
        <v>12149273.526027001</v>
      </c>
      <c r="J32" s="19">
        <v>26995.267701000004</v>
      </c>
      <c r="K32" s="19">
        <v>34148.029036760017</v>
      </c>
      <c r="L32" s="19">
        <v>21876.501141209999</v>
      </c>
      <c r="M32" s="19">
        <v>247.486251065</v>
      </c>
      <c r="N32" s="19">
        <v>278.81457949999998</v>
      </c>
      <c r="O32" s="19">
        <v>11390.682832689996</v>
      </c>
      <c r="P32" s="20" t="s">
        <v>21</v>
      </c>
      <c r="Q32" s="21">
        <f t="shared" si="0"/>
        <v>2326.0353089323735</v>
      </c>
      <c r="R32" s="23"/>
      <c r="AB32" s="22"/>
      <c r="AC32" s="22"/>
      <c r="AD32" s="22"/>
      <c r="AE32" s="22"/>
      <c r="AF32" s="22"/>
      <c r="AG32" s="22"/>
      <c r="AH32" s="22"/>
      <c r="AI32" s="22"/>
    </row>
    <row r="33" spans="2:35" x14ac:dyDescent="0.3">
      <c r="C33" s="18">
        <v>2022</v>
      </c>
      <c r="D33" s="19">
        <v>2445270.8303173976</v>
      </c>
      <c r="E33" s="19">
        <v>96965977.163885579</v>
      </c>
      <c r="F33" s="19">
        <v>1369649.1117797941</v>
      </c>
      <c r="G33" s="19">
        <v>3084038.7076613051</v>
      </c>
      <c r="H33" s="19">
        <v>255442.99715858512</v>
      </c>
      <c r="I33" s="19">
        <v>12936826.381839</v>
      </c>
      <c r="J33" s="19">
        <v>28231.359913</v>
      </c>
      <c r="K33" s="19">
        <v>31587.568951759989</v>
      </c>
      <c r="L33" s="19">
        <v>25378.500620530005</v>
      </c>
      <c r="M33" s="19">
        <v>251.24793746000006</v>
      </c>
      <c r="N33" s="19">
        <v>263.99886950000001</v>
      </c>
      <c r="O33" s="19">
        <v>1169.1241914</v>
      </c>
      <c r="P33" s="20" t="s">
        <v>21</v>
      </c>
      <c r="Q33" s="21">
        <f t="shared" si="0"/>
        <v>2445.2708303173977</v>
      </c>
      <c r="R33" s="23"/>
      <c r="AB33" s="22"/>
      <c r="AC33" s="22"/>
      <c r="AD33" s="22"/>
      <c r="AE33" s="22"/>
      <c r="AF33" s="22"/>
      <c r="AG33" s="22"/>
      <c r="AH33" s="22"/>
      <c r="AI33" s="22"/>
    </row>
    <row r="34" spans="2:35" x14ac:dyDescent="0.3">
      <c r="C34" s="18">
        <v>2023</v>
      </c>
      <c r="D34" s="19">
        <v>2755244.3167853276</v>
      </c>
      <c r="E34" s="19">
        <v>100985631.43873213</v>
      </c>
      <c r="F34" s="19">
        <v>1469127.1631768667</v>
      </c>
      <c r="G34" s="19">
        <v>3041393.6459926581</v>
      </c>
      <c r="H34" s="19">
        <v>273335.49825696991</v>
      </c>
      <c r="I34" s="19">
        <v>12986023.244491</v>
      </c>
      <c r="J34" s="19">
        <v>26230.046980000003</v>
      </c>
      <c r="K34" s="19">
        <v>33475.6190292315</v>
      </c>
      <c r="L34" s="19">
        <v>31161.763995300007</v>
      </c>
      <c r="M34" s="19">
        <v>303.74941249999995</v>
      </c>
      <c r="N34" s="19">
        <v>331.35815600000001</v>
      </c>
      <c r="O34" s="19">
        <v>1326.7171017999999</v>
      </c>
      <c r="P34" s="20">
        <v>22.705695600000002</v>
      </c>
      <c r="Q34" s="21">
        <f t="shared" si="0"/>
        <v>2755.2443167853276</v>
      </c>
      <c r="R34" s="23"/>
      <c r="AB34" s="22"/>
      <c r="AC34" s="22"/>
      <c r="AD34" s="22"/>
      <c r="AE34" s="22"/>
      <c r="AF34" s="22"/>
      <c r="AG34" s="22"/>
      <c r="AH34" s="22"/>
      <c r="AI34" s="22"/>
    </row>
    <row r="35" spans="2:35" x14ac:dyDescent="0.3">
      <c r="C35" s="15">
        <v>2024</v>
      </c>
      <c r="D35" s="284">
        <v>2736237.1072517242</v>
      </c>
      <c r="E35" s="285">
        <v>109601479.84250277</v>
      </c>
      <c r="F35" s="284">
        <v>1270646.954794979</v>
      </c>
      <c r="G35" s="284">
        <v>3512301.3933015401</v>
      </c>
      <c r="H35" s="284">
        <v>291319.62661629292</v>
      </c>
      <c r="I35" s="284">
        <v>13309265.480335999</v>
      </c>
      <c r="J35" s="284">
        <v>32317.234399999998</v>
      </c>
      <c r="K35" s="284">
        <v>41941.797900007798</v>
      </c>
      <c r="L35" s="284">
        <v>32027.784417279996</v>
      </c>
      <c r="M35" s="284">
        <v>265.34277630000003</v>
      </c>
      <c r="N35" s="284">
        <v>317.31784800000003</v>
      </c>
      <c r="O35" s="284">
        <v>24159.249493900003</v>
      </c>
      <c r="P35" s="286">
        <v>40.573911600000002</v>
      </c>
      <c r="Q35" s="21">
        <f t="shared" si="0"/>
        <v>2736.2371072517244</v>
      </c>
      <c r="R35" s="23"/>
      <c r="AB35" s="22"/>
      <c r="AC35" s="22"/>
      <c r="AD35" s="22"/>
      <c r="AE35" s="22"/>
      <c r="AF35" s="22"/>
      <c r="AG35" s="22"/>
      <c r="AH35" s="22"/>
      <c r="AI35" s="22"/>
    </row>
    <row r="36" spans="2:35" ht="41.4" x14ac:dyDescent="0.3">
      <c r="C36" s="24" t="s">
        <v>137</v>
      </c>
      <c r="D36" s="25">
        <f>SUM(D37:D47)</f>
        <v>2512739.6714741224</v>
      </c>
      <c r="E36" s="25">
        <f t="shared" ref="E36:P36" si="1">SUM(E37:E47)</f>
        <v>99621857.094403893</v>
      </c>
      <c r="F36" s="25">
        <f t="shared" si="1"/>
        <v>1371732.2033468043</v>
      </c>
      <c r="G36" s="25">
        <f t="shared" si="1"/>
        <v>3417864.6699118717</v>
      </c>
      <c r="H36" s="25">
        <f t="shared" si="1"/>
        <v>285679.32950715686</v>
      </c>
      <c r="I36" s="25">
        <f t="shared" si="1"/>
        <v>10677261.443318</v>
      </c>
      <c r="J36" s="25">
        <f t="shared" si="1"/>
        <v>30875.465984000002</v>
      </c>
      <c r="K36" s="25">
        <f t="shared" si="1"/>
        <v>34794.4170397661</v>
      </c>
      <c r="L36" s="25">
        <f t="shared" si="1"/>
        <v>25000.950646199995</v>
      </c>
      <c r="M36" s="25">
        <f t="shared" si="1"/>
        <v>257.32217680000002</v>
      </c>
      <c r="N36" s="25">
        <f t="shared" si="1"/>
        <v>288.113226</v>
      </c>
      <c r="O36" s="25">
        <f t="shared" si="1"/>
        <v>35287.238727800002</v>
      </c>
      <c r="P36" s="247">
        <f t="shared" si="1"/>
        <v>32.526135999999994</v>
      </c>
      <c r="Q36" s="21">
        <f t="shared" si="0"/>
        <v>2512.7396714741226</v>
      </c>
      <c r="R36" s="23"/>
      <c r="AB36" s="22"/>
      <c r="AC36" s="22"/>
      <c r="AD36" s="22"/>
      <c r="AE36" s="22"/>
      <c r="AF36" s="22"/>
      <c r="AG36" s="22"/>
      <c r="AH36" s="22"/>
      <c r="AI36" s="22"/>
    </row>
    <row r="37" spans="2:35" x14ac:dyDescent="0.3">
      <c r="C37" s="26" t="s">
        <v>22</v>
      </c>
      <c r="D37" s="31">
        <v>219671.15839866945</v>
      </c>
      <c r="E37" s="31">
        <v>8493157.6215080488</v>
      </c>
      <c r="F37" s="31">
        <v>91855.694164931963</v>
      </c>
      <c r="G37" s="31">
        <v>273535.95251020364</v>
      </c>
      <c r="H37" s="31">
        <v>21568.800301891904</v>
      </c>
      <c r="I37" s="31">
        <v>1161378.8055939998</v>
      </c>
      <c r="J37" s="31">
        <v>2537.2527399999999</v>
      </c>
      <c r="K37" s="31">
        <v>3231.3934248973001</v>
      </c>
      <c r="L37" s="31">
        <v>2338.8900573999999</v>
      </c>
      <c r="M37" s="287">
        <v>20.011532799999998</v>
      </c>
      <c r="N37" s="287">
        <v>30.094110000000001</v>
      </c>
      <c r="O37" s="31">
        <v>2581.9835498000002</v>
      </c>
      <c r="P37" s="288">
        <v>2.2356600000000002</v>
      </c>
      <c r="Q37" s="27">
        <v>11138766.849174995</v>
      </c>
      <c r="T37" s="28"/>
      <c r="U37" s="28"/>
      <c r="V37" s="28"/>
      <c r="W37" s="28"/>
      <c r="X37" s="28"/>
      <c r="Y37" s="28"/>
      <c r="Z37" s="28"/>
      <c r="AA37" s="28"/>
      <c r="AB37" s="22"/>
      <c r="AC37" s="22"/>
      <c r="AD37" s="22"/>
      <c r="AE37" s="22"/>
      <c r="AF37" s="22"/>
      <c r="AG37" s="22"/>
      <c r="AH37" s="22"/>
      <c r="AI37" s="22"/>
    </row>
    <row r="38" spans="2:35" x14ac:dyDescent="0.3">
      <c r="C38" s="29" t="s">
        <v>23</v>
      </c>
      <c r="D38" s="31">
        <v>217002.48869369697</v>
      </c>
      <c r="E38" s="31">
        <v>8061946.9538022997</v>
      </c>
      <c r="F38" s="31">
        <v>109459.79120289112</v>
      </c>
      <c r="G38" s="31">
        <v>298940.56814474677</v>
      </c>
      <c r="H38" s="31">
        <v>23230.586675680905</v>
      </c>
      <c r="I38" s="31">
        <v>1122169.9234620002</v>
      </c>
      <c r="J38" s="31">
        <v>2597.7712999999999</v>
      </c>
      <c r="K38" s="31">
        <v>3448.2970789000001</v>
      </c>
      <c r="L38" s="31">
        <v>2295.3407548999994</v>
      </c>
      <c r="M38" s="287">
        <v>16.554153000000003</v>
      </c>
      <c r="N38" s="287">
        <v>26.565791999999998</v>
      </c>
      <c r="O38" s="31">
        <v>3577.7138660000001</v>
      </c>
      <c r="P38" s="288">
        <v>2.8617279999999998</v>
      </c>
      <c r="Q38" s="27"/>
      <c r="T38" s="28"/>
      <c r="U38" s="28"/>
      <c r="V38" s="28"/>
      <c r="W38" s="28"/>
      <c r="X38" s="28"/>
      <c r="Y38" s="28"/>
      <c r="Z38" s="28"/>
      <c r="AA38" s="28"/>
      <c r="AB38" s="22"/>
      <c r="AC38" s="22"/>
      <c r="AD38" s="22"/>
      <c r="AE38" s="22"/>
      <c r="AF38" s="22"/>
      <c r="AG38" s="22"/>
      <c r="AH38" s="22"/>
      <c r="AI38" s="22"/>
    </row>
    <row r="39" spans="2:35" x14ac:dyDescent="0.3">
      <c r="C39" s="29" t="s">
        <v>24</v>
      </c>
      <c r="D39" s="31">
        <v>229827.04957684444</v>
      </c>
      <c r="E39" s="31">
        <v>8869739.5269127954</v>
      </c>
      <c r="F39" s="31">
        <v>119229.05424405822</v>
      </c>
      <c r="G39" s="31">
        <v>288382.90878245531</v>
      </c>
      <c r="H39" s="31">
        <v>25091.882432795606</v>
      </c>
      <c r="I39" s="31">
        <v>1218023.8837799998</v>
      </c>
      <c r="J39" s="31">
        <v>2922.6831999999999</v>
      </c>
      <c r="K39" s="31">
        <v>4034.7399693068</v>
      </c>
      <c r="L39" s="31">
        <v>1854.5507202000001</v>
      </c>
      <c r="M39" s="287">
        <v>25.131314000000003</v>
      </c>
      <c r="N39" s="287">
        <v>28.990872000000003</v>
      </c>
      <c r="O39" s="31">
        <v>2962.1689506000002</v>
      </c>
      <c r="P39" s="288">
        <v>2.6791360000000002</v>
      </c>
      <c r="Q39" s="27"/>
      <c r="T39" s="28"/>
      <c r="U39" s="28"/>
      <c r="V39" s="28"/>
      <c r="W39" s="28"/>
      <c r="X39" s="28"/>
      <c r="Y39" s="28"/>
      <c r="Z39" s="28"/>
      <c r="AA39" s="28"/>
      <c r="AB39" s="22"/>
      <c r="AC39" s="22"/>
      <c r="AD39" s="22"/>
      <c r="AE39" s="22"/>
      <c r="AF39" s="22"/>
      <c r="AG39" s="22"/>
      <c r="AH39" s="22"/>
      <c r="AI39" s="22"/>
    </row>
    <row r="40" spans="2:35" x14ac:dyDescent="0.3">
      <c r="C40" s="30" t="s">
        <v>25</v>
      </c>
      <c r="D40" s="31">
        <v>220273.34907759307</v>
      </c>
      <c r="E40" s="31">
        <v>8942116.0312154479</v>
      </c>
      <c r="F40" s="31">
        <v>137649.17032455638</v>
      </c>
      <c r="G40" s="31">
        <v>311942.82481418626</v>
      </c>
      <c r="H40" s="31">
        <v>28510.480416305996</v>
      </c>
      <c r="I40" s="31">
        <v>1091388.6164500001</v>
      </c>
      <c r="J40" s="31">
        <v>2723.0601999999999</v>
      </c>
      <c r="K40" s="31">
        <v>3212.9077212199995</v>
      </c>
      <c r="L40" s="31">
        <v>2378.2725716999998</v>
      </c>
      <c r="M40" s="287">
        <v>22.589572999999998</v>
      </c>
      <c r="N40" s="287">
        <v>27.547941999999999</v>
      </c>
      <c r="O40" s="31">
        <v>1961.2639583999999</v>
      </c>
      <c r="P40" s="288">
        <v>2.5161519999999999</v>
      </c>
      <c r="Q40" s="27"/>
      <c r="T40" s="28"/>
      <c r="U40" s="28"/>
      <c r="V40" s="28"/>
      <c r="W40" s="28"/>
      <c r="X40" s="28"/>
      <c r="Y40" s="28"/>
      <c r="Z40" s="28"/>
      <c r="AA40" s="28"/>
      <c r="AB40" s="22"/>
      <c r="AC40" s="22"/>
      <c r="AD40" s="22"/>
      <c r="AE40" s="22"/>
      <c r="AF40" s="22"/>
      <c r="AG40" s="22"/>
      <c r="AH40" s="22"/>
      <c r="AI40" s="22"/>
    </row>
    <row r="41" spans="2:35" ht="13.5" customHeight="1" x14ac:dyDescent="0.3">
      <c r="C41" s="96" t="s">
        <v>124</v>
      </c>
      <c r="D41" s="31">
        <v>220911.28287911677</v>
      </c>
      <c r="E41" s="31">
        <v>8818003.3277026098</v>
      </c>
      <c r="F41" s="31">
        <v>120959.41946630899</v>
      </c>
      <c r="G41" s="31">
        <v>314185.44019206456</v>
      </c>
      <c r="H41" s="31">
        <v>26061.362419922007</v>
      </c>
      <c r="I41" s="31">
        <v>441193.98143799999</v>
      </c>
      <c r="J41" s="31">
        <v>2871.1295</v>
      </c>
      <c r="K41" s="31">
        <v>2855.7800881120002</v>
      </c>
      <c r="L41" s="31">
        <v>2487.8129531</v>
      </c>
      <c r="M41" s="287">
        <v>22.439415</v>
      </c>
      <c r="N41" s="287">
        <v>27.668381</v>
      </c>
      <c r="O41" s="31">
        <v>3843.0657880000003</v>
      </c>
      <c r="P41" s="288">
        <v>3.6912739999999999</v>
      </c>
      <c r="Q41" s="27"/>
      <c r="T41" s="28"/>
      <c r="U41" s="28"/>
      <c r="V41" s="28"/>
      <c r="W41" s="28"/>
      <c r="X41" s="28"/>
      <c r="Y41" s="28"/>
      <c r="Z41" s="28"/>
      <c r="AA41" s="28"/>
      <c r="AB41" s="22"/>
      <c r="AC41" s="22"/>
      <c r="AD41" s="22"/>
      <c r="AE41" s="22"/>
      <c r="AF41" s="22"/>
      <c r="AG41" s="22"/>
      <c r="AH41" s="22"/>
      <c r="AI41" s="22"/>
    </row>
    <row r="42" spans="2:35" ht="13.5" customHeight="1" x14ac:dyDescent="0.3">
      <c r="C42" s="30" t="s">
        <v>125</v>
      </c>
      <c r="D42" s="31">
        <v>228931.7259096911</v>
      </c>
      <c r="E42" s="31">
        <v>9016247.4928372651</v>
      </c>
      <c r="F42" s="31">
        <v>136087.19853966002</v>
      </c>
      <c r="G42" s="31">
        <v>310452.50278650981</v>
      </c>
      <c r="H42" s="31">
        <v>27426.236327063001</v>
      </c>
      <c r="I42" s="31">
        <v>17858.91534</v>
      </c>
      <c r="J42" s="31">
        <v>2794.1680000000001</v>
      </c>
      <c r="K42" s="31">
        <v>2874.2517345399997</v>
      </c>
      <c r="L42" s="31">
        <v>2331.0077547000001</v>
      </c>
      <c r="M42" s="287">
        <v>20.607745000000001</v>
      </c>
      <c r="N42" s="287">
        <v>25.639190000000003</v>
      </c>
      <c r="O42" s="31">
        <v>2300.5616680000003</v>
      </c>
      <c r="P42" s="288">
        <v>3.5141680000000002</v>
      </c>
      <c r="Q42" s="27"/>
      <c r="T42" s="28"/>
      <c r="U42" s="28"/>
      <c r="V42" s="28"/>
      <c r="W42" s="28"/>
      <c r="X42" s="28"/>
      <c r="Y42" s="28"/>
      <c r="Z42" s="28"/>
      <c r="AA42" s="28"/>
      <c r="AB42" s="22"/>
      <c r="AC42" s="22"/>
      <c r="AD42" s="22"/>
      <c r="AE42" s="22"/>
      <c r="AF42" s="22"/>
      <c r="AG42" s="22"/>
      <c r="AH42" s="22"/>
      <c r="AI42" s="22"/>
    </row>
    <row r="43" spans="2:35" ht="13.5" customHeight="1" x14ac:dyDescent="0.3">
      <c r="C43" s="30" t="s">
        <v>127</v>
      </c>
      <c r="D43" s="31">
        <v>228042.99873290653</v>
      </c>
      <c r="E43" s="31">
        <v>9193521.2398264445</v>
      </c>
      <c r="F43" s="31">
        <v>128389.14793335561</v>
      </c>
      <c r="G43" s="31">
        <v>305306.09163942956</v>
      </c>
      <c r="H43" s="31">
        <v>26466.226680664819</v>
      </c>
      <c r="I43" s="31">
        <v>1040961.796982</v>
      </c>
      <c r="J43" s="31">
        <v>3033.0752000000002</v>
      </c>
      <c r="K43" s="31">
        <v>3136.8209697599991</v>
      </c>
      <c r="L43" s="31">
        <v>2570.4628945999998</v>
      </c>
      <c r="M43" s="287">
        <v>24.526831000000001</v>
      </c>
      <c r="N43" s="287">
        <v>27.761948999999998</v>
      </c>
      <c r="O43" s="31">
        <v>3634.8462650000001</v>
      </c>
      <c r="P43" s="288">
        <v>3.8380540000000001</v>
      </c>
      <c r="Q43" s="27"/>
      <c r="T43" s="28"/>
      <c r="U43" s="28"/>
      <c r="V43" s="28"/>
      <c r="W43" s="28"/>
      <c r="X43" s="28"/>
      <c r="Y43" s="28"/>
      <c r="Z43" s="28"/>
      <c r="AA43" s="28"/>
      <c r="AB43" s="22"/>
      <c r="AC43" s="22"/>
      <c r="AD43" s="22"/>
      <c r="AE43" s="22"/>
      <c r="AF43" s="22"/>
      <c r="AG43" s="22"/>
      <c r="AH43" s="22"/>
      <c r="AI43" s="22"/>
    </row>
    <row r="44" spans="2:35" ht="13.5" customHeight="1" x14ac:dyDescent="0.3">
      <c r="C44" s="30" t="s">
        <v>128</v>
      </c>
      <c r="D44" s="31">
        <v>242739.66001355689</v>
      </c>
      <c r="E44" s="31">
        <v>9766729.3344747387</v>
      </c>
      <c r="F44" s="31">
        <v>146692.12300226261</v>
      </c>
      <c r="G44" s="31">
        <v>348675.45174598723</v>
      </c>
      <c r="H44" s="31">
        <v>27044.400187529594</v>
      </c>
      <c r="I44" s="31">
        <v>1148061.4364120001</v>
      </c>
      <c r="J44" s="31">
        <v>2934.8496</v>
      </c>
      <c r="K44" s="31">
        <v>2874.9100077799999</v>
      </c>
      <c r="L44" s="31">
        <v>2570.0481631999996</v>
      </c>
      <c r="M44" s="287">
        <v>28.906147000000001</v>
      </c>
      <c r="N44" s="287">
        <v>24.351747</v>
      </c>
      <c r="O44" s="31">
        <v>3892.888876</v>
      </c>
      <c r="P44" s="288">
        <v>2.8652799999999998</v>
      </c>
      <c r="Q44" s="27"/>
      <c r="T44" s="28"/>
      <c r="U44" s="28"/>
      <c r="V44" s="28"/>
      <c r="W44" s="28"/>
      <c r="X44" s="28"/>
      <c r="Y44" s="28"/>
      <c r="Z44" s="28"/>
      <c r="AA44" s="28"/>
      <c r="AB44" s="22"/>
      <c r="AC44" s="22"/>
      <c r="AD44" s="22"/>
      <c r="AE44" s="22"/>
      <c r="AF44" s="22"/>
      <c r="AG44" s="22"/>
      <c r="AH44" s="22"/>
      <c r="AI44" s="22"/>
    </row>
    <row r="45" spans="2:35" ht="13.5" customHeight="1" x14ac:dyDescent="0.3">
      <c r="C45" s="29" t="s">
        <v>129</v>
      </c>
      <c r="D45" s="31">
        <v>240995.04587404698</v>
      </c>
      <c r="E45" s="31">
        <v>9314155.6817302406</v>
      </c>
      <c r="F45" s="31">
        <v>127554.50510377903</v>
      </c>
      <c r="G45" s="31">
        <v>326746.13742428838</v>
      </c>
      <c r="H45" s="31">
        <v>27791.042003302999</v>
      </c>
      <c r="I45" s="31">
        <v>1123268.1765320001</v>
      </c>
      <c r="J45" s="31">
        <v>3008.8197999999998</v>
      </c>
      <c r="K45" s="31">
        <v>2971.9247022499994</v>
      </c>
      <c r="L45" s="31">
        <v>1461.4284863999999</v>
      </c>
      <c r="M45" s="287">
        <v>23.366099999999996</v>
      </c>
      <c r="N45" s="287">
        <v>20.976871000000003</v>
      </c>
      <c r="O45" s="31">
        <v>3350.4782869999999</v>
      </c>
      <c r="P45" s="288">
        <v>2.8038280000000002</v>
      </c>
      <c r="Q45" s="27"/>
      <c r="T45" s="28"/>
      <c r="U45" s="28"/>
      <c r="V45" s="28"/>
      <c r="W45" s="28"/>
      <c r="X45" s="28"/>
      <c r="Y45" s="28"/>
      <c r="Z45" s="28"/>
      <c r="AA45" s="28"/>
      <c r="AB45" s="22"/>
      <c r="AC45" s="22"/>
      <c r="AD45" s="22"/>
      <c r="AE45" s="22"/>
      <c r="AF45" s="22"/>
      <c r="AG45" s="22"/>
      <c r="AH45" s="22"/>
      <c r="AI45" s="22"/>
    </row>
    <row r="46" spans="2:35" ht="13.5" customHeight="1" x14ac:dyDescent="0.3">
      <c r="C46" s="29" t="s">
        <v>131</v>
      </c>
      <c r="D46" s="31">
        <v>248192.47087500003</v>
      </c>
      <c r="E46" s="31">
        <v>10045656.249993</v>
      </c>
      <c r="F46" s="31">
        <v>134029.04920799998</v>
      </c>
      <c r="G46" s="31">
        <v>348160.29012800008</v>
      </c>
      <c r="H46" s="31">
        <v>26955.006511</v>
      </c>
      <c r="I46" s="31">
        <v>1162917.4198079999</v>
      </c>
      <c r="J46" s="31">
        <v>3093.9712440000003</v>
      </c>
      <c r="K46" s="31">
        <v>3380.8528619999997</v>
      </c>
      <c r="L46" s="31">
        <v>2458.9604710000003</v>
      </c>
      <c r="M46" s="287">
        <v>25.678840000000001</v>
      </c>
      <c r="N46" s="287">
        <v>25.450904999999999</v>
      </c>
      <c r="O46" s="31">
        <v>3352.4926889999997</v>
      </c>
      <c r="P46" s="289">
        <v>2.758362</v>
      </c>
      <c r="Q46" s="27"/>
      <c r="T46" s="28"/>
      <c r="U46" s="28"/>
      <c r="V46" s="28"/>
      <c r="W46" s="28"/>
      <c r="X46" s="28"/>
      <c r="Y46" s="28"/>
      <c r="Z46" s="28"/>
      <c r="AA46" s="28"/>
      <c r="AB46" s="22"/>
      <c r="AC46" s="22"/>
      <c r="AD46" s="22"/>
      <c r="AE46" s="22"/>
      <c r="AF46" s="22"/>
      <c r="AG46" s="22"/>
      <c r="AH46" s="22"/>
      <c r="AI46" s="22"/>
    </row>
    <row r="47" spans="2:35" ht="13.5" customHeight="1" thickBot="1" x14ac:dyDescent="0.35">
      <c r="B47" s="222"/>
      <c r="C47" s="196" t="s">
        <v>136</v>
      </c>
      <c r="D47" s="290">
        <v>216152.44144299999</v>
      </c>
      <c r="E47" s="290">
        <v>9100583.6344010029</v>
      </c>
      <c r="F47" s="290">
        <v>119827.05015700003</v>
      </c>
      <c r="G47" s="290">
        <v>291536.50174399989</v>
      </c>
      <c r="H47" s="290">
        <v>25533.305550999994</v>
      </c>
      <c r="I47" s="290">
        <v>1150038.4875200002</v>
      </c>
      <c r="J47" s="290">
        <v>2358.6851999999999</v>
      </c>
      <c r="K47" s="290">
        <v>2772.538481</v>
      </c>
      <c r="L47" s="290">
        <v>2254.175819</v>
      </c>
      <c r="M47" s="291">
        <v>27.510525999999999</v>
      </c>
      <c r="N47" s="291">
        <v>23.065466999999998</v>
      </c>
      <c r="O47" s="290">
        <v>3829.7748299999998</v>
      </c>
      <c r="P47" s="292">
        <v>2.7624939999999998</v>
      </c>
      <c r="Q47" s="208"/>
      <c r="T47" s="28"/>
      <c r="U47" s="28"/>
      <c r="V47" s="28"/>
      <c r="W47" s="28"/>
      <c r="X47" s="28"/>
      <c r="Y47" s="28"/>
      <c r="Z47" s="28"/>
      <c r="AA47" s="28"/>
      <c r="AB47" s="22"/>
      <c r="AC47" s="22"/>
      <c r="AD47" s="22"/>
      <c r="AE47" s="22"/>
      <c r="AF47" s="22"/>
      <c r="AG47" s="22"/>
      <c r="AH47" s="22"/>
      <c r="AI47" s="22"/>
    </row>
    <row r="48" spans="2:35" x14ac:dyDescent="0.3">
      <c r="C48" s="195" t="s">
        <v>140</v>
      </c>
      <c r="D48" s="204"/>
      <c r="E48" s="204"/>
      <c r="F48" s="205"/>
      <c r="G48" s="204"/>
      <c r="H48" s="204"/>
      <c r="I48" s="204"/>
      <c r="J48" s="204"/>
      <c r="K48" s="204"/>
      <c r="L48" s="204"/>
      <c r="M48" s="204"/>
      <c r="N48" s="204"/>
      <c r="O48" s="204"/>
      <c r="P48" s="206"/>
      <c r="R48" s="23"/>
      <c r="S48" s="38"/>
    </row>
    <row r="49" spans="3:35" ht="27.6" x14ac:dyDescent="0.3">
      <c r="C49" s="39" t="s">
        <v>138</v>
      </c>
      <c r="D49" s="293">
        <v>243305.27163620599</v>
      </c>
      <c r="E49" s="293">
        <v>9349054.7926002573</v>
      </c>
      <c r="F49" s="293">
        <v>105414.319739197</v>
      </c>
      <c r="G49" s="293">
        <v>291442.58352533757</v>
      </c>
      <c r="H49" s="293">
        <v>23043.24672401301</v>
      </c>
      <c r="I49" s="293">
        <v>1089161.3711999999</v>
      </c>
      <c r="J49" s="293">
        <v>2914.2087999999999</v>
      </c>
      <c r="K49" s="293">
        <v>2991.0011701199996</v>
      </c>
      <c r="L49" s="293">
        <v>2323.4480275999999</v>
      </c>
      <c r="M49" s="293">
        <v>20.850784000000001</v>
      </c>
      <c r="N49" s="293">
        <v>28.561821999999999</v>
      </c>
      <c r="O49" s="293">
        <v>2540.2371769999995</v>
      </c>
      <c r="P49" s="294">
        <v>2.8124280000000002</v>
      </c>
      <c r="R49" s="23"/>
      <c r="S49" s="38"/>
    </row>
    <row r="50" spans="3:35" ht="24" x14ac:dyDescent="0.3">
      <c r="C50" s="40" t="s">
        <v>139</v>
      </c>
      <c r="D50" s="284">
        <v>216152.44144299999</v>
      </c>
      <c r="E50" s="284">
        <v>9100583.6344010029</v>
      </c>
      <c r="F50" s="284">
        <v>119827.05015700003</v>
      </c>
      <c r="G50" s="284">
        <v>291536.50174399989</v>
      </c>
      <c r="H50" s="284">
        <v>25533.305550999994</v>
      </c>
      <c r="I50" s="284">
        <v>1150038.4875200002</v>
      </c>
      <c r="J50" s="284">
        <v>2358.6851999999999</v>
      </c>
      <c r="K50" s="284">
        <v>2772.538481</v>
      </c>
      <c r="L50" s="295">
        <v>2254.175819</v>
      </c>
      <c r="M50" s="295">
        <v>27.510525999999999</v>
      </c>
      <c r="N50" s="295">
        <v>23.065466999999998</v>
      </c>
      <c r="O50" s="295">
        <v>3829.7748299999998</v>
      </c>
      <c r="P50" s="296">
        <v>2.7624939999999998</v>
      </c>
      <c r="Q50" s="41"/>
      <c r="R50" s="23"/>
      <c r="S50" s="22"/>
      <c r="T50" s="22"/>
      <c r="U50" s="22"/>
      <c r="V50" s="22"/>
      <c r="W50" s="22"/>
      <c r="X50" s="22"/>
      <c r="Y50" s="22"/>
      <c r="Z50" s="22"/>
    </row>
    <row r="51" spans="3:35" x14ac:dyDescent="0.3">
      <c r="C51" s="42" t="s">
        <v>26</v>
      </c>
      <c r="D51" s="43">
        <f t="shared" ref="D51:P51" si="2">+D50/D49-1</f>
        <v>-0.11159984331866579</v>
      </c>
      <c r="E51" s="43">
        <f>+E50/E49-1</f>
        <v>-2.6577142150874811E-2</v>
      </c>
      <c r="F51" s="44">
        <f>+F50/F49-1</f>
        <v>0.13672459731715025</v>
      </c>
      <c r="G51" s="223">
        <f>+G50/G49-1</f>
        <v>3.2225290321785671E-4</v>
      </c>
      <c r="H51" s="44">
        <f t="shared" si="2"/>
        <v>0.10806024241332857</v>
      </c>
      <c r="I51" s="43">
        <f t="shared" si="2"/>
        <v>5.5893569061238324E-2</v>
      </c>
      <c r="J51" s="43">
        <f t="shared" si="2"/>
        <v>-0.19062587416522803</v>
      </c>
      <c r="K51" s="43">
        <f t="shared" si="2"/>
        <v>-7.303998784836141E-2</v>
      </c>
      <c r="L51" s="43">
        <f t="shared" si="2"/>
        <v>-2.9814399882038489E-2</v>
      </c>
      <c r="M51" s="43">
        <f t="shared" si="2"/>
        <v>0.31940007627530931</v>
      </c>
      <c r="N51" s="43">
        <f t="shared" si="2"/>
        <v>-0.19243712813559311</v>
      </c>
      <c r="O51" s="43">
        <f t="shared" si="2"/>
        <v>0.5076445871573827</v>
      </c>
      <c r="P51" s="45">
        <f t="shared" si="2"/>
        <v>-1.7754765633111402E-2</v>
      </c>
      <c r="R51" s="23"/>
      <c r="S51" s="22"/>
      <c r="T51" s="22"/>
      <c r="U51" s="22"/>
      <c r="V51" s="22"/>
      <c r="W51" s="22"/>
      <c r="X51" s="22"/>
      <c r="Y51" s="22"/>
      <c r="Z51" s="22"/>
    </row>
    <row r="52" spans="3:35" x14ac:dyDescent="0.3">
      <c r="C52" s="33"/>
      <c r="D52" s="31"/>
      <c r="E52" s="31"/>
      <c r="F52" s="31"/>
      <c r="G52" s="31"/>
      <c r="H52" s="31"/>
      <c r="I52" s="31"/>
      <c r="J52" s="31"/>
      <c r="K52" s="31"/>
      <c r="L52" s="31"/>
      <c r="M52" s="31"/>
      <c r="N52" s="31"/>
      <c r="O52" s="31"/>
      <c r="P52" s="32"/>
      <c r="Q52" s="27"/>
      <c r="T52" s="28"/>
      <c r="U52" s="28"/>
      <c r="V52" s="28"/>
      <c r="W52" s="28"/>
      <c r="X52" s="28"/>
      <c r="Y52" s="28"/>
      <c r="Z52" s="28"/>
      <c r="AA52" s="28"/>
      <c r="AB52" s="22"/>
      <c r="AC52" s="22"/>
      <c r="AD52" s="22"/>
      <c r="AE52" s="22"/>
      <c r="AF52" s="22"/>
      <c r="AG52" s="22"/>
      <c r="AH52" s="22"/>
      <c r="AI52" s="22"/>
    </row>
    <row r="53" spans="3:35" x14ac:dyDescent="0.3">
      <c r="C53" s="34" t="s">
        <v>141</v>
      </c>
      <c r="D53" s="35"/>
      <c r="E53" s="35"/>
      <c r="F53" s="36"/>
      <c r="G53" s="35"/>
      <c r="H53" s="35"/>
      <c r="I53" s="35"/>
      <c r="J53" s="35"/>
      <c r="K53" s="35"/>
      <c r="L53" s="35"/>
      <c r="M53" s="35"/>
      <c r="N53" s="35"/>
      <c r="O53" s="35"/>
      <c r="P53" s="37"/>
      <c r="R53" s="23"/>
      <c r="S53" s="22"/>
      <c r="T53" s="22"/>
      <c r="U53" s="22"/>
      <c r="V53" s="22"/>
      <c r="W53" s="22"/>
      <c r="X53" s="22"/>
      <c r="Y53" s="22"/>
      <c r="Z53" s="22"/>
    </row>
    <row r="54" spans="3:35" ht="24" x14ac:dyDescent="0.3">
      <c r="C54" s="46" t="s">
        <v>146</v>
      </c>
      <c r="D54" s="293">
        <v>2473757.4388191332</v>
      </c>
      <c r="E54" s="293">
        <v>99573912.961384937</v>
      </c>
      <c r="F54" s="293">
        <v>1159255.735987616</v>
      </c>
      <c r="G54" s="293">
        <v>3165873.8689063694</v>
      </c>
      <c r="H54" s="293">
        <v>265703.53017552296</v>
      </c>
      <c r="I54" s="293">
        <v>12243668.313921999</v>
      </c>
      <c r="J54" s="293">
        <v>29894.117599999998</v>
      </c>
      <c r="K54" s="293">
        <v>37967.418018364995</v>
      </c>
      <c r="L54" s="293">
        <v>28878.967529779995</v>
      </c>
      <c r="M54" s="293">
        <v>242.63734210000001</v>
      </c>
      <c r="N54" s="293">
        <v>289.298495</v>
      </c>
      <c r="O54" s="293">
        <v>18819.861248100002</v>
      </c>
      <c r="P54" s="297">
        <v>38.356553600000005</v>
      </c>
      <c r="R54" s="23"/>
      <c r="S54" s="22"/>
      <c r="T54" s="22"/>
      <c r="U54" s="22"/>
      <c r="V54" s="22"/>
      <c r="W54" s="22"/>
      <c r="X54" s="22"/>
      <c r="Y54" s="22"/>
      <c r="Z54" s="22"/>
    </row>
    <row r="55" spans="3:35" ht="24" x14ac:dyDescent="0.3">
      <c r="C55" s="46" t="s">
        <v>147</v>
      </c>
      <c r="D55" s="293">
        <v>2512739.6714741224</v>
      </c>
      <c r="E55" s="293">
        <v>99621857.094403893</v>
      </c>
      <c r="F55" s="293">
        <v>1371732.2033468043</v>
      </c>
      <c r="G55" s="293">
        <v>3417864.6699118717</v>
      </c>
      <c r="H55" s="293">
        <v>285679.32950715686</v>
      </c>
      <c r="I55" s="293">
        <v>10677261.443318</v>
      </c>
      <c r="J55" s="293">
        <v>30875.465984000002</v>
      </c>
      <c r="K55" s="293">
        <v>34794.4170397661</v>
      </c>
      <c r="L55" s="293">
        <v>25000.950646199995</v>
      </c>
      <c r="M55" s="293">
        <v>257.32217680000002</v>
      </c>
      <c r="N55" s="293">
        <v>288.113226</v>
      </c>
      <c r="O55" s="293">
        <v>35287.238727800002</v>
      </c>
      <c r="P55" s="297">
        <v>32.526135999999994</v>
      </c>
      <c r="R55" s="23"/>
      <c r="S55" s="22"/>
      <c r="T55" s="22"/>
      <c r="U55" s="22"/>
      <c r="V55" s="22"/>
      <c r="W55" s="22"/>
      <c r="X55" s="22"/>
      <c r="Y55" s="22"/>
      <c r="Z55" s="22"/>
    </row>
    <row r="56" spans="3:35" x14ac:dyDescent="0.3">
      <c r="C56" s="47" t="s">
        <v>26</v>
      </c>
      <c r="D56" s="48">
        <f t="shared" ref="D56:P56" si="3">+D55/D54-1</f>
        <v>1.5758308411029098E-2</v>
      </c>
      <c r="E56" s="224">
        <f t="shared" si="3"/>
        <v>4.8149290906684961E-4</v>
      </c>
      <c r="F56" s="48">
        <f t="shared" si="3"/>
        <v>0.18328696659686661</v>
      </c>
      <c r="G56" s="48">
        <f t="shared" si="3"/>
        <v>7.9595969845934089E-2</v>
      </c>
      <c r="H56" s="48">
        <f t="shared" si="3"/>
        <v>7.5180782575368754E-2</v>
      </c>
      <c r="I56" s="49">
        <f t="shared" si="3"/>
        <v>-0.12793607523840489</v>
      </c>
      <c r="J56" s="49">
        <f t="shared" si="3"/>
        <v>3.2827474526292866E-2</v>
      </c>
      <c r="K56" s="49">
        <f t="shared" si="3"/>
        <v>-8.3571681831619449E-2</v>
      </c>
      <c r="L56" s="49">
        <f t="shared" si="3"/>
        <v>-0.13428516374697219</v>
      </c>
      <c r="M56" s="49">
        <f>+M55/M54-1</f>
        <v>6.0521742337368067E-2</v>
      </c>
      <c r="N56" s="49">
        <f>+N55/N54-1</f>
        <v>-4.0970451643725925E-3</v>
      </c>
      <c r="O56" s="48">
        <f>+O55/O54-1</f>
        <v>0.87499994089289568</v>
      </c>
      <c r="P56" s="50">
        <f t="shared" si="3"/>
        <v>-0.15200577353227096</v>
      </c>
      <c r="R56" s="23"/>
      <c r="S56" s="22"/>
      <c r="T56" s="22"/>
      <c r="U56" s="22"/>
      <c r="V56" s="22"/>
      <c r="W56" s="22"/>
      <c r="X56" s="22"/>
      <c r="Y56" s="22"/>
      <c r="Z56" s="22"/>
    </row>
    <row r="57" spans="3:35" x14ac:dyDescent="0.3">
      <c r="C57" s="33"/>
      <c r="D57" s="31"/>
      <c r="E57" s="31"/>
      <c r="F57" s="31"/>
      <c r="G57" s="31"/>
      <c r="H57" s="31"/>
      <c r="I57" s="31"/>
      <c r="J57" s="31"/>
      <c r="K57" s="31"/>
      <c r="L57" s="31"/>
      <c r="M57" s="31"/>
      <c r="N57" s="31"/>
      <c r="O57" s="31"/>
      <c r="P57" s="32"/>
      <c r="Q57" s="27"/>
      <c r="T57" s="28"/>
      <c r="U57" s="28"/>
      <c r="V57" s="28"/>
      <c r="W57" s="28"/>
      <c r="X57" s="28"/>
      <c r="Y57" s="28"/>
      <c r="Z57" s="28"/>
      <c r="AA57" s="28"/>
      <c r="AB57" s="22"/>
      <c r="AC57" s="22"/>
      <c r="AD57" s="22"/>
      <c r="AE57" s="22"/>
      <c r="AF57" s="22"/>
      <c r="AG57" s="22"/>
      <c r="AH57" s="22"/>
      <c r="AI57" s="22"/>
    </row>
    <row r="58" spans="3:35" x14ac:dyDescent="0.3">
      <c r="C58" s="34" t="s">
        <v>27</v>
      </c>
      <c r="D58" s="35"/>
      <c r="E58" s="35"/>
      <c r="F58" s="36"/>
      <c r="G58" s="35"/>
      <c r="H58" s="35"/>
      <c r="I58" s="35"/>
      <c r="J58" s="35"/>
      <c r="K58" s="35"/>
      <c r="L58" s="35"/>
      <c r="M58" s="35"/>
      <c r="N58" s="35"/>
      <c r="O58" s="35"/>
      <c r="P58" s="37"/>
      <c r="Q58" s="27"/>
      <c r="T58" s="28"/>
      <c r="U58" s="28"/>
      <c r="V58" s="28"/>
      <c r="W58" s="28"/>
      <c r="X58" s="28"/>
      <c r="Y58" s="28"/>
      <c r="Z58" s="28"/>
      <c r="AA58" s="28"/>
      <c r="AB58" s="22"/>
      <c r="AC58" s="22"/>
      <c r="AD58" s="22"/>
      <c r="AE58" s="22"/>
      <c r="AF58" s="22"/>
      <c r="AG58" s="22"/>
      <c r="AH58" s="22"/>
      <c r="AI58" s="22"/>
    </row>
    <row r="59" spans="3:35" ht="24" x14ac:dyDescent="0.3">
      <c r="C59" s="51" t="s">
        <v>132</v>
      </c>
      <c r="D59" s="298">
        <v>248192.47087500003</v>
      </c>
      <c r="E59" s="298">
        <v>10045656.249993</v>
      </c>
      <c r="F59" s="298">
        <v>134029.04920800004</v>
      </c>
      <c r="G59" s="298">
        <v>348160.29012799996</v>
      </c>
      <c r="H59" s="298">
        <v>26955.006511000007</v>
      </c>
      <c r="I59" s="298">
        <v>1162917.4198079999</v>
      </c>
      <c r="J59" s="298">
        <v>3093.9712440000003</v>
      </c>
      <c r="K59" s="298">
        <v>3380.8528619999997</v>
      </c>
      <c r="L59" s="298">
        <v>2458.9604710000003</v>
      </c>
      <c r="M59" s="298">
        <v>25.678840000000001</v>
      </c>
      <c r="N59" s="298">
        <v>25.450904999999999</v>
      </c>
      <c r="O59" s="298">
        <v>3352.4926889999997</v>
      </c>
      <c r="P59" s="299">
        <v>2.758362</v>
      </c>
      <c r="Q59" s="27"/>
      <c r="T59" s="28"/>
      <c r="U59" s="28"/>
      <c r="V59" s="28"/>
      <c r="W59" s="28"/>
      <c r="X59" s="28"/>
      <c r="Y59" s="28"/>
      <c r="Z59" s="28"/>
      <c r="AA59" s="28"/>
      <c r="AB59" s="22"/>
      <c r="AC59" s="22"/>
      <c r="AD59" s="22"/>
      <c r="AE59" s="22"/>
      <c r="AF59" s="22"/>
      <c r="AG59" s="22"/>
      <c r="AH59" s="22"/>
      <c r="AI59" s="22"/>
    </row>
    <row r="60" spans="3:35" ht="24" x14ac:dyDescent="0.3">
      <c r="C60" s="53" t="s">
        <v>139</v>
      </c>
      <c r="D60" s="295">
        <v>216152.44144299999</v>
      </c>
      <c r="E60" s="295">
        <v>9100583.6344010029</v>
      </c>
      <c r="F60" s="295">
        <v>119827.05015700003</v>
      </c>
      <c r="G60" s="295">
        <v>291536.50174399989</v>
      </c>
      <c r="H60" s="295">
        <v>25533.305550999994</v>
      </c>
      <c r="I60" s="295">
        <v>1150038.4875200002</v>
      </c>
      <c r="J60" s="295">
        <v>2358.6851999999999</v>
      </c>
      <c r="K60" s="295">
        <v>2772.538481</v>
      </c>
      <c r="L60" s="295">
        <v>2254.175819</v>
      </c>
      <c r="M60" s="295">
        <v>27.510525999999999</v>
      </c>
      <c r="N60" s="295">
        <v>23.065466999999998</v>
      </c>
      <c r="O60" s="295">
        <v>3829.7748299999998</v>
      </c>
      <c r="P60" s="300">
        <v>2.7624939999999998</v>
      </c>
      <c r="Q60" s="27"/>
      <c r="T60" s="28"/>
      <c r="U60" s="28"/>
      <c r="V60" s="28"/>
      <c r="W60" s="28"/>
      <c r="X60" s="28"/>
      <c r="Y60" s="28"/>
      <c r="Z60" s="28"/>
      <c r="AA60" s="28"/>
      <c r="AB60" s="22"/>
      <c r="AC60" s="22"/>
      <c r="AD60" s="22"/>
      <c r="AE60" s="22"/>
      <c r="AF60" s="22"/>
      <c r="AG60" s="22"/>
      <c r="AH60" s="22"/>
      <c r="AI60" s="22"/>
    </row>
    <row r="61" spans="3:35" x14ac:dyDescent="0.3">
      <c r="C61" s="54" t="s">
        <v>26</v>
      </c>
      <c r="D61" s="49">
        <f t="shared" ref="D61:M61" si="4">+D60/D59-1</f>
        <v>-0.12909347861779708</v>
      </c>
      <c r="E61" s="49">
        <f t="shared" si="4"/>
        <v>-9.4077737887224178E-2</v>
      </c>
      <c r="F61" s="49">
        <f t="shared" si="4"/>
        <v>-0.10596209653744459</v>
      </c>
      <c r="G61" s="49">
        <f t="shared" si="4"/>
        <v>-0.16263712430611355</v>
      </c>
      <c r="H61" s="49">
        <f t="shared" si="4"/>
        <v>-5.2743484199116564E-2</v>
      </c>
      <c r="I61" s="49">
        <f t="shared" si="4"/>
        <v>-1.1074674838154941E-2</v>
      </c>
      <c r="J61" s="49">
        <f t="shared" si="4"/>
        <v>-0.23765122104024328</v>
      </c>
      <c r="K61" s="49">
        <f t="shared" si="4"/>
        <v>-0.1799292680960215</v>
      </c>
      <c r="L61" s="49">
        <f t="shared" si="4"/>
        <v>-8.3280985772300475E-2</v>
      </c>
      <c r="M61" s="49">
        <f t="shared" si="4"/>
        <v>7.1330558545479317E-2</v>
      </c>
      <c r="N61" s="49">
        <f>+N60/N59-1</f>
        <v>-9.3727040354753655E-2</v>
      </c>
      <c r="O61" s="49">
        <f>+O60/O59-1</f>
        <v>0.14236634805081905</v>
      </c>
      <c r="P61" s="50">
        <f>+P60/P59-1</f>
        <v>1.4979904740566319E-3</v>
      </c>
      <c r="Q61" s="27"/>
      <c r="T61" s="28"/>
      <c r="U61" s="28"/>
      <c r="V61" s="28"/>
      <c r="W61" s="28"/>
      <c r="X61" s="28"/>
      <c r="Y61" s="28"/>
      <c r="Z61" s="28"/>
      <c r="AA61" s="28"/>
      <c r="AB61" s="22"/>
      <c r="AC61" s="22"/>
      <c r="AD61" s="22"/>
      <c r="AE61" s="22"/>
      <c r="AF61" s="22"/>
      <c r="AG61" s="22"/>
      <c r="AH61" s="22"/>
      <c r="AI61" s="22"/>
    </row>
    <row r="62" spans="3:35" x14ac:dyDescent="0.3">
      <c r="C62" s="55"/>
      <c r="D62" s="56"/>
      <c r="E62" s="57"/>
      <c r="F62" s="56"/>
      <c r="G62" s="56"/>
      <c r="H62" s="56"/>
      <c r="I62" s="56"/>
      <c r="J62" s="56"/>
      <c r="K62" s="56"/>
      <c r="L62" s="56"/>
      <c r="M62" s="56"/>
      <c r="N62" s="56"/>
      <c r="O62" s="56"/>
      <c r="P62" s="58"/>
      <c r="R62" s="23"/>
      <c r="S62" s="22"/>
      <c r="T62" s="22"/>
      <c r="U62" s="22"/>
      <c r="V62" s="22"/>
      <c r="W62" s="22"/>
      <c r="X62" s="22"/>
      <c r="Y62" s="22"/>
      <c r="Z62" s="22"/>
    </row>
    <row r="63" spans="3:35" s="60" customFormat="1" ht="87.6" customHeight="1" x14ac:dyDescent="0.3">
      <c r="C63" s="254" t="s">
        <v>142</v>
      </c>
      <c r="D63" s="255"/>
      <c r="E63" s="255"/>
      <c r="F63" s="255"/>
      <c r="G63" s="255"/>
      <c r="H63" s="255"/>
      <c r="I63" s="255"/>
      <c r="J63" s="255"/>
      <c r="K63" s="255"/>
      <c r="L63" s="255"/>
      <c r="M63" s="255"/>
      <c r="N63" s="255"/>
      <c r="O63" s="255"/>
      <c r="P63" s="256"/>
      <c r="Q63" s="59"/>
    </row>
    <row r="64" spans="3:35" s="60" customFormat="1" ht="10.199999999999999" customHeight="1" x14ac:dyDescent="0.3">
      <c r="C64" s="257"/>
      <c r="D64" s="258"/>
      <c r="E64" s="258"/>
      <c r="F64" s="258"/>
      <c r="G64" s="258"/>
      <c r="H64" s="258"/>
      <c r="I64" s="258"/>
      <c r="J64" s="258"/>
      <c r="K64" s="258"/>
      <c r="L64" s="258"/>
      <c r="M64" s="258"/>
      <c r="N64" s="258"/>
      <c r="O64" s="258"/>
      <c r="P64" s="259"/>
      <c r="Q64" s="59"/>
    </row>
    <row r="65" spans="3:36" s="60" customFormat="1" ht="14.4" x14ac:dyDescent="0.3">
      <c r="Q65" s="59"/>
    </row>
    <row r="66" spans="3:36" ht="36.6" customHeight="1" x14ac:dyDescent="0.3">
      <c r="C66" s="260" t="s">
        <v>28</v>
      </c>
      <c r="D66" s="260"/>
      <c r="E66" s="260"/>
      <c r="F66" s="260"/>
      <c r="G66" s="260"/>
      <c r="H66" s="260"/>
      <c r="I66" s="260"/>
      <c r="J66" s="260"/>
      <c r="K66" s="260"/>
      <c r="L66" s="260"/>
      <c r="M66" s="260"/>
      <c r="N66" s="260"/>
      <c r="O66" s="260"/>
      <c r="P66" s="260"/>
    </row>
    <row r="67" spans="3:36" ht="36.75" customHeight="1" x14ac:dyDescent="0.3"/>
    <row r="68" spans="3:36" ht="36.75" customHeight="1" x14ac:dyDescent="0.3"/>
    <row r="69" spans="3:36" ht="36.75" customHeight="1" x14ac:dyDescent="0.3"/>
    <row r="70" spans="3:36" s="8" customFormat="1" ht="36.75" customHeight="1" x14ac:dyDescent="0.3">
      <c r="C70" s="38"/>
      <c r="D70" s="2"/>
      <c r="E70" s="2"/>
      <c r="F70" s="2"/>
      <c r="G70" s="2"/>
      <c r="H70" s="2"/>
      <c r="I70" s="2"/>
      <c r="J70" s="2"/>
      <c r="K70" s="2"/>
      <c r="L70" s="2"/>
      <c r="M70" s="2"/>
      <c r="N70" s="2"/>
      <c r="O70" s="2"/>
      <c r="P70" s="2"/>
      <c r="R70" s="2"/>
      <c r="S70" s="2"/>
      <c r="T70" s="2"/>
      <c r="U70" s="2"/>
      <c r="V70" s="2"/>
      <c r="W70" s="2"/>
      <c r="X70" s="2"/>
      <c r="Y70" s="2"/>
      <c r="Z70" s="2"/>
      <c r="AA70" s="2"/>
      <c r="AB70" s="2"/>
      <c r="AC70" s="2"/>
      <c r="AD70" s="2"/>
      <c r="AE70" s="2"/>
      <c r="AF70" s="2"/>
      <c r="AG70" s="2"/>
      <c r="AH70" s="2"/>
      <c r="AI70" s="2"/>
      <c r="AJ70" s="2"/>
    </row>
    <row r="71" spans="3:36" s="8" customFormat="1" ht="36.75" customHeight="1" x14ac:dyDescent="0.3">
      <c r="C71" s="38"/>
      <c r="D71" s="2"/>
      <c r="E71" s="2"/>
      <c r="F71" s="2"/>
      <c r="G71" s="2"/>
      <c r="H71" s="2"/>
      <c r="I71" s="2"/>
      <c r="J71" s="2"/>
      <c r="K71" s="2"/>
      <c r="L71" s="2"/>
      <c r="M71" s="2"/>
      <c r="N71" s="2"/>
      <c r="O71" s="2"/>
      <c r="P71" s="2"/>
      <c r="R71" s="2"/>
      <c r="S71" s="2"/>
      <c r="T71" s="2"/>
      <c r="U71" s="2"/>
      <c r="V71" s="2"/>
      <c r="W71" s="2"/>
      <c r="X71" s="2"/>
      <c r="Y71" s="2"/>
      <c r="Z71" s="2"/>
      <c r="AA71" s="2"/>
      <c r="AB71" s="2"/>
      <c r="AC71" s="2"/>
      <c r="AD71" s="2"/>
      <c r="AE71" s="2"/>
      <c r="AF71" s="2"/>
      <c r="AG71" s="2"/>
      <c r="AH71" s="2"/>
      <c r="AI71" s="2"/>
      <c r="AJ71" s="2"/>
    </row>
    <row r="72" spans="3:36" ht="36.75" customHeight="1" x14ac:dyDescent="0.3"/>
    <row r="73" spans="3:36" s="8" customFormat="1" ht="36.75" customHeight="1" x14ac:dyDescent="0.3">
      <c r="C73" s="2"/>
      <c r="D73" s="2"/>
      <c r="E73" s="2"/>
      <c r="F73" s="2"/>
      <c r="G73" s="2"/>
      <c r="H73" s="2"/>
      <c r="I73" s="2"/>
      <c r="J73" s="2"/>
      <c r="K73" s="2"/>
      <c r="L73" s="2"/>
      <c r="M73" s="2"/>
      <c r="N73" s="2"/>
      <c r="O73" s="2"/>
      <c r="P73" s="2"/>
      <c r="R73" s="2"/>
      <c r="S73" s="2"/>
      <c r="T73" s="2"/>
      <c r="U73" s="2"/>
      <c r="V73" s="2"/>
      <c r="W73" s="2"/>
      <c r="X73" s="2"/>
      <c r="Y73" s="2"/>
      <c r="Z73" s="2"/>
      <c r="AA73" s="2"/>
      <c r="AB73" s="2"/>
      <c r="AC73" s="2"/>
      <c r="AD73" s="2"/>
      <c r="AE73" s="2"/>
      <c r="AF73" s="2"/>
      <c r="AG73" s="2"/>
      <c r="AH73" s="2"/>
      <c r="AI73" s="2"/>
      <c r="AJ73" s="2"/>
    </row>
    <row r="74" spans="3:36" s="8" customFormat="1" x14ac:dyDescent="0.3">
      <c r="C74" s="38"/>
      <c r="D74" s="2"/>
      <c r="E74" s="2"/>
      <c r="F74" s="2"/>
      <c r="G74" s="2"/>
      <c r="H74" s="2"/>
      <c r="I74" s="2"/>
      <c r="J74" s="2"/>
      <c r="K74" s="61"/>
      <c r="L74" s="61"/>
      <c r="M74" s="61"/>
      <c r="N74" s="61"/>
      <c r="O74" s="61"/>
      <c r="P74" s="61"/>
      <c r="R74" s="2"/>
      <c r="S74" s="2"/>
      <c r="T74" s="2"/>
      <c r="U74" s="2"/>
      <c r="V74" s="2"/>
      <c r="W74" s="2"/>
      <c r="X74" s="2"/>
      <c r="Y74" s="2"/>
      <c r="Z74" s="2"/>
      <c r="AA74" s="2"/>
      <c r="AB74" s="2"/>
      <c r="AC74" s="2"/>
      <c r="AD74" s="2"/>
      <c r="AE74" s="2"/>
      <c r="AF74" s="2"/>
      <c r="AG74" s="2"/>
      <c r="AH74" s="2"/>
      <c r="AI74" s="2"/>
      <c r="AJ74" s="2"/>
    </row>
    <row r="75" spans="3:36" s="8" customFormat="1" ht="67.5" customHeight="1" x14ac:dyDescent="0.3">
      <c r="C75" s="248" t="s">
        <v>143</v>
      </c>
      <c r="D75" s="249"/>
      <c r="E75" s="249"/>
      <c r="F75" s="249"/>
      <c r="G75" s="249"/>
      <c r="H75" s="249"/>
      <c r="I75" s="249"/>
      <c r="J75" s="249"/>
      <c r="K75" s="249"/>
      <c r="L75" s="249"/>
      <c r="M75" s="249"/>
      <c r="N75" s="249"/>
      <c r="O75" s="249"/>
      <c r="P75" s="250"/>
      <c r="R75" s="2"/>
      <c r="S75" s="2"/>
      <c r="T75" s="2"/>
      <c r="U75" s="2"/>
      <c r="V75" s="2"/>
      <c r="W75" s="2"/>
      <c r="X75" s="2"/>
      <c r="Y75" s="2"/>
      <c r="Z75" s="2"/>
      <c r="AA75" s="2"/>
      <c r="AB75" s="2"/>
      <c r="AC75" s="2"/>
      <c r="AD75" s="2"/>
      <c r="AE75" s="2"/>
      <c r="AF75" s="2"/>
      <c r="AG75" s="2"/>
      <c r="AH75" s="2"/>
      <c r="AI75" s="2"/>
      <c r="AJ75" s="2"/>
    </row>
  </sheetData>
  <mergeCells count="7">
    <mergeCell ref="C75:P75"/>
    <mergeCell ref="C3:P3"/>
    <mergeCell ref="C4:P4"/>
    <mergeCell ref="C6:K6"/>
    <mergeCell ref="C63:P63"/>
    <mergeCell ref="C64:P64"/>
    <mergeCell ref="C66:P66"/>
  </mergeCells>
  <conditionalFormatting sqref="F51:H51 M51 O51 D56 F56:H56 O56 D62:P62">
    <cfRule type="cellIs" dxfId="0" priority="1" operator="lessThan">
      <formula>0</formula>
    </cfRule>
  </conditionalFormatting>
  <printOptions horizontalCentered="1" verticalCentered="1"/>
  <pageMargins left="0.25" right="0.25" top="0.75" bottom="0.75" header="0.3" footer="0.3"/>
  <pageSetup paperSize="8"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10"/>
  <sheetViews>
    <sheetView showGridLines="0" view="pageBreakPreview" topLeftCell="A23" zoomScaleNormal="100" zoomScaleSheetLayoutView="100" workbookViewId="0">
      <selection activeCell="I17" sqref="I17"/>
    </sheetView>
  </sheetViews>
  <sheetFormatPr baseColWidth="10" defaultColWidth="11.5546875" defaultRowHeight="14.4" x14ac:dyDescent="0.3"/>
  <cols>
    <col min="1" max="2" width="3.6640625" style="60" customWidth="1"/>
    <col min="3" max="3" width="50.109375" style="60" customWidth="1"/>
    <col min="4" max="4" width="14.44140625" style="60" customWidth="1"/>
    <col min="5" max="5" width="13.109375" style="60" customWidth="1"/>
    <col min="6" max="6" width="14" style="62" customWidth="1"/>
    <col min="7" max="8" width="12.44140625" style="60" customWidth="1"/>
    <col min="9" max="9" width="12" style="60" customWidth="1"/>
    <col min="10" max="10" width="10.88671875" style="63" customWidth="1"/>
    <col min="11" max="11" width="3.6640625" style="60" customWidth="1"/>
    <col min="12" max="16384" width="11.5546875" style="60"/>
  </cols>
  <sheetData>
    <row r="1" spans="2:17" ht="10.5" customHeight="1" x14ac:dyDescent="0.3"/>
    <row r="2" spans="2:17" ht="10.5" customHeight="1" x14ac:dyDescent="0.3"/>
    <row r="3" spans="2:17" ht="15.6" x14ac:dyDescent="0.3">
      <c r="C3" s="251" t="s">
        <v>0</v>
      </c>
      <c r="D3" s="251"/>
      <c r="E3" s="251"/>
      <c r="F3" s="251"/>
      <c r="G3" s="251"/>
      <c r="H3" s="251"/>
      <c r="I3" s="251"/>
      <c r="J3" s="251"/>
      <c r="K3" s="4"/>
      <c r="L3" s="4"/>
      <c r="M3" s="4"/>
      <c r="N3" s="4"/>
      <c r="O3" s="4"/>
      <c r="P3" s="4"/>
      <c r="Q3" s="4"/>
    </row>
    <row r="4" spans="2:17" x14ac:dyDescent="0.3">
      <c r="B4" s="252" t="s">
        <v>1</v>
      </c>
      <c r="C4" s="261"/>
      <c r="D4" s="261"/>
      <c r="E4" s="261"/>
      <c r="F4" s="261"/>
      <c r="G4" s="261"/>
      <c r="H4" s="261"/>
      <c r="I4" s="261"/>
      <c r="J4" s="261"/>
      <c r="K4" s="261"/>
      <c r="L4" s="4"/>
      <c r="M4" s="4"/>
      <c r="N4" s="4"/>
      <c r="O4" s="4"/>
      <c r="P4" s="4"/>
      <c r="Q4" s="4"/>
    </row>
    <row r="5" spans="2:17" x14ac:dyDescent="0.3">
      <c r="C5" s="4"/>
      <c r="D5" s="4"/>
      <c r="E5" s="4"/>
      <c r="F5" s="3"/>
      <c r="G5" s="4"/>
      <c r="H5" s="4"/>
      <c r="I5" s="4"/>
      <c r="J5" s="3"/>
      <c r="K5" s="4"/>
      <c r="L5" s="4"/>
      <c r="M5" s="4"/>
      <c r="N5" s="4"/>
      <c r="O5" s="4"/>
      <c r="P5" s="4"/>
      <c r="Q5" s="4"/>
    </row>
    <row r="6" spans="2:17" ht="15.6" x14ac:dyDescent="0.3">
      <c r="C6" s="64" t="s">
        <v>29</v>
      </c>
      <c r="D6" s="65"/>
      <c r="E6" s="65"/>
      <c r="F6" s="66"/>
    </row>
    <row r="7" spans="2:17" x14ac:dyDescent="0.3">
      <c r="C7" s="67" t="s">
        <v>30</v>
      </c>
      <c r="D7" s="68"/>
      <c r="E7" s="68"/>
      <c r="F7" s="69"/>
    </row>
    <row r="8" spans="2:17" ht="27" customHeight="1" x14ac:dyDescent="0.3">
      <c r="C8" s="70"/>
      <c r="D8" s="262" t="s">
        <v>148</v>
      </c>
      <c r="E8" s="263"/>
      <c r="F8" s="264"/>
      <c r="G8" s="262" t="s">
        <v>149</v>
      </c>
      <c r="H8" s="263"/>
      <c r="I8" s="263"/>
      <c r="J8" s="264"/>
    </row>
    <row r="9" spans="2:17" ht="25.5" customHeight="1" x14ac:dyDescent="0.3">
      <c r="C9" s="71" t="s">
        <v>31</v>
      </c>
      <c r="D9" s="98">
        <v>2024</v>
      </c>
      <c r="E9" s="97">
        <v>2025</v>
      </c>
      <c r="F9" s="142" t="s">
        <v>26</v>
      </c>
      <c r="G9" s="98">
        <v>2024</v>
      </c>
      <c r="H9" s="97">
        <v>2025</v>
      </c>
      <c r="I9" s="142" t="s">
        <v>26</v>
      </c>
      <c r="J9" s="143" t="s">
        <v>32</v>
      </c>
    </row>
    <row r="10" spans="2:17" ht="6.75" customHeight="1" x14ac:dyDescent="0.3">
      <c r="D10" s="63"/>
      <c r="E10" s="63"/>
      <c r="F10" s="63"/>
      <c r="G10" s="63"/>
      <c r="H10" s="63"/>
      <c r="I10" s="63"/>
    </row>
    <row r="11" spans="2:17" x14ac:dyDescent="0.3">
      <c r="C11" s="72" t="s">
        <v>33</v>
      </c>
      <c r="D11" s="108">
        <f>SUM(D12:D22)</f>
        <v>243305.27163620599</v>
      </c>
      <c r="E11" s="99">
        <f>SUM(E12:E22)</f>
        <v>216152.44144300002</v>
      </c>
      <c r="F11" s="109">
        <f t="shared" ref="F11:F74" si="0">(E11-D11)/D11</f>
        <v>-0.11159984331866563</v>
      </c>
      <c r="G11" s="108">
        <f>SUM(G12:G22)</f>
        <v>2473757.4388191332</v>
      </c>
      <c r="H11" s="99">
        <f>SUM(H12:H22)</f>
        <v>2512739.671474122</v>
      </c>
      <c r="I11" s="109">
        <f t="shared" ref="I11:I74" si="1">(H11-G11)/G11</f>
        <v>1.5758308411028862E-2</v>
      </c>
      <c r="J11" s="110">
        <f>SUM(J12:J22)</f>
        <v>1</v>
      </c>
    </row>
    <row r="12" spans="2:17" x14ac:dyDescent="0.3">
      <c r="B12" s="198"/>
      <c r="C12" s="270" t="s">
        <v>35</v>
      </c>
      <c r="D12" s="271">
        <v>36986.477784000002</v>
      </c>
      <c r="E12" s="271">
        <v>30508.953002999999</v>
      </c>
      <c r="F12" s="111">
        <f t="shared" si="0"/>
        <v>-0.17513224208124298</v>
      </c>
      <c r="G12" s="271">
        <v>290840.94214200001</v>
      </c>
      <c r="H12" s="271">
        <v>379085.19412100001</v>
      </c>
      <c r="I12" s="112">
        <f t="shared" si="1"/>
        <v>0.30341069358768502</v>
      </c>
      <c r="J12" s="113">
        <f>(H12/$H$11)</f>
        <v>0.15086528796618481</v>
      </c>
    </row>
    <row r="13" spans="2:17" x14ac:dyDescent="0.3">
      <c r="B13" s="198"/>
      <c r="C13" s="272" t="s">
        <v>34</v>
      </c>
      <c r="D13" s="271">
        <v>28162.047935752002</v>
      </c>
      <c r="E13" s="271">
        <v>32436.991719000001</v>
      </c>
      <c r="F13" s="114">
        <f t="shared" si="0"/>
        <v>0.15179804370054054</v>
      </c>
      <c r="G13" s="271">
        <v>379645.38452788803</v>
      </c>
      <c r="H13" s="271">
        <v>376004.61156553106</v>
      </c>
      <c r="I13" s="112">
        <f t="shared" si="1"/>
        <v>-9.5899307899778557E-3</v>
      </c>
      <c r="J13" s="115">
        <f t="shared" ref="J13:J22" si="2">(H13/$H$11)</f>
        <v>0.14963930240530826</v>
      </c>
    </row>
    <row r="14" spans="2:17" x14ac:dyDescent="0.3">
      <c r="B14" s="198"/>
      <c r="C14" s="272" t="s">
        <v>76</v>
      </c>
      <c r="D14" s="271">
        <v>35229.062995100001</v>
      </c>
      <c r="E14" s="271">
        <v>29549.493690000003</v>
      </c>
      <c r="F14" s="114">
        <f t="shared" si="0"/>
        <v>-0.16121829030451271</v>
      </c>
      <c r="G14" s="271">
        <v>410008.21797089995</v>
      </c>
      <c r="H14" s="271">
        <v>373867.95082150004</v>
      </c>
      <c r="I14" s="112">
        <f t="shared" si="1"/>
        <v>-8.8145226279257013E-2</v>
      </c>
      <c r="J14" s="115">
        <f t="shared" si="2"/>
        <v>0.14878897128335103</v>
      </c>
    </row>
    <row r="15" spans="2:17" x14ac:dyDescent="0.3">
      <c r="B15" s="198"/>
      <c r="C15" s="272" t="s">
        <v>36</v>
      </c>
      <c r="D15" s="271">
        <v>31289.063779</v>
      </c>
      <c r="E15" s="271">
        <v>27102.733659999998</v>
      </c>
      <c r="F15" s="114">
        <f t="shared" si="0"/>
        <v>-0.13379531418928883</v>
      </c>
      <c r="G15" s="271">
        <v>398110.48003900005</v>
      </c>
      <c r="H15" s="271">
        <v>344115.79064400995</v>
      </c>
      <c r="I15" s="112">
        <f t="shared" si="1"/>
        <v>-0.13562740018725611</v>
      </c>
      <c r="J15" s="115">
        <f t="shared" si="2"/>
        <v>0.13694844497843711</v>
      </c>
    </row>
    <row r="16" spans="2:17" x14ac:dyDescent="0.3">
      <c r="B16" s="198"/>
      <c r="C16" s="272" t="s">
        <v>37</v>
      </c>
      <c r="D16" s="271">
        <v>30628.077754400001</v>
      </c>
      <c r="E16" s="271">
        <v>24397.54523</v>
      </c>
      <c r="F16" s="114">
        <f t="shared" si="0"/>
        <v>-0.20342551610196721</v>
      </c>
      <c r="G16" s="271">
        <v>274595.22918780334</v>
      </c>
      <c r="H16" s="271">
        <v>289444.02489003527</v>
      </c>
      <c r="I16" s="112">
        <f t="shared" si="1"/>
        <v>5.4075213710564597E-2</v>
      </c>
      <c r="J16" s="115">
        <f t="shared" si="2"/>
        <v>0.11519061372570691</v>
      </c>
    </row>
    <row r="17" spans="2:10" x14ac:dyDescent="0.3">
      <c r="B17" s="198"/>
      <c r="C17" s="272" t="s">
        <v>38</v>
      </c>
      <c r="D17" s="271">
        <v>21398.379596999999</v>
      </c>
      <c r="E17" s="271">
        <v>22562.539229999998</v>
      </c>
      <c r="F17" s="114">
        <f t="shared" si="0"/>
        <v>5.4404102316383415E-2</v>
      </c>
      <c r="G17" s="271">
        <v>176833.56080800001</v>
      </c>
      <c r="H17" s="271">
        <v>220998.45508099999</v>
      </c>
      <c r="I17" s="112">
        <f t="shared" si="1"/>
        <v>0.24975402899313187</v>
      </c>
      <c r="J17" s="115">
        <f t="shared" si="2"/>
        <v>8.7951194303924535E-2</v>
      </c>
    </row>
    <row r="18" spans="2:10" x14ac:dyDescent="0.3">
      <c r="B18" s="198"/>
      <c r="C18" s="272" t="s">
        <v>65</v>
      </c>
      <c r="D18" s="271">
        <v>12072.863863750001</v>
      </c>
      <c r="E18" s="271">
        <v>9904.1166250000006</v>
      </c>
      <c r="F18" s="114">
        <f t="shared" si="0"/>
        <v>-0.1796381755998992</v>
      </c>
      <c r="G18" s="271">
        <v>109834.97927535001</v>
      </c>
      <c r="H18" s="271">
        <v>121294.31257221998</v>
      </c>
      <c r="I18" s="112">
        <f t="shared" si="1"/>
        <v>0.10433227531406071</v>
      </c>
      <c r="J18" s="115">
        <f t="shared" si="2"/>
        <v>4.8271738592427102E-2</v>
      </c>
    </row>
    <row r="19" spans="2:10" x14ac:dyDescent="0.3">
      <c r="B19" s="198"/>
      <c r="C19" s="272" t="s">
        <v>39</v>
      </c>
      <c r="D19" s="271">
        <v>16086.370686099999</v>
      </c>
      <c r="E19" s="271">
        <v>12931.125959999999</v>
      </c>
      <c r="F19" s="114">
        <f t="shared" si="0"/>
        <v>-0.19614397726308777</v>
      </c>
      <c r="G19" s="271">
        <v>133695.8083794</v>
      </c>
      <c r="H19" s="271">
        <v>118796.642784</v>
      </c>
      <c r="I19" s="112">
        <f t="shared" si="1"/>
        <v>-0.11144078319283854</v>
      </c>
      <c r="J19" s="115">
        <f t="shared" si="2"/>
        <v>4.7277735983810389E-2</v>
      </c>
    </row>
    <row r="20" spans="2:10" x14ac:dyDescent="0.3">
      <c r="B20" s="198"/>
      <c r="C20" s="272" t="s">
        <v>40</v>
      </c>
      <c r="D20" s="271">
        <v>10782.6051004</v>
      </c>
      <c r="E20" s="271">
        <v>7244.7327660000001</v>
      </c>
      <c r="F20" s="114">
        <f t="shared" si="0"/>
        <v>-0.32810923718877139</v>
      </c>
      <c r="G20" s="271">
        <v>85400.042134800009</v>
      </c>
      <c r="H20" s="271">
        <v>76551.884141000002</v>
      </c>
      <c r="I20" s="112">
        <f t="shared" si="1"/>
        <v>-0.10360835630307534</v>
      </c>
      <c r="J20" s="115">
        <f t="shared" si="2"/>
        <v>3.0465505444139437E-2</v>
      </c>
    </row>
    <row r="21" spans="2:10" x14ac:dyDescent="0.3">
      <c r="B21" s="198"/>
      <c r="C21" s="272" t="s">
        <v>41</v>
      </c>
      <c r="D21" s="271">
        <v>3987.0978894</v>
      </c>
      <c r="E21" s="271">
        <v>3871.1082219999998</v>
      </c>
      <c r="F21" s="114">
        <f t="shared" si="0"/>
        <v>-2.9091251486041365E-2</v>
      </c>
      <c r="G21" s="271">
        <v>51240.633549999999</v>
      </c>
      <c r="H21" s="271">
        <v>46735.295821700005</v>
      </c>
      <c r="I21" s="112">
        <f t="shared" si="1"/>
        <v>-8.7925098035794944E-2</v>
      </c>
      <c r="J21" s="115">
        <f t="shared" si="2"/>
        <v>1.8599338543607388E-2</v>
      </c>
    </row>
    <row r="22" spans="2:10" x14ac:dyDescent="0.3">
      <c r="B22" s="198"/>
      <c r="C22" s="273" t="s">
        <v>133</v>
      </c>
      <c r="D22" s="271">
        <v>16683.224251304007</v>
      </c>
      <c r="E22" s="271">
        <v>15643.101338000002</v>
      </c>
      <c r="F22" s="116">
        <f t="shared" si="0"/>
        <v>-6.2345437406843354E-2</v>
      </c>
      <c r="G22" s="271">
        <v>163552.16080399198</v>
      </c>
      <c r="H22" s="271">
        <v>165845.50903212608</v>
      </c>
      <c r="I22" s="112">
        <f t="shared" si="1"/>
        <v>1.4022121241690879E-2</v>
      </c>
      <c r="J22" s="125">
        <f t="shared" si="2"/>
        <v>6.6001866773103185E-2</v>
      </c>
    </row>
    <row r="23" spans="2:10" x14ac:dyDescent="0.3">
      <c r="B23" s="198"/>
      <c r="C23" s="197" t="s">
        <v>42</v>
      </c>
      <c r="D23" s="108">
        <f>SUM(D24:D34)</f>
        <v>9349054.7926002592</v>
      </c>
      <c r="E23" s="99">
        <f>SUM(E24:E34)</f>
        <v>9100583.634401001</v>
      </c>
      <c r="F23" s="109">
        <f t="shared" si="0"/>
        <v>-2.6577142150875199E-2</v>
      </c>
      <c r="G23" s="108">
        <f>SUM(G24:G34)</f>
        <v>99573912.961384907</v>
      </c>
      <c r="H23" s="99">
        <f>SUM(H24:H34)</f>
        <v>99621857.094403803</v>
      </c>
      <c r="I23" s="142">
        <f t="shared" si="1"/>
        <v>4.8149290906634225E-4</v>
      </c>
      <c r="J23" s="110">
        <f>SUM(J24:J34)</f>
        <v>1</v>
      </c>
    </row>
    <row r="24" spans="2:10" x14ac:dyDescent="0.3">
      <c r="B24" s="198"/>
      <c r="C24" s="274" t="s">
        <v>43</v>
      </c>
      <c r="D24" s="271">
        <v>859289.12639999995</v>
      </c>
      <c r="E24" s="271">
        <v>1401550.068</v>
      </c>
      <c r="F24" s="111">
        <f t="shared" si="0"/>
        <v>0.63105760906321184</v>
      </c>
      <c r="G24" s="271">
        <v>10020505.6799</v>
      </c>
      <c r="H24" s="271">
        <v>15087804.1812</v>
      </c>
      <c r="I24" s="111">
        <f t="shared" si="1"/>
        <v>0.5056928924719265</v>
      </c>
      <c r="J24" s="113">
        <f>(H24/$H$23)</f>
        <v>0.15145074204852929</v>
      </c>
    </row>
    <row r="25" spans="2:10" x14ac:dyDescent="0.3">
      <c r="B25" s="198"/>
      <c r="C25" s="275" t="s">
        <v>44</v>
      </c>
      <c r="D25" s="271">
        <v>778680.81728000008</v>
      </c>
      <c r="E25" s="271">
        <v>713026.61262000003</v>
      </c>
      <c r="F25" s="114">
        <f t="shared" si="0"/>
        <v>-8.4314655251603476E-2</v>
      </c>
      <c r="G25" s="271">
        <v>8237106.3399900002</v>
      </c>
      <c r="H25" s="271">
        <v>7886612.1088299984</v>
      </c>
      <c r="I25" s="114">
        <f t="shared" si="1"/>
        <v>-4.2550650276105009E-2</v>
      </c>
      <c r="J25" s="115">
        <f t="shared" ref="J25:J34" si="3">(H25/$H$23)</f>
        <v>7.9165479733593766E-2</v>
      </c>
    </row>
    <row r="26" spans="2:10" x14ac:dyDescent="0.3">
      <c r="B26" s="198"/>
      <c r="C26" s="275" t="s">
        <v>48</v>
      </c>
      <c r="D26" s="271">
        <v>542816.52</v>
      </c>
      <c r="E26" s="271">
        <v>401118.28</v>
      </c>
      <c r="F26" s="114">
        <f t="shared" si="0"/>
        <v>-0.26104260791473327</v>
      </c>
      <c r="G26" s="271">
        <v>6698382.5541130789</v>
      </c>
      <c r="H26" s="271">
        <v>5479204.8310000002</v>
      </c>
      <c r="I26" s="114">
        <f t="shared" si="1"/>
        <v>-0.18201076353342255</v>
      </c>
      <c r="J26" s="115">
        <f t="shared" si="3"/>
        <v>5.500002701021512E-2</v>
      </c>
    </row>
    <row r="27" spans="2:10" x14ac:dyDescent="0.3">
      <c r="B27" s="198"/>
      <c r="C27" s="275" t="s">
        <v>47</v>
      </c>
      <c r="D27" s="271">
        <v>459823.71600000001</v>
      </c>
      <c r="E27" s="271">
        <v>457438.10399999999</v>
      </c>
      <c r="F27" s="114">
        <f t="shared" si="0"/>
        <v>-5.1881012592226161E-3</v>
      </c>
      <c r="G27" s="271">
        <v>5233447.3140000002</v>
      </c>
      <c r="H27" s="271">
        <v>5047302.6450000005</v>
      </c>
      <c r="I27" s="114">
        <f t="shared" si="1"/>
        <v>-3.5568270363980539E-2</v>
      </c>
      <c r="J27" s="115">
        <f t="shared" si="3"/>
        <v>5.0664611082456221E-2</v>
      </c>
    </row>
    <row r="28" spans="2:10" x14ac:dyDescent="0.3">
      <c r="B28" s="198"/>
      <c r="C28" s="275" t="s">
        <v>46</v>
      </c>
      <c r="D28" s="271">
        <v>480362.17719999998</v>
      </c>
      <c r="E28" s="271">
        <v>457702.02799999999</v>
      </c>
      <c r="F28" s="114">
        <f t="shared" si="0"/>
        <v>-4.7173050409764834E-2</v>
      </c>
      <c r="G28" s="271">
        <v>5657630.5805199994</v>
      </c>
      <c r="H28" s="271">
        <v>4862261.1800699998</v>
      </c>
      <c r="I28" s="114">
        <f t="shared" si="1"/>
        <v>-0.14058348086362618</v>
      </c>
      <c r="J28" s="115">
        <f t="shared" si="3"/>
        <v>4.8807172661541706E-2</v>
      </c>
    </row>
    <row r="29" spans="2:10" x14ac:dyDescent="0.3">
      <c r="B29" s="198"/>
      <c r="C29" s="275" t="s">
        <v>49</v>
      </c>
      <c r="D29" s="271">
        <v>346210.48</v>
      </c>
      <c r="E29" s="271">
        <v>343117</v>
      </c>
      <c r="F29" s="114">
        <f t="shared" si="0"/>
        <v>-8.9352581123482502E-3</v>
      </c>
      <c r="G29" s="271">
        <v>4115999.4461599998</v>
      </c>
      <c r="H29" s="271">
        <v>3983589.37</v>
      </c>
      <c r="I29" s="114">
        <f t="shared" si="1"/>
        <v>-3.2169604950635013E-2</v>
      </c>
      <c r="J29" s="115">
        <f t="shared" si="3"/>
        <v>3.9987102089705732E-2</v>
      </c>
    </row>
    <row r="30" spans="2:10" x14ac:dyDescent="0.3">
      <c r="B30" s="198"/>
      <c r="C30" s="275" t="s">
        <v>51</v>
      </c>
      <c r="D30" s="271">
        <v>320899.05712800001</v>
      </c>
      <c r="E30" s="271">
        <v>301333.68619199999</v>
      </c>
      <c r="F30" s="114">
        <f t="shared" si="0"/>
        <v>-6.0970484335813424E-2</v>
      </c>
      <c r="G30" s="271">
        <v>3853243.9482439999</v>
      </c>
      <c r="H30" s="271">
        <v>3797258.2506050002</v>
      </c>
      <c r="I30" s="114">
        <f t="shared" si="1"/>
        <v>-1.4529497325107971E-2</v>
      </c>
      <c r="J30" s="115">
        <f t="shared" si="3"/>
        <v>3.8116718171662241E-2</v>
      </c>
    </row>
    <row r="31" spans="2:10" x14ac:dyDescent="0.3">
      <c r="B31" s="198"/>
      <c r="C31" s="275" t="s">
        <v>50</v>
      </c>
      <c r="D31" s="271">
        <v>301615.632608224</v>
      </c>
      <c r="E31" s="271">
        <v>367990.69374900003</v>
      </c>
      <c r="F31" s="114">
        <f t="shared" si="0"/>
        <v>0.22006505620016134</v>
      </c>
      <c r="G31" s="271">
        <v>2801613.0862313882</v>
      </c>
      <c r="H31" s="271">
        <v>3345113.503891794</v>
      </c>
      <c r="I31" s="114">
        <f t="shared" si="1"/>
        <v>0.19399553076456383</v>
      </c>
      <c r="J31" s="115">
        <f t="shared" si="3"/>
        <v>3.3578108273186406E-2</v>
      </c>
    </row>
    <row r="32" spans="2:10" x14ac:dyDescent="0.3">
      <c r="B32" s="198"/>
      <c r="C32" s="275" t="s">
        <v>53</v>
      </c>
      <c r="D32" s="271">
        <v>182596.35426687601</v>
      </c>
      <c r="E32" s="271">
        <v>331575.62069100002</v>
      </c>
      <c r="F32" s="114">
        <f t="shared" si="0"/>
        <v>0.81589398113820766</v>
      </c>
      <c r="G32" s="271">
        <v>3249954.3284869874</v>
      </c>
      <c r="H32" s="271">
        <v>3139212.6487281751</v>
      </c>
      <c r="I32" s="114">
        <f t="shared" si="1"/>
        <v>-3.4074841848736985E-2</v>
      </c>
      <c r="J32" s="115">
        <f t="shared" si="3"/>
        <v>3.1511284172843615E-2</v>
      </c>
    </row>
    <row r="33" spans="2:10" x14ac:dyDescent="0.3">
      <c r="B33" s="198"/>
      <c r="C33" s="275" t="s">
        <v>52</v>
      </c>
      <c r="D33" s="271">
        <v>304394.93</v>
      </c>
      <c r="E33" s="271">
        <v>191735.21710000001</v>
      </c>
      <c r="F33" s="114">
        <f t="shared" si="0"/>
        <v>-0.37011034612173072</v>
      </c>
      <c r="G33" s="271">
        <v>2497643.8638000004</v>
      </c>
      <c r="H33" s="271">
        <v>3054153.9401000002</v>
      </c>
      <c r="I33" s="114">
        <f t="shared" si="1"/>
        <v>0.22281402259380026</v>
      </c>
      <c r="J33" s="115">
        <f t="shared" si="3"/>
        <v>3.0657468442952418E-2</v>
      </c>
    </row>
    <row r="34" spans="2:10" x14ac:dyDescent="0.3">
      <c r="B34" s="198"/>
      <c r="C34" s="276" t="s">
        <v>150</v>
      </c>
      <c r="D34" s="271">
        <v>4772365.98171716</v>
      </c>
      <c r="E34" s="271">
        <v>4133996.3240490006</v>
      </c>
      <c r="F34" s="118">
        <f t="shared" si="0"/>
        <v>-0.13376376835174439</v>
      </c>
      <c r="G34" s="271">
        <v>47208385.819939464</v>
      </c>
      <c r="H34" s="271">
        <v>43939344.434978843</v>
      </c>
      <c r="I34" s="118">
        <f t="shared" si="1"/>
        <v>-6.9247048552544932E-2</v>
      </c>
      <c r="J34" s="125">
        <f t="shared" si="3"/>
        <v>0.44106128631331354</v>
      </c>
    </row>
    <row r="35" spans="2:10" x14ac:dyDescent="0.3">
      <c r="C35" s="75" t="s">
        <v>54</v>
      </c>
      <c r="D35" s="108">
        <f>SUM(D36:D46)</f>
        <v>105414.319739197</v>
      </c>
      <c r="E35" s="99">
        <f>SUM(E36:E46)</f>
        <v>119827.05015699999</v>
      </c>
      <c r="F35" s="109">
        <f t="shared" si="0"/>
        <v>0.13672459731714981</v>
      </c>
      <c r="G35" s="108">
        <f>SUM(G36:G46)</f>
        <v>1159255.735987616</v>
      </c>
      <c r="H35" s="99">
        <f>SUM(H36:H46)</f>
        <v>1371732.2033468043</v>
      </c>
      <c r="I35" s="109">
        <f t="shared" si="1"/>
        <v>0.18328696659686666</v>
      </c>
      <c r="J35" s="110">
        <f>SUM(J36:J46)</f>
        <v>1</v>
      </c>
    </row>
    <row r="36" spans="2:10" x14ac:dyDescent="0.3">
      <c r="B36" s="198"/>
      <c r="C36" s="274" t="s">
        <v>36</v>
      </c>
      <c r="D36" s="271">
        <v>33812.022046799997</v>
      </c>
      <c r="E36" s="271">
        <v>33015.459955999999</v>
      </c>
      <c r="F36" s="111">
        <f t="shared" si="0"/>
        <v>-2.3558546415752904E-2</v>
      </c>
      <c r="G36" s="271">
        <v>286854.1778221</v>
      </c>
      <c r="H36" s="271">
        <v>482325.91267645004</v>
      </c>
      <c r="I36" s="121">
        <f t="shared" si="1"/>
        <v>0.6814324139827479</v>
      </c>
      <c r="J36" s="122">
        <f>(H36/$H$35)</f>
        <v>0.35161813034618056</v>
      </c>
    </row>
    <row r="37" spans="2:10" x14ac:dyDescent="0.3">
      <c r="B37" s="198"/>
      <c r="C37" s="275" t="s">
        <v>55</v>
      </c>
      <c r="D37" s="271">
        <v>14393.085849872001</v>
      </c>
      <c r="E37" s="271">
        <v>12782.253266</v>
      </c>
      <c r="F37" s="114">
        <f t="shared" si="0"/>
        <v>-0.11191711080402723</v>
      </c>
      <c r="G37" s="271">
        <v>146818.208508424</v>
      </c>
      <c r="H37" s="271">
        <v>150771.71384273499</v>
      </c>
      <c r="I37" s="123">
        <f t="shared" si="1"/>
        <v>2.6927895214605823E-2</v>
      </c>
      <c r="J37" s="124">
        <f t="shared" ref="J37:J46" si="4">(H37/$H$35)</f>
        <v>0.10991337337920364</v>
      </c>
    </row>
    <row r="38" spans="2:10" x14ac:dyDescent="0.3">
      <c r="B38" s="198"/>
      <c r="C38" s="275" t="s">
        <v>56</v>
      </c>
      <c r="D38" s="271">
        <v>5277.3013000000001</v>
      </c>
      <c r="E38" s="271">
        <v>7861.9288999999999</v>
      </c>
      <c r="F38" s="114">
        <f t="shared" si="0"/>
        <v>0.48976312949954171</v>
      </c>
      <c r="G38" s="271">
        <v>86973.261600000013</v>
      </c>
      <c r="H38" s="271">
        <v>83564.5435</v>
      </c>
      <c r="I38" s="123">
        <f t="shared" si="1"/>
        <v>-3.9192713223485831E-2</v>
      </c>
      <c r="J38" s="124">
        <f t="shared" si="4"/>
        <v>6.0918992275690587E-2</v>
      </c>
    </row>
    <row r="39" spans="2:10" x14ac:dyDescent="0.3">
      <c r="B39" s="198"/>
      <c r="C39" s="275" t="s">
        <v>58</v>
      </c>
      <c r="D39" s="271">
        <v>4673.4685200000004</v>
      </c>
      <c r="E39" s="271">
        <v>9427.3753240000005</v>
      </c>
      <c r="F39" s="114">
        <f t="shared" si="0"/>
        <v>1.0172116884185196</v>
      </c>
      <c r="G39" s="271">
        <v>89309.873296999969</v>
      </c>
      <c r="H39" s="271">
        <v>68894.033922000002</v>
      </c>
      <c r="I39" s="123">
        <f t="shared" si="1"/>
        <v>-0.22859554740501195</v>
      </c>
      <c r="J39" s="124">
        <f t="shared" si="4"/>
        <v>5.0224113536089424E-2</v>
      </c>
    </row>
    <row r="40" spans="2:10" x14ac:dyDescent="0.3">
      <c r="B40" s="198"/>
      <c r="C40" s="275" t="s">
        <v>57</v>
      </c>
      <c r="D40" s="271">
        <v>4296.5314049999997</v>
      </c>
      <c r="E40" s="271">
        <v>4443.6236699999999</v>
      </c>
      <c r="F40" s="123">
        <f t="shared" si="0"/>
        <v>3.4235119247312991E-2</v>
      </c>
      <c r="G40" s="271">
        <v>49576.221428000004</v>
      </c>
      <c r="H40" s="271">
        <v>51428.543583000013</v>
      </c>
      <c r="I40" s="123">
        <f t="shared" si="1"/>
        <v>3.7363116866220902E-2</v>
      </c>
      <c r="J40" s="124">
        <f t="shared" si="4"/>
        <v>3.7491679102905587E-2</v>
      </c>
    </row>
    <row r="41" spans="2:10" x14ac:dyDescent="0.3">
      <c r="B41" s="198"/>
      <c r="C41" s="275" t="s">
        <v>60</v>
      </c>
      <c r="D41" s="271">
        <v>3600.7422116999996</v>
      </c>
      <c r="E41" s="271">
        <v>4954.8242580000006</v>
      </c>
      <c r="F41" s="123">
        <f t="shared" si="0"/>
        <v>0.37605637023948607</v>
      </c>
      <c r="G41" s="271">
        <v>48335.945835399994</v>
      </c>
      <c r="H41" s="271">
        <v>47303.434673409996</v>
      </c>
      <c r="I41" s="123">
        <f t="shared" si="1"/>
        <v>-2.1361145295595182E-2</v>
      </c>
      <c r="J41" s="124">
        <f t="shared" si="4"/>
        <v>3.4484452984334175E-2</v>
      </c>
    </row>
    <row r="42" spans="2:10" x14ac:dyDescent="0.3">
      <c r="B42" s="198"/>
      <c r="C42" s="275" t="s">
        <v>59</v>
      </c>
      <c r="D42" s="271">
        <v>4167.033274589</v>
      </c>
      <c r="E42" s="271">
        <v>3670.4839940000002</v>
      </c>
      <c r="F42" s="123">
        <f t="shared" si="0"/>
        <v>-0.1191613428232044</v>
      </c>
      <c r="G42" s="271">
        <v>46031.113058019997</v>
      </c>
      <c r="H42" s="271">
        <v>44931.220080357001</v>
      </c>
      <c r="I42" s="123">
        <f t="shared" si="1"/>
        <v>-2.3894555325582365E-2</v>
      </c>
      <c r="J42" s="124">
        <f t="shared" si="4"/>
        <v>3.275509605353881E-2</v>
      </c>
    </row>
    <row r="43" spans="2:10" x14ac:dyDescent="0.3">
      <c r="B43" s="198"/>
      <c r="C43" s="275" t="s">
        <v>38</v>
      </c>
      <c r="D43" s="271">
        <v>4247.3740200000002</v>
      </c>
      <c r="E43" s="271">
        <v>4350.4850280000001</v>
      </c>
      <c r="F43" s="123">
        <f t="shared" si="0"/>
        <v>2.427641350031139E-2</v>
      </c>
      <c r="G43" s="271">
        <v>51082.464546000003</v>
      </c>
      <c r="H43" s="271">
        <v>43403.204015000003</v>
      </c>
      <c r="I43" s="123">
        <f t="shared" si="1"/>
        <v>-0.15033065846078725</v>
      </c>
      <c r="J43" s="124">
        <f t="shared" si="4"/>
        <v>3.164116429511768E-2</v>
      </c>
    </row>
    <row r="44" spans="2:10" x14ac:dyDescent="0.3">
      <c r="B44" s="198"/>
      <c r="C44" s="275" t="s">
        <v>61</v>
      </c>
      <c r="D44" s="271">
        <v>2746.0096175499998</v>
      </c>
      <c r="E44" s="271">
        <v>4931.405925</v>
      </c>
      <c r="F44" s="123">
        <f t="shared" si="0"/>
        <v>0.79584437486414161</v>
      </c>
      <c r="G44" s="271">
        <v>41708.801106309998</v>
      </c>
      <c r="H44" s="271">
        <v>43196.469873189999</v>
      </c>
      <c r="I44" s="123">
        <f t="shared" si="1"/>
        <v>3.5667981994690699E-2</v>
      </c>
      <c r="J44" s="124">
        <f t="shared" si="4"/>
        <v>3.1490454017043278E-2</v>
      </c>
    </row>
    <row r="45" spans="2:10" x14ac:dyDescent="0.3">
      <c r="B45" s="198"/>
      <c r="C45" s="275" t="s">
        <v>130</v>
      </c>
      <c r="D45" s="271">
        <v>1843.7466499</v>
      </c>
      <c r="E45" s="271">
        <v>6107.4931409999999</v>
      </c>
      <c r="F45" s="123">
        <f t="shared" si="0"/>
        <v>2.3125446716506599</v>
      </c>
      <c r="G45" s="271">
        <v>24532.416007700002</v>
      </c>
      <c r="H45" s="271">
        <v>41044.959284200006</v>
      </c>
      <c r="I45" s="123">
        <f t="shared" si="1"/>
        <v>0.67309079021475926</v>
      </c>
      <c r="J45" s="124">
        <f t="shared" si="4"/>
        <v>2.9921991467472264E-2</v>
      </c>
    </row>
    <row r="46" spans="2:10" x14ac:dyDescent="0.3">
      <c r="B46" s="198"/>
      <c r="C46" s="277" t="s">
        <v>134</v>
      </c>
      <c r="D46" s="271">
        <v>26357.004843786002</v>
      </c>
      <c r="E46" s="271">
        <v>28281.716695000006</v>
      </c>
      <c r="F46" s="118">
        <f>(E46-D46)/D46</f>
        <v>7.3024680255646707E-2</v>
      </c>
      <c r="G46" s="278">
        <v>288033.25277866196</v>
      </c>
      <c r="H46" s="278">
        <v>314868.16789646202</v>
      </c>
      <c r="I46" s="116">
        <f t="shared" si="1"/>
        <v>9.3166031556853782E-2</v>
      </c>
      <c r="J46" s="125">
        <f t="shared" si="4"/>
        <v>0.22954055254242389</v>
      </c>
    </row>
    <row r="47" spans="2:10" x14ac:dyDescent="0.3">
      <c r="B47" s="198"/>
      <c r="C47" s="199" t="s">
        <v>62</v>
      </c>
      <c r="D47" s="99">
        <f>SUM(D48:D58)</f>
        <v>291442.58352533769</v>
      </c>
      <c r="E47" s="99">
        <f>SUM(E48:E58)</f>
        <v>291536.50174400007</v>
      </c>
      <c r="F47" s="225">
        <f t="shared" si="0"/>
        <v>3.2225290321795098E-4</v>
      </c>
      <c r="G47" s="108">
        <f>SUM(G48:G58)</f>
        <v>3165873.8689063694</v>
      </c>
      <c r="H47" s="99">
        <f>SUM(H48:H58)</f>
        <v>3417864.6699118717</v>
      </c>
      <c r="I47" s="109">
        <f t="shared" si="1"/>
        <v>7.9595969845934145E-2</v>
      </c>
      <c r="J47" s="110">
        <f>SUM(J48:J58)</f>
        <v>0.99999999999999978</v>
      </c>
    </row>
    <row r="48" spans="2:10" x14ac:dyDescent="0.3">
      <c r="B48" s="198"/>
      <c r="C48" s="270" t="s">
        <v>36</v>
      </c>
      <c r="D48" s="271">
        <v>35350.099854496599</v>
      </c>
      <c r="E48" s="271">
        <v>35141.631146</v>
      </c>
      <c r="F48" s="111">
        <f t="shared" si="0"/>
        <v>-5.8972593954379282E-3</v>
      </c>
      <c r="G48" s="271">
        <v>326744.18565397948</v>
      </c>
      <c r="H48" s="271">
        <v>519956.78587471746</v>
      </c>
      <c r="I48" s="114">
        <f t="shared" si="1"/>
        <v>0.59132681989129321</v>
      </c>
      <c r="J48" s="113">
        <f>(H48/$H$47)</f>
        <v>0.1521291321016886</v>
      </c>
    </row>
    <row r="49" spans="2:10" x14ac:dyDescent="0.3">
      <c r="B49" s="198"/>
      <c r="C49" s="272" t="s">
        <v>63</v>
      </c>
      <c r="D49" s="271">
        <v>30582.1130512688</v>
      </c>
      <c r="E49" s="271">
        <v>33982.822210999999</v>
      </c>
      <c r="F49" s="114">
        <f t="shared" si="0"/>
        <v>0.11119928678669604</v>
      </c>
      <c r="G49" s="271">
        <v>346868.38909479184</v>
      </c>
      <c r="H49" s="271">
        <v>375293.91308210668</v>
      </c>
      <c r="I49" s="114">
        <f t="shared" si="1"/>
        <v>8.1949018362543091E-2</v>
      </c>
      <c r="J49" s="115">
        <f t="shared" ref="J49:J58" si="5">(H49/$H$47)</f>
        <v>0.10980361989925817</v>
      </c>
    </row>
    <row r="50" spans="2:10" x14ac:dyDescent="0.3">
      <c r="B50" s="198"/>
      <c r="C50" s="272" t="s">
        <v>38</v>
      </c>
      <c r="D50" s="271">
        <v>21777.245589177601</v>
      </c>
      <c r="E50" s="271">
        <v>22997.404672000001</v>
      </c>
      <c r="F50" s="114">
        <f t="shared" si="0"/>
        <v>5.602908218240276E-2</v>
      </c>
      <c r="G50" s="271">
        <v>228197.78691970662</v>
      </c>
      <c r="H50" s="271">
        <v>211678.71132288032</v>
      </c>
      <c r="I50" s="114">
        <f t="shared" si="1"/>
        <v>-7.2389289220577219E-2</v>
      </c>
      <c r="J50" s="115">
        <f t="shared" si="5"/>
        <v>6.1933028883890358E-2</v>
      </c>
    </row>
    <row r="51" spans="2:10" x14ac:dyDescent="0.3">
      <c r="B51" s="198"/>
      <c r="C51" s="272" t="s">
        <v>55</v>
      </c>
      <c r="D51" s="271">
        <v>19262.7598258998</v>
      </c>
      <c r="E51" s="271">
        <v>15551.700741999999</v>
      </c>
      <c r="F51" s="114">
        <f t="shared" si="0"/>
        <v>-0.19265458934446589</v>
      </c>
      <c r="G51" s="271">
        <v>195006.48299141691</v>
      </c>
      <c r="H51" s="271">
        <v>190981.82131545609</v>
      </c>
      <c r="I51" s="114">
        <f t="shared" si="1"/>
        <v>-2.063860449264119E-2</v>
      </c>
      <c r="J51" s="115">
        <f t="shared" si="5"/>
        <v>5.5877525812155833E-2</v>
      </c>
    </row>
    <row r="52" spans="2:10" x14ac:dyDescent="0.3">
      <c r="B52" s="198"/>
      <c r="C52" s="272" t="s">
        <v>34</v>
      </c>
      <c r="D52" s="271">
        <v>11887.2667294273</v>
      </c>
      <c r="E52" s="271">
        <v>14134.214506</v>
      </c>
      <c r="F52" s="114">
        <f t="shared" si="0"/>
        <v>0.18902139808222787</v>
      </c>
      <c r="G52" s="271">
        <v>162901.84068092619</v>
      </c>
      <c r="H52" s="271">
        <v>162040.94829811467</v>
      </c>
      <c r="I52" s="114">
        <f t="shared" si="1"/>
        <v>-5.2847308490377425E-3</v>
      </c>
      <c r="J52" s="213">
        <f t="shared" si="5"/>
        <v>4.7409995405784409E-2</v>
      </c>
    </row>
    <row r="53" spans="2:10" x14ac:dyDescent="0.3">
      <c r="B53" s="198"/>
      <c r="C53" s="272" t="s">
        <v>49</v>
      </c>
      <c r="D53" s="271">
        <v>16168.7861328164</v>
      </c>
      <c r="E53" s="271">
        <v>13124.553504</v>
      </c>
      <c r="F53" s="114">
        <f t="shared" si="0"/>
        <v>-0.18827836572331069</v>
      </c>
      <c r="G53" s="271">
        <v>177716.6980670786</v>
      </c>
      <c r="H53" s="271">
        <v>160360.3199205492</v>
      </c>
      <c r="I53" s="114">
        <f t="shared" si="1"/>
        <v>-9.766318154289752E-2</v>
      </c>
      <c r="J53" s="213">
        <f t="shared" si="5"/>
        <v>4.6918276587201456E-2</v>
      </c>
    </row>
    <row r="54" spans="2:10" x14ac:dyDescent="0.3">
      <c r="B54" s="198"/>
      <c r="C54" s="272" t="s">
        <v>35</v>
      </c>
      <c r="D54" s="271">
        <v>13577.7774749206</v>
      </c>
      <c r="E54" s="271">
        <v>13529.910129</v>
      </c>
      <c r="F54" s="114">
        <f t="shared" si="0"/>
        <v>-3.5254183542936667E-3</v>
      </c>
      <c r="G54" s="271">
        <v>107979.55231161408</v>
      </c>
      <c r="H54" s="271">
        <v>145995.78445884629</v>
      </c>
      <c r="I54" s="114">
        <f t="shared" si="1"/>
        <v>0.35206880685634451</v>
      </c>
      <c r="J54" s="115">
        <f t="shared" si="5"/>
        <v>4.2715495948120949E-2</v>
      </c>
    </row>
    <row r="55" spans="2:10" x14ac:dyDescent="0.3">
      <c r="B55" s="198"/>
      <c r="C55" s="272" t="s">
        <v>64</v>
      </c>
      <c r="D55" s="271">
        <v>11559.138727237802</v>
      </c>
      <c r="E55" s="271">
        <v>12008.858635000001</v>
      </c>
      <c r="F55" s="114">
        <f t="shared" si="0"/>
        <v>3.8906004882741388E-2</v>
      </c>
      <c r="G55" s="271">
        <v>125405.63073069822</v>
      </c>
      <c r="H55" s="271">
        <v>126347.5885299537</v>
      </c>
      <c r="I55" s="114">
        <f t="shared" si="1"/>
        <v>7.5112879203828361E-3</v>
      </c>
      <c r="J55" s="213">
        <f t="shared" si="5"/>
        <v>3.6966820144231027E-2</v>
      </c>
    </row>
    <row r="56" spans="2:10" x14ac:dyDescent="0.3">
      <c r="B56" s="198"/>
      <c r="C56" s="272" t="s">
        <v>57</v>
      </c>
      <c r="D56" s="271">
        <v>13657.128842324601</v>
      </c>
      <c r="E56" s="271">
        <v>9304.3668990000006</v>
      </c>
      <c r="F56" s="114">
        <f t="shared" si="0"/>
        <v>-0.3187172057596046</v>
      </c>
      <c r="G56" s="271">
        <v>130394.63722693601</v>
      </c>
      <c r="H56" s="271">
        <v>126281.84202067083</v>
      </c>
      <c r="I56" s="114">
        <f t="shared" si="1"/>
        <v>-3.1541137685803515E-2</v>
      </c>
      <c r="J56" s="213">
        <f t="shared" si="5"/>
        <v>3.6947584008329669E-2</v>
      </c>
    </row>
    <row r="57" spans="2:10" x14ac:dyDescent="0.3">
      <c r="B57" s="198"/>
      <c r="C57" s="272" t="s">
        <v>56</v>
      </c>
      <c r="D57" s="271">
        <v>8890.6843813859996</v>
      </c>
      <c r="E57" s="271">
        <v>12917.933635000001</v>
      </c>
      <c r="F57" s="114">
        <f t="shared" si="0"/>
        <v>0.4529740434882224</v>
      </c>
      <c r="G57" s="271">
        <v>123072.71361933759</v>
      </c>
      <c r="H57" s="271">
        <v>111959.0055819269</v>
      </c>
      <c r="I57" s="114">
        <f t="shared" si="1"/>
        <v>-9.0301966297625089E-2</v>
      </c>
      <c r="J57" s="115">
        <f t="shared" si="5"/>
        <v>3.2757003683476366E-2</v>
      </c>
    </row>
    <row r="58" spans="2:10" x14ac:dyDescent="0.3">
      <c r="B58" s="198"/>
      <c r="C58" s="273" t="s">
        <v>151</v>
      </c>
      <c r="D58" s="271">
        <v>108729.58291638219</v>
      </c>
      <c r="E58" s="271">
        <v>108843.10566500005</v>
      </c>
      <c r="F58" s="118">
        <f t="shared" si="0"/>
        <v>1.0440833632661571E-3</v>
      </c>
      <c r="G58" s="271">
        <v>1241585.9516098842</v>
      </c>
      <c r="H58" s="271">
        <v>1286967.949506649</v>
      </c>
      <c r="I58" s="116">
        <f t="shared" si="1"/>
        <v>3.6551636105354599E-2</v>
      </c>
      <c r="J58" s="125">
        <f t="shared" si="5"/>
        <v>0.37654151752586301</v>
      </c>
    </row>
    <row r="59" spans="2:10" x14ac:dyDescent="0.3">
      <c r="C59" s="75" t="s">
        <v>66</v>
      </c>
      <c r="D59" s="108">
        <f>SUM(D60:D70)</f>
        <v>23043.246724013003</v>
      </c>
      <c r="E59" s="99">
        <f>SUM(E60:E70)</f>
        <v>25533.305550999998</v>
      </c>
      <c r="F59" s="109">
        <f t="shared" si="0"/>
        <v>0.10806024241332902</v>
      </c>
      <c r="G59" s="108">
        <f>SUM(G60:G70)</f>
        <v>265703.53017552302</v>
      </c>
      <c r="H59" s="99">
        <f>SUM(H60:H70)</f>
        <v>285679.3295071568</v>
      </c>
      <c r="I59" s="109">
        <f t="shared" si="1"/>
        <v>7.5180782575368213E-2</v>
      </c>
      <c r="J59" s="110">
        <f>SUM(J60:J70)</f>
        <v>1.0000000000000002</v>
      </c>
    </row>
    <row r="60" spans="2:10" x14ac:dyDescent="0.3">
      <c r="B60" s="198"/>
      <c r="C60" s="274" t="s">
        <v>55</v>
      </c>
      <c r="D60" s="271">
        <v>2059.8429738519999</v>
      </c>
      <c r="E60" s="271">
        <v>1765.231317</v>
      </c>
      <c r="F60" s="111">
        <f t="shared" si="0"/>
        <v>-0.14302626976514754</v>
      </c>
      <c r="G60" s="271">
        <v>24145.296184656996</v>
      </c>
      <c r="H60" s="271">
        <v>25168.284604577006</v>
      </c>
      <c r="I60" s="111">
        <f t="shared" si="1"/>
        <v>4.2368021170519431E-2</v>
      </c>
      <c r="J60" s="226">
        <f>(H60/$H$59)</f>
        <v>8.8099774834939512E-2</v>
      </c>
    </row>
    <row r="61" spans="2:10" x14ac:dyDescent="0.3">
      <c r="B61" s="198"/>
      <c r="C61" s="275" t="s">
        <v>57</v>
      </c>
      <c r="D61" s="271">
        <v>2544.821261</v>
      </c>
      <c r="E61" s="271">
        <v>1811.1294949999999</v>
      </c>
      <c r="F61" s="114">
        <f t="shared" si="0"/>
        <v>-0.2883077791136075</v>
      </c>
      <c r="G61" s="271">
        <v>26022.510964999998</v>
      </c>
      <c r="H61" s="271">
        <v>25052.433979000001</v>
      </c>
      <c r="I61" s="114">
        <f t="shared" si="1"/>
        <v>-3.7278377451919982E-2</v>
      </c>
      <c r="J61" s="213">
        <f t="shared" ref="J61:J70" si="6">(H61/$H$59)</f>
        <v>8.7694248030543598E-2</v>
      </c>
    </row>
    <row r="62" spans="2:10" x14ac:dyDescent="0.3">
      <c r="B62" s="198"/>
      <c r="C62" s="275" t="s">
        <v>59</v>
      </c>
      <c r="D62" s="271">
        <v>2095.0254376090002</v>
      </c>
      <c r="E62" s="271">
        <v>2172.600492</v>
      </c>
      <c r="F62" s="114">
        <f t="shared" si="0"/>
        <v>3.7028215981727806E-2</v>
      </c>
      <c r="G62" s="271">
        <v>19301.555371059003</v>
      </c>
      <c r="H62" s="271">
        <v>23243.165632309003</v>
      </c>
      <c r="I62" s="114">
        <f t="shared" si="1"/>
        <v>0.20421205366486167</v>
      </c>
      <c r="J62" s="115">
        <f t="shared" si="6"/>
        <v>8.1361033969126278E-2</v>
      </c>
    </row>
    <row r="63" spans="2:10" x14ac:dyDescent="0.3">
      <c r="B63" s="198"/>
      <c r="C63" s="275" t="s">
        <v>63</v>
      </c>
      <c r="D63" s="271">
        <v>1595.2934415</v>
      </c>
      <c r="E63" s="271">
        <v>2219.4577589999999</v>
      </c>
      <c r="F63" s="114">
        <f t="shared" si="0"/>
        <v>0.39125360968896072</v>
      </c>
      <c r="G63" s="271">
        <v>19950.992594880001</v>
      </c>
      <c r="H63" s="271">
        <v>21048.946245200001</v>
      </c>
      <c r="I63" s="114">
        <f t="shared" si="1"/>
        <v>5.5032532596987996E-2</v>
      </c>
      <c r="J63" s="115">
        <f t="shared" si="6"/>
        <v>7.3680326404828966E-2</v>
      </c>
    </row>
    <row r="64" spans="2:10" x14ac:dyDescent="0.3">
      <c r="B64" s="198"/>
      <c r="C64" s="275" t="s">
        <v>67</v>
      </c>
      <c r="D64" s="271">
        <v>1802.1766275</v>
      </c>
      <c r="E64" s="271">
        <v>1825.8017129999998</v>
      </c>
      <c r="F64" s="114">
        <f t="shared" si="0"/>
        <v>1.3109195369364449E-2</v>
      </c>
      <c r="G64" s="271">
        <v>18624.232384300001</v>
      </c>
      <c r="H64" s="271">
        <v>20554.074328000002</v>
      </c>
      <c r="I64" s="114">
        <f t="shared" si="1"/>
        <v>0.10361994544950127</v>
      </c>
      <c r="J64" s="115">
        <f t="shared" si="6"/>
        <v>7.1948062757845016E-2</v>
      </c>
    </row>
    <row r="65" spans="2:10" x14ac:dyDescent="0.3">
      <c r="B65" s="198"/>
      <c r="C65" s="275" t="s">
        <v>69</v>
      </c>
      <c r="D65" s="271">
        <v>1504.2649999999999</v>
      </c>
      <c r="E65" s="271">
        <v>1314.3673079999999</v>
      </c>
      <c r="F65" s="114">
        <f t="shared" si="0"/>
        <v>-0.12623952029728805</v>
      </c>
      <c r="G65" s="271">
        <v>16786.043208999999</v>
      </c>
      <c r="H65" s="271">
        <v>14615.653233000001</v>
      </c>
      <c r="I65" s="114">
        <f t="shared" si="1"/>
        <v>-0.12929729472138635</v>
      </c>
      <c r="J65" s="213">
        <f t="shared" si="6"/>
        <v>5.1161045701886711E-2</v>
      </c>
    </row>
    <row r="66" spans="2:10" x14ac:dyDescent="0.3">
      <c r="B66" s="198"/>
      <c r="C66" s="275" t="s">
        <v>68</v>
      </c>
      <c r="D66" s="271">
        <v>1130.6519257</v>
      </c>
      <c r="E66" s="271">
        <v>1237.7203259999999</v>
      </c>
      <c r="F66" s="114">
        <f t="shared" si="0"/>
        <v>9.4696164103477365E-2</v>
      </c>
      <c r="G66" s="271">
        <v>12310.7798891</v>
      </c>
      <c r="H66" s="271">
        <v>14451.5620738</v>
      </c>
      <c r="I66" s="114">
        <f t="shared" si="1"/>
        <v>0.17389492818366886</v>
      </c>
      <c r="J66" s="213">
        <f t="shared" si="6"/>
        <v>5.0586656370033102E-2</v>
      </c>
    </row>
    <row r="67" spans="2:10" x14ac:dyDescent="0.3">
      <c r="B67" s="198"/>
      <c r="C67" s="275" t="s">
        <v>64</v>
      </c>
      <c r="D67" s="271">
        <v>1277.784805282</v>
      </c>
      <c r="E67" s="271">
        <v>1144.980822</v>
      </c>
      <c r="F67" s="114">
        <f t="shared" si="0"/>
        <v>-0.10393298052459693</v>
      </c>
      <c r="G67" s="271">
        <v>10017.919793857</v>
      </c>
      <c r="H67" s="271">
        <v>14062.923001939</v>
      </c>
      <c r="I67" s="114">
        <f t="shared" si="1"/>
        <v>0.4037767611757484</v>
      </c>
      <c r="J67" s="115">
        <f t="shared" si="6"/>
        <v>4.9226253177644404E-2</v>
      </c>
    </row>
    <row r="68" spans="2:10" x14ac:dyDescent="0.3">
      <c r="B68" s="198"/>
      <c r="C68" s="275" t="s">
        <v>58</v>
      </c>
      <c r="D68" s="271">
        <v>1596.3475860000001</v>
      </c>
      <c r="E68" s="271">
        <v>1818.3</v>
      </c>
      <c r="F68" s="114">
        <f t="shared" si="0"/>
        <v>0.13903764815791181</v>
      </c>
      <c r="G68" s="271">
        <v>15301.231158000001</v>
      </c>
      <c r="H68" s="271">
        <v>12473.366837999998</v>
      </c>
      <c r="I68" s="114">
        <f t="shared" si="1"/>
        <v>-0.18481286184095713</v>
      </c>
      <c r="J68" s="227">
        <f t="shared" si="6"/>
        <v>4.3662125851102282E-2</v>
      </c>
    </row>
    <row r="69" spans="2:10" x14ac:dyDescent="0.3">
      <c r="B69" s="198"/>
      <c r="C69" s="275" t="s">
        <v>85</v>
      </c>
      <c r="D69" s="271">
        <v>952.38202199999989</v>
      </c>
      <c r="E69" s="271">
        <v>1353.4685500000001</v>
      </c>
      <c r="F69" s="114">
        <f t="shared" si="0"/>
        <v>0.42114038141723786</v>
      </c>
      <c r="G69" s="271">
        <v>11541.986364</v>
      </c>
      <c r="H69" s="271">
        <v>12471.169875999998</v>
      </c>
      <c r="I69" s="114">
        <f t="shared" si="1"/>
        <v>8.0504644754924068E-2</v>
      </c>
      <c r="J69" s="227">
        <f t="shared" si="6"/>
        <v>4.3654435543218302E-2</v>
      </c>
    </row>
    <row r="70" spans="2:10" x14ac:dyDescent="0.3">
      <c r="B70" s="198"/>
      <c r="C70" s="276" t="s">
        <v>135</v>
      </c>
      <c r="D70" s="271">
        <v>6484.6556435700004</v>
      </c>
      <c r="E70" s="271">
        <v>8870.2477689999996</v>
      </c>
      <c r="F70" s="123">
        <f t="shared" si="0"/>
        <v>0.36788262269492822</v>
      </c>
      <c r="G70" s="271">
        <v>91700.982261670026</v>
      </c>
      <c r="H70" s="271">
        <v>102537.74969533183</v>
      </c>
      <c r="I70" s="116">
        <f t="shared" si="1"/>
        <v>0.11817504203759717</v>
      </c>
      <c r="J70" s="125">
        <f t="shared" si="6"/>
        <v>0.358926037358832</v>
      </c>
    </row>
    <row r="71" spans="2:10" x14ac:dyDescent="0.3">
      <c r="C71" s="75" t="s">
        <v>71</v>
      </c>
      <c r="D71" s="108">
        <f>SUM(D72:D73)</f>
        <v>1089161.3711999999</v>
      </c>
      <c r="E71" s="99">
        <f>SUM(E72:E73)</f>
        <v>1150038.4875200002</v>
      </c>
      <c r="F71" s="109">
        <f t="shared" si="0"/>
        <v>5.5893569061238359E-2</v>
      </c>
      <c r="G71" s="99">
        <f>SUM(G72:G73)</f>
        <v>12243668.313921999</v>
      </c>
      <c r="H71" s="99">
        <f>SUM(H72:H73)</f>
        <v>10677261.443318</v>
      </c>
      <c r="I71" s="109">
        <f t="shared" si="1"/>
        <v>-0.12793607523840492</v>
      </c>
      <c r="J71" s="110">
        <f>SUM(J72:J73)</f>
        <v>0.99999999999999989</v>
      </c>
    </row>
    <row r="72" spans="2:10" x14ac:dyDescent="0.3">
      <c r="B72" s="198"/>
      <c r="C72" s="274" t="s">
        <v>72</v>
      </c>
      <c r="D72" s="271">
        <v>1062639.7696</v>
      </c>
      <c r="E72" s="271">
        <v>1131870.4750000001</v>
      </c>
      <c r="F72" s="111">
        <f t="shared" si="0"/>
        <v>6.5149740655819785E-2</v>
      </c>
      <c r="G72" s="271">
        <v>12040320.820899999</v>
      </c>
      <c r="H72" s="271">
        <v>10458522.858279999</v>
      </c>
      <c r="I72" s="111">
        <f t="shared" si="1"/>
        <v>-0.13137506767047774</v>
      </c>
      <c r="J72" s="113">
        <f>(H72/$H$71)</f>
        <v>0.97951360597478943</v>
      </c>
    </row>
    <row r="73" spans="2:10" x14ac:dyDescent="0.3">
      <c r="B73" s="198"/>
      <c r="C73" s="279" t="s">
        <v>58</v>
      </c>
      <c r="D73" s="271">
        <v>26521.601600000002</v>
      </c>
      <c r="E73" s="271">
        <v>18168.01252</v>
      </c>
      <c r="F73" s="116">
        <f t="shared" si="0"/>
        <v>-0.31497302485683976</v>
      </c>
      <c r="G73" s="271">
        <v>203347.49302200001</v>
      </c>
      <c r="H73" s="271">
        <v>218738.58503799999</v>
      </c>
      <c r="I73" s="116">
        <f t="shared" si="1"/>
        <v>7.5688624370376822E-2</v>
      </c>
      <c r="J73" s="117">
        <f>(H73/$H$71)</f>
        <v>2.0486394025210471E-2</v>
      </c>
    </row>
    <row r="74" spans="2:10" x14ac:dyDescent="0.3">
      <c r="B74" s="198"/>
      <c r="C74" s="199" t="s">
        <v>73</v>
      </c>
      <c r="D74" s="99">
        <f>SUM(D75:D76)</f>
        <v>2914.2087999999999</v>
      </c>
      <c r="E74" s="99">
        <f>SUM(E75:E76)</f>
        <v>2358.6851999999999</v>
      </c>
      <c r="F74" s="109">
        <f t="shared" si="0"/>
        <v>-0.19062587416522797</v>
      </c>
      <c r="G74" s="108">
        <f>SUM(G75:G76)</f>
        <v>29894.117599999998</v>
      </c>
      <c r="H74" s="99">
        <f>SUM(H75:H76)</f>
        <v>30875.465984000002</v>
      </c>
      <c r="I74" s="109">
        <f t="shared" si="1"/>
        <v>3.2827474526292907E-2</v>
      </c>
      <c r="J74" s="110">
        <f>SUM(J75:J76)</f>
        <v>0.99999999999999989</v>
      </c>
    </row>
    <row r="75" spans="2:10" x14ac:dyDescent="0.3">
      <c r="C75" s="270" t="s">
        <v>74</v>
      </c>
      <c r="D75" s="280">
        <v>2914.2087999999999</v>
      </c>
      <c r="E75" s="280">
        <v>2358.6851999999999</v>
      </c>
      <c r="F75" s="135">
        <f t="shared" ref="F75:F89" si="7">(E75-D75)/D75</f>
        <v>-0.19062587416522797</v>
      </c>
      <c r="G75" s="281">
        <v>29894.117599999998</v>
      </c>
      <c r="H75" s="280">
        <v>30857.573840000001</v>
      </c>
      <c r="I75" s="111">
        <f t="shared" ref="I75:I90" si="8">(H75-G75)/G75</f>
        <v>3.2228957311655294E-2</v>
      </c>
      <c r="J75" s="113">
        <f>(H75/$H$74)</f>
        <v>0.99942050610639288</v>
      </c>
    </row>
    <row r="76" spans="2:10" x14ac:dyDescent="0.3">
      <c r="C76" s="282" t="s">
        <v>63</v>
      </c>
      <c r="D76" s="271">
        <v>0</v>
      </c>
      <c r="E76" s="271">
        <v>0</v>
      </c>
      <c r="F76" s="112" t="s">
        <v>79</v>
      </c>
      <c r="G76" s="283">
        <v>0</v>
      </c>
      <c r="H76" s="271">
        <v>17.892143999999998</v>
      </c>
      <c r="I76" s="116" t="s">
        <v>79</v>
      </c>
      <c r="J76" s="117">
        <f>(H76/$H$74)</f>
        <v>5.7949389360704387E-4</v>
      </c>
    </row>
    <row r="77" spans="2:10" x14ac:dyDescent="0.3">
      <c r="C77" s="75" t="s">
        <v>75</v>
      </c>
      <c r="D77" s="108">
        <f>SUM(D78:D82)</f>
        <v>2991.0011701200001</v>
      </c>
      <c r="E77" s="99">
        <f>SUM(E78:E82)</f>
        <v>2772.5384810000005</v>
      </c>
      <c r="F77" s="109">
        <f t="shared" si="7"/>
        <v>-7.3039987848361423E-2</v>
      </c>
      <c r="G77" s="108">
        <f>SUM(G78:G82)</f>
        <v>37967.418018365002</v>
      </c>
      <c r="H77" s="99">
        <f>SUM(H78:H82)</f>
        <v>34794.417039766107</v>
      </c>
      <c r="I77" s="109">
        <f t="shared" si="8"/>
        <v>-8.3571681831619435E-2</v>
      </c>
      <c r="J77" s="110">
        <f>SUM(J78:J82)</f>
        <v>0.99999999999999978</v>
      </c>
    </row>
    <row r="78" spans="2:10" x14ac:dyDescent="0.3">
      <c r="B78" s="198"/>
      <c r="C78" s="270" t="s">
        <v>34</v>
      </c>
      <c r="D78" s="101">
        <v>871.57231720000004</v>
      </c>
      <c r="E78" s="101">
        <v>1214.344664</v>
      </c>
      <c r="F78" s="111">
        <f t="shared" si="7"/>
        <v>0.39328044275337376</v>
      </c>
      <c r="G78" s="100">
        <v>12163.925670600001</v>
      </c>
      <c r="H78" s="101">
        <v>13534.8354624</v>
      </c>
      <c r="I78" s="111">
        <f t="shared" si="8"/>
        <v>0.11270290767342192</v>
      </c>
      <c r="J78" s="113">
        <f>(H78/$H$77)</f>
        <v>0.38899445985633857</v>
      </c>
    </row>
    <row r="79" spans="2:10" x14ac:dyDescent="0.3">
      <c r="B79" s="198"/>
      <c r="C79" s="272" t="s">
        <v>76</v>
      </c>
      <c r="D79" s="103">
        <v>761.59505720000004</v>
      </c>
      <c r="E79" s="103">
        <v>636.73011499999996</v>
      </c>
      <c r="F79" s="114">
        <f t="shared" si="7"/>
        <v>-0.16395188101543798</v>
      </c>
      <c r="G79" s="102">
        <v>8061.6598424000003</v>
      </c>
      <c r="H79" s="103">
        <v>8985.950942200001</v>
      </c>
      <c r="I79" s="114">
        <f t="shared" si="8"/>
        <v>0.1146527040174439</v>
      </c>
      <c r="J79" s="115">
        <f t="shared" ref="J79:J82" si="9">(H79/$H$77)</f>
        <v>0.25825841346702461</v>
      </c>
    </row>
    <row r="80" spans="2:10" x14ac:dyDescent="0.3">
      <c r="B80" s="198"/>
      <c r="C80" s="272" t="s">
        <v>37</v>
      </c>
      <c r="D80" s="103">
        <v>424.40061919999999</v>
      </c>
      <c r="E80" s="103">
        <v>453.972376</v>
      </c>
      <c r="F80" s="114">
        <f t="shared" si="7"/>
        <v>6.9678872890767934E-2</v>
      </c>
      <c r="G80" s="130">
        <v>5102.8042595849993</v>
      </c>
      <c r="H80" s="131">
        <v>4424.4313983661004</v>
      </c>
      <c r="I80" s="114">
        <f t="shared" si="8"/>
        <v>-0.13294118816034489</v>
      </c>
      <c r="J80" s="115">
        <f t="shared" si="9"/>
        <v>0.12715923342843977</v>
      </c>
    </row>
    <row r="81" spans="2:10" x14ac:dyDescent="0.3">
      <c r="B81" s="198"/>
      <c r="C81" s="272" t="s">
        <v>35</v>
      </c>
      <c r="D81" s="105">
        <v>212.690898</v>
      </c>
      <c r="E81" s="103">
        <v>273.22459900000001</v>
      </c>
      <c r="F81" s="114">
        <f t="shared" si="7"/>
        <v>0.28460879882128293</v>
      </c>
      <c r="G81" s="130">
        <v>2974.8037739999995</v>
      </c>
      <c r="H81" s="131">
        <v>2568.0951070000001</v>
      </c>
      <c r="I81" s="114">
        <f t="shared" si="8"/>
        <v>-0.13671781330743984</v>
      </c>
      <c r="J81" s="115">
        <f t="shared" si="9"/>
        <v>7.3807677365738192E-2</v>
      </c>
    </row>
    <row r="82" spans="2:10" x14ac:dyDescent="0.3">
      <c r="B82" s="198"/>
      <c r="C82" s="272" t="s">
        <v>123</v>
      </c>
      <c r="D82" s="148">
        <v>720.74227852000001</v>
      </c>
      <c r="E82" s="105">
        <v>194.266727</v>
      </c>
      <c r="F82" s="114">
        <f t="shared" si="7"/>
        <v>-0.73046297852969744</v>
      </c>
      <c r="G82" s="102">
        <v>9664.2244717799986</v>
      </c>
      <c r="H82" s="103">
        <v>5281.1041298</v>
      </c>
      <c r="I82" s="114">
        <f t="shared" si="8"/>
        <v>-0.45354082521354105</v>
      </c>
      <c r="J82" s="115">
        <f t="shared" si="9"/>
        <v>0.15178021588245871</v>
      </c>
    </row>
    <row r="83" spans="2:10" x14ac:dyDescent="0.3">
      <c r="B83" s="198"/>
      <c r="C83" s="75" t="s">
        <v>77</v>
      </c>
      <c r="D83" s="200">
        <f>SUM(D84:D91)</f>
        <v>2323.4480275999999</v>
      </c>
      <c r="E83" s="99">
        <f>SUM(E84:E91)</f>
        <v>2254.1758189999996</v>
      </c>
      <c r="F83" s="109">
        <f t="shared" si="7"/>
        <v>-2.9814399882038635E-2</v>
      </c>
      <c r="G83" s="108">
        <f>SUM(G84:G91)</f>
        <v>28878.967529779991</v>
      </c>
      <c r="H83" s="99">
        <f>SUM(H84:H91)</f>
        <v>25000.950646199999</v>
      </c>
      <c r="I83" s="109">
        <f t="shared" si="8"/>
        <v>-0.13428516374697194</v>
      </c>
      <c r="J83" s="110">
        <f>SUM(J84:J91)</f>
        <v>1.0000000000000002</v>
      </c>
    </row>
    <row r="84" spans="2:10" x14ac:dyDescent="0.3">
      <c r="C84" s="272" t="s">
        <v>41</v>
      </c>
      <c r="D84" s="133">
        <v>1380.4944966</v>
      </c>
      <c r="E84" s="134">
        <v>1196.4168480000001</v>
      </c>
      <c r="F84" s="135">
        <f t="shared" si="7"/>
        <v>-0.13334181994449246</v>
      </c>
      <c r="G84" s="100">
        <v>16388.265525300001</v>
      </c>
      <c r="H84" s="103">
        <v>16093.869061500001</v>
      </c>
      <c r="I84" s="112">
        <f t="shared" si="8"/>
        <v>-1.7963857331058871E-2</v>
      </c>
      <c r="J84" s="113">
        <f>(H84/$H$83)</f>
        <v>0.64373028407006505</v>
      </c>
    </row>
    <row r="85" spans="2:10" x14ac:dyDescent="0.3">
      <c r="C85" s="272" t="s">
        <v>38</v>
      </c>
      <c r="D85" s="136">
        <v>782.53820700000006</v>
      </c>
      <c r="E85" s="134">
        <v>907.95640500000002</v>
      </c>
      <c r="F85" s="112">
        <f t="shared" si="7"/>
        <v>0.16027102175728009</v>
      </c>
      <c r="G85" s="102">
        <v>11019.333582999998</v>
      </c>
      <c r="H85" s="103">
        <v>7154.2309590000004</v>
      </c>
      <c r="I85" s="112">
        <f t="shared" si="8"/>
        <v>-0.35075647677667715</v>
      </c>
      <c r="J85" s="115">
        <f t="shared" ref="J85:J90" si="10">(H85/$H$83)</f>
        <v>0.28615835694581487</v>
      </c>
    </row>
    <row r="86" spans="2:10" x14ac:dyDescent="0.3">
      <c r="C86" s="272" t="s">
        <v>70</v>
      </c>
      <c r="D86" s="136">
        <v>100.40114</v>
      </c>
      <c r="E86" s="134">
        <v>83.424994999999996</v>
      </c>
      <c r="F86" s="112">
        <f t="shared" si="7"/>
        <v>-0.16908318969286606</v>
      </c>
      <c r="G86" s="102">
        <v>1025.0741869999999</v>
      </c>
      <c r="H86" s="103">
        <v>1067.7669870000002</v>
      </c>
      <c r="I86" s="112">
        <f t="shared" si="8"/>
        <v>4.1648497778434705E-2</v>
      </c>
      <c r="J86" s="115">
        <f t="shared" si="10"/>
        <v>4.270905543194993E-2</v>
      </c>
    </row>
    <row r="87" spans="2:10" x14ac:dyDescent="0.3">
      <c r="C87" s="272" t="s">
        <v>63</v>
      </c>
      <c r="D87" s="136">
        <v>59.126184000000002</v>
      </c>
      <c r="E87" s="134">
        <v>64.726077000000004</v>
      </c>
      <c r="F87" s="112">
        <f t="shared" si="7"/>
        <v>9.4710881392244109E-2</v>
      </c>
      <c r="G87" s="102">
        <v>415.94660299999998</v>
      </c>
      <c r="H87" s="103">
        <v>652.10740370000008</v>
      </c>
      <c r="I87" s="112">
        <f t="shared" si="8"/>
        <v>0.56776711000089619</v>
      </c>
      <c r="J87" s="115">
        <f t="shared" si="10"/>
        <v>2.608330430823504E-2</v>
      </c>
    </row>
    <row r="88" spans="2:10" x14ac:dyDescent="0.3">
      <c r="C88" s="272" t="s">
        <v>78</v>
      </c>
      <c r="D88" s="144">
        <v>0</v>
      </c>
      <c r="E88" s="134">
        <v>1.2146939999999999</v>
      </c>
      <c r="F88" s="112" t="s">
        <v>79</v>
      </c>
      <c r="G88" s="102">
        <v>4.0247039999999998</v>
      </c>
      <c r="H88" s="103">
        <v>23.57432</v>
      </c>
      <c r="I88" s="112">
        <f t="shared" si="8"/>
        <v>4.8574046687657031</v>
      </c>
      <c r="J88" s="115">
        <f t="shared" si="10"/>
        <v>9.42936944023093E-4</v>
      </c>
    </row>
    <row r="89" spans="2:10" x14ac:dyDescent="0.3">
      <c r="C89" s="272" t="s">
        <v>80</v>
      </c>
      <c r="D89" s="192">
        <v>0.88800000000000001</v>
      </c>
      <c r="E89" s="137">
        <v>0.43680000000000002</v>
      </c>
      <c r="F89" s="112">
        <f t="shared" si="7"/>
        <v>-0.50810810810810814</v>
      </c>
      <c r="G89" s="102">
        <v>8.321060000000001</v>
      </c>
      <c r="H89" s="103">
        <v>6.7239300000000002</v>
      </c>
      <c r="I89" s="112">
        <f t="shared" si="8"/>
        <v>-0.19193828670866458</v>
      </c>
      <c r="J89" s="213">
        <f t="shared" si="10"/>
        <v>2.6894697306328224E-4</v>
      </c>
    </row>
    <row r="90" spans="2:10" x14ac:dyDescent="0.3">
      <c r="C90" s="272" t="s">
        <v>81</v>
      </c>
      <c r="D90" s="144">
        <v>0</v>
      </c>
      <c r="E90" s="145">
        <v>0</v>
      </c>
      <c r="F90" s="112" t="s">
        <v>45</v>
      </c>
      <c r="G90" s="102">
        <v>16.869692800000003</v>
      </c>
      <c r="H90" s="103">
        <v>2.6779850000000001</v>
      </c>
      <c r="I90" s="112">
        <f t="shared" si="8"/>
        <v>-0.84125466706779628</v>
      </c>
      <c r="J90" s="213">
        <f t="shared" si="10"/>
        <v>1.0711532684886279E-4</v>
      </c>
    </row>
    <row r="91" spans="2:10" x14ac:dyDescent="0.3">
      <c r="C91" s="272" t="s">
        <v>82</v>
      </c>
      <c r="D91" s="141">
        <v>0</v>
      </c>
      <c r="E91" s="145">
        <v>0</v>
      </c>
      <c r="F91" s="138" t="s">
        <v>45</v>
      </c>
      <c r="G91" s="126">
        <v>1.1321746800000001</v>
      </c>
      <c r="H91" s="103">
        <v>0</v>
      </c>
      <c r="I91" s="112" t="s">
        <v>45</v>
      </c>
      <c r="J91" s="125" t="s">
        <v>45</v>
      </c>
    </row>
    <row r="92" spans="2:10" x14ac:dyDescent="0.3">
      <c r="C92" s="75" t="s">
        <v>83</v>
      </c>
      <c r="D92" s="139">
        <f>SUM(D93:D98)</f>
        <v>20.850784000000001</v>
      </c>
      <c r="E92" s="99">
        <f>SUM(E93:E98)</f>
        <v>27.510525999999999</v>
      </c>
      <c r="F92" s="109">
        <f t="shared" ref="F92:F97" si="11">(E92-D92)/D92</f>
        <v>0.31940007627530925</v>
      </c>
      <c r="G92" s="108">
        <f>SUM(G93:G98)</f>
        <v>242.63734209999998</v>
      </c>
      <c r="H92" s="99">
        <f>SUM(H93:H98)</f>
        <v>257.32217680000002</v>
      </c>
      <c r="I92" s="109">
        <f t="shared" ref="I92:I97" si="12">(H92-G92)/G92</f>
        <v>6.0521742337368109E-2</v>
      </c>
      <c r="J92" s="110">
        <f>SUM(J93:J98)</f>
        <v>0.99999999999999978</v>
      </c>
    </row>
    <row r="93" spans="2:10" x14ac:dyDescent="0.3">
      <c r="B93" s="198"/>
      <c r="C93" s="270" t="s">
        <v>57</v>
      </c>
      <c r="D93" s="134">
        <v>12.504174000000001</v>
      </c>
      <c r="E93" s="140">
        <v>19.846972999999998</v>
      </c>
      <c r="F93" s="112">
        <f t="shared" si="11"/>
        <v>0.58722783288204383</v>
      </c>
      <c r="G93" s="133">
        <v>150.10973199999998</v>
      </c>
      <c r="H93" s="134">
        <v>187.771263</v>
      </c>
      <c r="I93" s="112">
        <f t="shared" si="12"/>
        <v>0.25089333315177748</v>
      </c>
      <c r="J93" s="113">
        <f>(H93/$H$92)</f>
        <v>0.72971271009394001</v>
      </c>
    </row>
    <row r="94" spans="2:10" x14ac:dyDescent="0.3">
      <c r="B94" s="198"/>
      <c r="C94" s="272" t="s">
        <v>84</v>
      </c>
      <c r="D94" s="134">
        <v>7.1959660000000003</v>
      </c>
      <c r="E94" s="134">
        <v>4.1741729999999997</v>
      </c>
      <c r="F94" s="112">
        <f t="shared" si="11"/>
        <v>-0.41992874896851939</v>
      </c>
      <c r="G94" s="136">
        <v>66.303880000000007</v>
      </c>
      <c r="H94" s="134">
        <v>46.842166800000001</v>
      </c>
      <c r="I94" s="112">
        <f t="shared" si="12"/>
        <v>-0.29352299141468047</v>
      </c>
      <c r="J94" s="115">
        <f t="shared" ref="J94:J97" si="13">(H94/$H$92)</f>
        <v>0.18203703770315688</v>
      </c>
    </row>
    <row r="95" spans="2:10" x14ac:dyDescent="0.3">
      <c r="B95" s="198"/>
      <c r="C95" s="272" t="s">
        <v>85</v>
      </c>
      <c r="D95" s="134">
        <v>1.039644</v>
      </c>
      <c r="E95" s="134">
        <v>3.1817760000000002</v>
      </c>
      <c r="F95" s="112">
        <f t="shared" si="11"/>
        <v>2.0604476147604371</v>
      </c>
      <c r="G95" s="136">
        <v>23.213175000000003</v>
      </c>
      <c r="H95" s="134">
        <v>18.378295000000001</v>
      </c>
      <c r="I95" s="112">
        <f t="shared" si="12"/>
        <v>-0.20828171932534006</v>
      </c>
      <c r="J95" s="115">
        <f t="shared" si="13"/>
        <v>7.1421341248345913E-2</v>
      </c>
    </row>
    <row r="96" spans="2:10" x14ac:dyDescent="0.3">
      <c r="B96" s="198"/>
      <c r="C96" s="272" t="s">
        <v>70</v>
      </c>
      <c r="D96" s="145">
        <v>0</v>
      </c>
      <c r="E96" s="137">
        <v>0.27400400000000003</v>
      </c>
      <c r="F96" s="112" t="s">
        <v>79</v>
      </c>
      <c r="G96" s="192">
        <v>0.93070399999999998</v>
      </c>
      <c r="H96" s="134">
        <v>3.4679120000000005</v>
      </c>
      <c r="I96" s="112">
        <f t="shared" si="12"/>
        <v>2.7261170039024227</v>
      </c>
      <c r="J96" s="115">
        <f t="shared" si="13"/>
        <v>1.3476926253019324E-2</v>
      </c>
    </row>
    <row r="97" spans="2:10" x14ac:dyDescent="0.3">
      <c r="B97" s="198"/>
      <c r="C97" s="272" t="s">
        <v>80</v>
      </c>
      <c r="D97" s="137">
        <v>0.111</v>
      </c>
      <c r="E97" s="228">
        <v>3.3599999999999998E-2</v>
      </c>
      <c r="F97" s="112">
        <f t="shared" si="11"/>
        <v>-0.69729729729729728</v>
      </c>
      <c r="G97" s="192">
        <v>1.4654999999999998</v>
      </c>
      <c r="H97" s="137">
        <v>0.86254000000000008</v>
      </c>
      <c r="I97" s="112">
        <f t="shared" si="12"/>
        <v>-0.41143636983964504</v>
      </c>
      <c r="J97" s="115">
        <f t="shared" si="13"/>
        <v>3.3519847015377807E-3</v>
      </c>
    </row>
    <row r="98" spans="2:10" x14ac:dyDescent="0.3">
      <c r="B98" s="198"/>
      <c r="C98" s="272" t="s">
        <v>82</v>
      </c>
      <c r="D98" s="201">
        <v>0</v>
      </c>
      <c r="E98" s="145">
        <v>0</v>
      </c>
      <c r="F98" s="112" t="s">
        <v>45</v>
      </c>
      <c r="G98" s="193">
        <v>0.61435109999999993</v>
      </c>
      <c r="H98" s="145">
        <v>0</v>
      </c>
      <c r="I98" s="112" t="s">
        <v>45</v>
      </c>
      <c r="J98" s="125" t="s">
        <v>45</v>
      </c>
    </row>
    <row r="99" spans="2:10" x14ac:dyDescent="0.3">
      <c r="B99" s="198"/>
      <c r="C99" s="75" t="s">
        <v>86</v>
      </c>
      <c r="D99" s="99">
        <f>SUM(D100:D102)</f>
        <v>28.561821999999999</v>
      </c>
      <c r="E99" s="99">
        <f>SUM(E100:E102)</f>
        <v>23.065466999999998</v>
      </c>
      <c r="F99" s="109">
        <f t="shared" ref="F99:F102" si="14">(E99-D99)/D99</f>
        <v>-0.19243712813559308</v>
      </c>
      <c r="G99" s="108">
        <f>SUM(G100:G102)</f>
        <v>289.29849499999995</v>
      </c>
      <c r="H99" s="99">
        <f>SUM(H100:H102)</f>
        <v>288.113226</v>
      </c>
      <c r="I99" s="109">
        <f t="shared" ref="I99:I108" si="15">(H99-G99)/G99</f>
        <v>-4.0970451643723505E-3</v>
      </c>
      <c r="J99" s="110">
        <f>SUM(J100:J102)</f>
        <v>1</v>
      </c>
    </row>
    <row r="100" spans="2:10" x14ac:dyDescent="0.3">
      <c r="B100" s="198"/>
      <c r="C100" s="272" t="s">
        <v>69</v>
      </c>
      <c r="D100" s="140">
        <v>17.006499999999999</v>
      </c>
      <c r="E100" s="140">
        <v>13.806996</v>
      </c>
      <c r="F100" s="111">
        <f t="shared" si="14"/>
        <v>-0.18813418398847495</v>
      </c>
      <c r="G100" s="100">
        <v>171.20389699999996</v>
      </c>
      <c r="H100" s="101">
        <v>166.012902</v>
      </c>
      <c r="I100" s="111">
        <f t="shared" si="15"/>
        <v>-3.0320542294664937E-2</v>
      </c>
      <c r="J100" s="113">
        <f>(H100/$H$99)</f>
        <v>0.57620715405824519</v>
      </c>
    </row>
    <row r="101" spans="2:10" x14ac:dyDescent="0.3">
      <c r="B101" s="198"/>
      <c r="C101" s="272" t="s">
        <v>70</v>
      </c>
      <c r="D101" s="134">
        <v>7.3366800000000003</v>
      </c>
      <c r="E101" s="134">
        <v>5.1147299999999998</v>
      </c>
      <c r="F101" s="114">
        <f t="shared" si="14"/>
        <v>-0.3028549698228627</v>
      </c>
      <c r="G101" s="102">
        <v>73.679730000000006</v>
      </c>
      <c r="H101" s="103">
        <v>73.311119999999988</v>
      </c>
      <c r="I101" s="114">
        <f t="shared" si="15"/>
        <v>-5.0028684958538534E-3</v>
      </c>
      <c r="J101" s="115">
        <f t="shared" ref="J101:J102" si="16">(H101/$H$99)</f>
        <v>0.25445246307436087</v>
      </c>
    </row>
    <row r="102" spans="2:10" x14ac:dyDescent="0.3">
      <c r="B102" s="198"/>
      <c r="C102" s="272" t="s">
        <v>84</v>
      </c>
      <c r="D102" s="194">
        <v>4.218642</v>
      </c>
      <c r="E102" s="194">
        <v>4.1437410000000003</v>
      </c>
      <c r="F102" s="116">
        <f t="shared" si="14"/>
        <v>-1.7754765633111239E-2</v>
      </c>
      <c r="G102" s="126">
        <v>44.414867999999998</v>
      </c>
      <c r="H102" s="127">
        <v>48.789203999999998</v>
      </c>
      <c r="I102" s="116">
        <f t="shared" si="15"/>
        <v>9.8488100876490278E-2</v>
      </c>
      <c r="J102" s="117">
        <f t="shared" si="16"/>
        <v>0.16934038286739395</v>
      </c>
    </row>
    <row r="103" spans="2:10" x14ac:dyDescent="0.3">
      <c r="B103" s="198"/>
      <c r="C103" s="75" t="s">
        <v>87</v>
      </c>
      <c r="D103" s="99">
        <f>SUM(D104:D107)</f>
        <v>2540.2371769999995</v>
      </c>
      <c r="E103" s="99">
        <f>SUM(E104:E107)</f>
        <v>3829.7748299999998</v>
      </c>
      <c r="F103" s="109">
        <f t="shared" ref="F103:F108" si="17">(E103-D103)/D103</f>
        <v>0.50764458715738281</v>
      </c>
      <c r="G103" s="108">
        <f>SUM(G104:G107)</f>
        <v>18819.861248100002</v>
      </c>
      <c r="H103" s="99">
        <f>SUM(H104:H107)</f>
        <v>35287.238727800002</v>
      </c>
      <c r="I103" s="109">
        <f t="shared" si="15"/>
        <v>0.87499994089289579</v>
      </c>
      <c r="J103" s="110">
        <f>SUM(J104:J107)</f>
        <v>1</v>
      </c>
    </row>
    <row r="104" spans="2:10" x14ac:dyDescent="0.3">
      <c r="C104" s="272" t="s">
        <v>63</v>
      </c>
      <c r="D104" s="119">
        <v>2438.8875195999999</v>
      </c>
      <c r="E104" s="120">
        <v>3519.5332590000003</v>
      </c>
      <c r="F104" s="111">
        <f t="shared" si="17"/>
        <v>0.44308961799814212</v>
      </c>
      <c r="G104" s="100">
        <v>17760.299342300001</v>
      </c>
      <c r="H104" s="101">
        <v>34108.804410800003</v>
      </c>
      <c r="I104" s="111">
        <f t="shared" si="15"/>
        <v>0.92050841899733615</v>
      </c>
      <c r="J104" s="113">
        <f>(H104/$H$103)</f>
        <v>0.96660451881513743</v>
      </c>
    </row>
    <row r="105" spans="2:10" x14ac:dyDescent="0.3">
      <c r="C105" s="272" t="s">
        <v>69</v>
      </c>
      <c r="D105" s="104">
        <v>88.247500000000002</v>
      </c>
      <c r="E105" s="105">
        <v>300.98309999999998</v>
      </c>
      <c r="F105" s="114">
        <f t="shared" si="17"/>
        <v>2.4106699906512929</v>
      </c>
      <c r="G105" s="102">
        <v>910.08716700000014</v>
      </c>
      <c r="H105" s="103">
        <v>1055.7852049999999</v>
      </c>
      <c r="I105" s="114">
        <f t="shared" si="15"/>
        <v>0.16009239914927814</v>
      </c>
      <c r="J105" s="115">
        <f t="shared" ref="J105:J107" si="18">(H105/$H$103)</f>
        <v>2.9919745581232768E-2</v>
      </c>
    </row>
    <row r="106" spans="2:10" x14ac:dyDescent="0.3">
      <c r="C106" s="272" t="s">
        <v>70</v>
      </c>
      <c r="D106" s="104">
        <v>7.3366800000000003</v>
      </c>
      <c r="E106" s="105">
        <v>5.1147299999999998</v>
      </c>
      <c r="F106" s="114">
        <f t="shared" si="17"/>
        <v>-0.3028549698228627</v>
      </c>
      <c r="G106" s="102">
        <v>77.575115000000011</v>
      </c>
      <c r="H106" s="103">
        <v>74.731856999999991</v>
      </c>
      <c r="I106" s="114">
        <f t="shared" si="15"/>
        <v>-3.6651676249529502E-2</v>
      </c>
      <c r="J106" s="115">
        <f t="shared" si="18"/>
        <v>2.1178153829623601E-3</v>
      </c>
    </row>
    <row r="107" spans="2:10" x14ac:dyDescent="0.3">
      <c r="C107" s="272" t="s">
        <v>84</v>
      </c>
      <c r="D107" s="106">
        <v>5.7654774</v>
      </c>
      <c r="E107" s="107">
        <v>4.1437410000000003</v>
      </c>
      <c r="F107" s="116">
        <f t="shared" si="17"/>
        <v>-0.28128397485349604</v>
      </c>
      <c r="G107" s="126">
        <v>71.899623800000001</v>
      </c>
      <c r="H107" s="127">
        <v>47.917254999999997</v>
      </c>
      <c r="I107" s="116">
        <f t="shared" si="15"/>
        <v>-0.33355346707669425</v>
      </c>
      <c r="J107" s="117">
        <f t="shared" si="18"/>
        <v>1.3579202206674735E-3</v>
      </c>
    </row>
    <row r="108" spans="2:10" x14ac:dyDescent="0.3">
      <c r="C108" s="78" t="s">
        <v>88</v>
      </c>
      <c r="D108" s="229">
        <f>SUM(D109:D109)</f>
        <v>2.8124280000000002</v>
      </c>
      <c r="E108" s="230">
        <f>SUM(E109:E109)</f>
        <v>2.7624939999999998</v>
      </c>
      <c r="F108" s="109">
        <f t="shared" si="17"/>
        <v>-1.7754765633111447E-2</v>
      </c>
      <c r="G108" s="108">
        <f>SUM(G109:G109)</f>
        <v>38.356553600000005</v>
      </c>
      <c r="H108" s="99">
        <f>SUM(H109:H109)</f>
        <v>32.526135999999994</v>
      </c>
      <c r="I108" s="109">
        <f t="shared" si="15"/>
        <v>-0.1520057735322709</v>
      </c>
      <c r="J108" s="110">
        <f>SUM(J109:J109)</f>
        <v>1</v>
      </c>
    </row>
    <row r="109" spans="2:10" x14ac:dyDescent="0.3">
      <c r="C109" s="272" t="s">
        <v>84</v>
      </c>
      <c r="D109" s="231">
        <v>2.8124280000000002</v>
      </c>
      <c r="E109" s="232">
        <v>2.7624939999999998</v>
      </c>
      <c r="F109" s="111">
        <f>(E109-D109)/D109</f>
        <v>-1.7754765633111447E-2</v>
      </c>
      <c r="G109" s="100">
        <v>38.356553600000005</v>
      </c>
      <c r="H109" s="101">
        <v>32.526135999999994</v>
      </c>
      <c r="I109" s="111">
        <f>(H109-G109)/G109</f>
        <v>-0.1520057735322709</v>
      </c>
      <c r="J109" s="113">
        <f>H109/H108</f>
        <v>1</v>
      </c>
    </row>
    <row r="110" spans="2:10" ht="98.25" customHeight="1" x14ac:dyDescent="0.3">
      <c r="C110" s="265" t="s">
        <v>144</v>
      </c>
      <c r="D110" s="266"/>
      <c r="E110" s="266"/>
      <c r="F110" s="266"/>
      <c r="G110" s="266"/>
      <c r="H110" s="266"/>
      <c r="I110" s="266"/>
      <c r="J110" s="267"/>
    </row>
  </sheetData>
  <mergeCells count="5">
    <mergeCell ref="C3:J3"/>
    <mergeCell ref="B4:K4"/>
    <mergeCell ref="D8:F8"/>
    <mergeCell ref="G8:J8"/>
    <mergeCell ref="C110:J110"/>
  </mergeCells>
  <printOptions horizontalCentered="1" verticalCentered="1"/>
  <pageMargins left="0" right="0" top="0" bottom="0" header="0.31496062992125984" footer="0.31496062992125984"/>
  <pageSetup paperSize="9" scale="47" orientation="portrait" r:id="rId1"/>
  <ignoredErrors>
    <ignoredError sqref="F11 I11:I68 F77:F80 F82:F87 I77:I108 F97:F108 F89:F93 I70:I75 F23:F7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6"/>
  <sheetViews>
    <sheetView showGridLines="0" tabSelected="1" view="pageBreakPreview" zoomScaleNormal="100" zoomScaleSheetLayoutView="100" zoomScalePageLayoutView="70" workbookViewId="0"/>
  </sheetViews>
  <sheetFormatPr baseColWidth="10" defaultColWidth="11.44140625" defaultRowHeight="14.4" x14ac:dyDescent="0.3"/>
  <cols>
    <col min="1" max="2" width="3.33203125" style="60" customWidth="1"/>
    <col min="3" max="3" width="48.88671875" style="60" customWidth="1"/>
    <col min="4" max="4" width="14.6640625" style="60" customWidth="1"/>
    <col min="5" max="5" width="13" style="60" customWidth="1"/>
    <col min="6" max="6" width="11.109375" style="95" customWidth="1"/>
    <col min="7" max="7" width="12.44140625" style="63" customWidth="1"/>
    <col min="8" max="8" width="11.6640625" style="60" customWidth="1"/>
    <col min="9" max="9" width="9.6640625" style="63" customWidth="1"/>
    <col min="10" max="10" width="9.88671875" style="63" customWidth="1"/>
    <col min="11" max="11" width="3.33203125" style="60" customWidth="1"/>
    <col min="12" max="12" width="15.44140625" style="60" customWidth="1"/>
    <col min="13" max="16384" width="11.44140625" style="60"/>
  </cols>
  <sheetData>
    <row r="1" spans="3:19" ht="10.5" customHeight="1" x14ac:dyDescent="0.3">
      <c r="F1" s="63"/>
      <c r="H1" s="62"/>
    </row>
    <row r="2" spans="3:19" ht="10.5" customHeight="1" x14ac:dyDescent="0.3">
      <c r="F2" s="63"/>
      <c r="H2" s="62"/>
    </row>
    <row r="3" spans="3:19" ht="15.6" x14ac:dyDescent="0.3">
      <c r="C3" s="251" t="s">
        <v>0</v>
      </c>
      <c r="D3" s="251"/>
      <c r="E3" s="251"/>
      <c r="F3" s="251"/>
      <c r="G3" s="251"/>
      <c r="H3" s="251"/>
      <c r="I3" s="251"/>
      <c r="J3" s="251"/>
      <c r="K3" s="1"/>
      <c r="L3" s="1"/>
      <c r="M3" s="4"/>
      <c r="N3" s="4"/>
      <c r="O3" s="4"/>
      <c r="P3" s="4"/>
      <c r="Q3" s="4"/>
      <c r="R3" s="4"/>
      <c r="S3" s="4"/>
    </row>
    <row r="4" spans="3:19" ht="15.6" x14ac:dyDescent="0.3">
      <c r="C4" s="252" t="s">
        <v>1</v>
      </c>
      <c r="D4" s="252"/>
      <c r="E4" s="252"/>
      <c r="F4" s="252"/>
      <c r="G4" s="252"/>
      <c r="H4" s="252"/>
      <c r="I4" s="252"/>
      <c r="J4" s="252"/>
      <c r="K4" s="79"/>
      <c r="L4" s="1"/>
      <c r="M4" s="4"/>
      <c r="N4" s="4"/>
      <c r="O4" s="4"/>
      <c r="P4" s="4"/>
      <c r="Q4" s="4"/>
      <c r="R4" s="4"/>
      <c r="S4" s="4"/>
    </row>
    <row r="5" spans="3:19" ht="9" customHeight="1" x14ac:dyDescent="0.3">
      <c r="E5" s="4"/>
      <c r="F5" s="3"/>
      <c r="G5" s="3"/>
      <c r="H5" s="4"/>
      <c r="I5" s="3"/>
      <c r="J5" s="3"/>
      <c r="K5" s="4"/>
      <c r="L5" s="4"/>
      <c r="M5" s="4"/>
      <c r="N5" s="4"/>
      <c r="O5" s="4"/>
      <c r="P5" s="4"/>
      <c r="Q5" s="4"/>
      <c r="R5" s="4"/>
      <c r="S5" s="4"/>
    </row>
    <row r="6" spans="3:19" ht="15.75" customHeight="1" x14ac:dyDescent="0.3">
      <c r="C6" s="80" t="s">
        <v>89</v>
      </c>
      <c r="D6" s="52"/>
      <c r="E6" s="52"/>
      <c r="F6" s="81"/>
    </row>
    <row r="7" spans="3:19" x14ac:dyDescent="0.3">
      <c r="C7" s="82" t="s">
        <v>90</v>
      </c>
      <c r="D7" s="83"/>
      <c r="E7" s="83"/>
      <c r="F7" s="81"/>
    </row>
    <row r="8" spans="3:19" ht="26.25" customHeight="1" x14ac:dyDescent="0.3">
      <c r="C8" s="84"/>
      <c r="D8" s="268" t="s">
        <v>153</v>
      </c>
      <c r="E8" s="269"/>
      <c r="F8" s="269"/>
      <c r="G8" s="262" t="s">
        <v>152</v>
      </c>
      <c r="H8" s="263"/>
      <c r="I8" s="263"/>
      <c r="J8" s="264"/>
    </row>
    <row r="9" spans="3:19" ht="24" x14ac:dyDescent="0.3">
      <c r="C9" s="85" t="s">
        <v>91</v>
      </c>
      <c r="D9" s="98">
        <v>2024</v>
      </c>
      <c r="E9" s="97">
        <v>2025</v>
      </c>
      <c r="F9" s="109" t="s">
        <v>26</v>
      </c>
      <c r="G9" s="97">
        <v>2024</v>
      </c>
      <c r="H9" s="97">
        <v>2025</v>
      </c>
      <c r="I9" s="170" t="s">
        <v>26</v>
      </c>
      <c r="J9" s="143" t="s">
        <v>32</v>
      </c>
    </row>
    <row r="10" spans="3:19" ht="4.5" customHeight="1" x14ac:dyDescent="0.3">
      <c r="D10" s="301"/>
      <c r="E10" s="301"/>
      <c r="F10" s="63"/>
      <c r="H10" s="301"/>
    </row>
    <row r="11" spans="3:19" x14ac:dyDescent="0.3">
      <c r="C11" s="86" t="s">
        <v>92</v>
      </c>
      <c r="D11" s="146">
        <f>+SUM(D12:D26)</f>
        <v>243305.27163620602</v>
      </c>
      <c r="E11" s="146">
        <f>+SUM(E12:E26)</f>
        <v>216152.44144300002</v>
      </c>
      <c r="F11" s="171">
        <f>(E11-D11)/D11</f>
        <v>-0.11159984331866574</v>
      </c>
      <c r="G11" s="150">
        <f>+SUM(G12:G26)</f>
        <v>2473757.4388191337</v>
      </c>
      <c r="H11" s="146">
        <f>+SUM(H12:H26)</f>
        <v>2512739.6714741229</v>
      </c>
      <c r="I11" s="174">
        <f>(H11-G11)/G11</f>
        <v>1.575830841102905E-2</v>
      </c>
      <c r="J11" s="174">
        <f>SUM(J12:J26)</f>
        <v>1</v>
      </c>
    </row>
    <row r="12" spans="3:19" x14ac:dyDescent="0.3">
      <c r="C12" s="87" t="s">
        <v>93</v>
      </c>
      <c r="D12" s="147">
        <v>44077.507283616003</v>
      </c>
      <c r="E12" s="147">
        <v>38715.711878000002</v>
      </c>
      <c r="F12" s="172">
        <f t="shared" ref="F12:F78" si="0">+E12/D12-1</f>
        <v>-0.12164470579326581</v>
      </c>
      <c r="G12" s="156">
        <v>429644.47250858019</v>
      </c>
      <c r="H12" s="147">
        <v>441593.83568010229</v>
      </c>
      <c r="I12" s="176">
        <f t="shared" ref="I12:I79" si="1">+H12/G12-1</f>
        <v>2.7812212040697171E-2</v>
      </c>
      <c r="J12" s="176">
        <f t="shared" ref="J12:J26" si="2">(H12/$H$11)</f>
        <v>0.17574197625535837</v>
      </c>
    </row>
    <row r="13" spans="3:19" x14ac:dyDescent="0.3">
      <c r="C13" s="87" t="s">
        <v>94</v>
      </c>
      <c r="D13" s="147">
        <v>37017.937784000002</v>
      </c>
      <c r="E13" s="147">
        <v>30508.953002999999</v>
      </c>
      <c r="F13" s="172">
        <f t="shared" si="0"/>
        <v>-0.17583326275439726</v>
      </c>
      <c r="G13" s="156">
        <v>291624.62214199995</v>
      </c>
      <c r="H13" s="147">
        <v>379260.54412099998</v>
      </c>
      <c r="I13" s="176">
        <f t="shared" si="1"/>
        <v>0.30050933743285824</v>
      </c>
      <c r="J13" s="176">
        <f t="shared" si="2"/>
        <v>0.15093507235411424</v>
      </c>
    </row>
    <row r="14" spans="3:19" x14ac:dyDescent="0.3">
      <c r="C14" s="87" t="s">
        <v>95</v>
      </c>
      <c r="D14" s="147">
        <v>35648.469836309996</v>
      </c>
      <c r="E14" s="147">
        <v>29880.127969000001</v>
      </c>
      <c r="F14" s="172">
        <f t="shared" si="0"/>
        <v>-0.16181176622157878</v>
      </c>
      <c r="G14" s="156">
        <v>414576.12822711002</v>
      </c>
      <c r="H14" s="147">
        <v>377161.27756964008</v>
      </c>
      <c r="I14" s="176">
        <f t="shared" si="1"/>
        <v>-9.0248444399031125E-2</v>
      </c>
      <c r="J14" s="176">
        <f t="shared" si="2"/>
        <v>0.15009962307331853</v>
      </c>
    </row>
    <row r="15" spans="3:19" x14ac:dyDescent="0.3">
      <c r="C15" s="88" t="s">
        <v>96</v>
      </c>
      <c r="D15" s="148">
        <v>32329.958777999997</v>
      </c>
      <c r="E15" s="148">
        <v>28156.163345999998</v>
      </c>
      <c r="F15" s="172">
        <f t="shared" si="0"/>
        <v>-0.12909993052141466</v>
      </c>
      <c r="G15" s="156">
        <v>406823.88063976995</v>
      </c>
      <c r="H15" s="147">
        <v>353414.51496461005</v>
      </c>
      <c r="I15" s="176">
        <f t="shared" si="1"/>
        <v>-0.13128375254463553</v>
      </c>
      <c r="J15" s="176">
        <f t="shared" si="2"/>
        <v>0.14064907677335153</v>
      </c>
    </row>
    <row r="16" spans="3:19" x14ac:dyDescent="0.3">
      <c r="C16" s="89" t="s">
        <v>97</v>
      </c>
      <c r="D16" s="148">
        <v>21976.835111597</v>
      </c>
      <c r="E16" s="148">
        <v>22915.978928</v>
      </c>
      <c r="F16" s="172">
        <f t="shared" si="0"/>
        <v>4.2733351350824123E-2</v>
      </c>
      <c r="G16" s="156">
        <v>181103.69803527201</v>
      </c>
      <c r="H16" s="147">
        <v>226059.17332129899</v>
      </c>
      <c r="I16" s="176">
        <f t="shared" si="1"/>
        <v>0.24823057603865939</v>
      </c>
      <c r="J16" s="176">
        <f t="shared" si="2"/>
        <v>8.9965218397924679E-2</v>
      </c>
    </row>
    <row r="17" spans="3:10" x14ac:dyDescent="0.3">
      <c r="C17" s="89" t="s">
        <v>98</v>
      </c>
      <c r="D17" s="148">
        <v>14712.618406536001</v>
      </c>
      <c r="E17" s="148">
        <v>18118.825071000003</v>
      </c>
      <c r="F17" s="172">
        <f t="shared" si="0"/>
        <v>0.23151600689587748</v>
      </c>
      <c r="G17" s="156">
        <v>224596.14120711101</v>
      </c>
      <c r="H17" s="147">
        <v>223854.80077546401</v>
      </c>
      <c r="I17" s="176">
        <f t="shared" si="1"/>
        <v>-3.3007710090769971E-3</v>
      </c>
      <c r="J17" s="176">
        <f t="shared" si="2"/>
        <v>8.9087939875656691E-2</v>
      </c>
    </row>
    <row r="18" spans="3:10" x14ac:dyDescent="0.3">
      <c r="C18" s="89" t="s">
        <v>100</v>
      </c>
      <c r="D18" s="148">
        <v>26868.975786499999</v>
      </c>
      <c r="E18" s="148">
        <v>20175.858725999999</v>
      </c>
      <c r="F18" s="172">
        <f t="shared" si="0"/>
        <v>-0.24910205411934161</v>
      </c>
      <c r="G18" s="156">
        <v>219095.85051419999</v>
      </c>
      <c r="H18" s="147">
        <v>195348.52692500001</v>
      </c>
      <c r="I18" s="176">
        <f t="shared" si="1"/>
        <v>-0.10838782904133948</v>
      </c>
      <c r="J18" s="176">
        <f t="shared" si="2"/>
        <v>7.7743241427949805E-2</v>
      </c>
    </row>
    <row r="19" spans="3:10" x14ac:dyDescent="0.3">
      <c r="C19" s="89" t="s">
        <v>99</v>
      </c>
      <c r="D19" s="148">
        <v>17232.100538750001</v>
      </c>
      <c r="E19" s="148">
        <v>15028.134451999998</v>
      </c>
      <c r="F19" s="172">
        <f t="shared" si="0"/>
        <v>-0.12789886420369478</v>
      </c>
      <c r="G19" s="156">
        <v>162972.38020656997</v>
      </c>
      <c r="H19" s="147">
        <v>175635.53479032012</v>
      </c>
      <c r="I19" s="176">
        <f t="shared" si="1"/>
        <v>7.7701231139285065E-2</v>
      </c>
      <c r="J19" s="176">
        <f t="shared" si="2"/>
        <v>6.9898022777378221E-2</v>
      </c>
    </row>
    <row r="20" spans="3:10" x14ac:dyDescent="0.3">
      <c r="C20" s="89" t="s">
        <v>101</v>
      </c>
      <c r="D20" s="148">
        <v>4848.9602808069994</v>
      </c>
      <c r="E20" s="148">
        <v>4613.156648000001</v>
      </c>
      <c r="F20" s="172">
        <f t="shared" si="0"/>
        <v>-4.8629730736370225E-2</v>
      </c>
      <c r="G20" s="156">
        <v>60926.748201770999</v>
      </c>
      <c r="H20" s="147">
        <v>54556.360874958016</v>
      </c>
      <c r="I20" s="176">
        <f t="shared" si="1"/>
        <v>-0.10455813767897448</v>
      </c>
      <c r="J20" s="176">
        <f t="shared" si="2"/>
        <v>2.1711903343712483E-2</v>
      </c>
    </row>
    <row r="21" spans="3:10" x14ac:dyDescent="0.3">
      <c r="C21" s="89" t="s">
        <v>102</v>
      </c>
      <c r="D21" s="148">
        <v>4385.7724038400002</v>
      </c>
      <c r="E21" s="148">
        <v>4276.8627239999996</v>
      </c>
      <c r="F21" s="172">
        <f t="shared" si="0"/>
        <v>-2.483249694960088E-2</v>
      </c>
      <c r="G21" s="156">
        <v>43012.538056279998</v>
      </c>
      <c r="H21" s="147">
        <v>44152.386765563999</v>
      </c>
      <c r="I21" s="176">
        <f t="shared" si="1"/>
        <v>2.6500382465051375E-2</v>
      </c>
      <c r="J21" s="176">
        <f t="shared" si="2"/>
        <v>1.7571413094163303E-2</v>
      </c>
    </row>
    <row r="22" spans="3:10" x14ac:dyDescent="0.3">
      <c r="C22" s="89" t="s">
        <v>103</v>
      </c>
      <c r="D22" s="148">
        <v>2349.3647299999998</v>
      </c>
      <c r="E22" s="148">
        <v>1959.9815269999999</v>
      </c>
      <c r="F22" s="172">
        <f t="shared" si="0"/>
        <v>-0.16573978404792</v>
      </c>
      <c r="G22" s="156">
        <v>20863.777758</v>
      </c>
      <c r="H22" s="147">
        <v>21927.458077000003</v>
      </c>
      <c r="I22" s="176">
        <f t="shared" si="1"/>
        <v>5.0982153440171984E-2</v>
      </c>
      <c r="J22" s="176">
        <f t="shared" si="2"/>
        <v>8.7265140618948602E-3</v>
      </c>
    </row>
    <row r="23" spans="3:10" x14ac:dyDescent="0.3">
      <c r="C23" s="89" t="s">
        <v>104</v>
      </c>
      <c r="D23" s="148">
        <v>1535.9828283000002</v>
      </c>
      <c r="E23" s="148">
        <v>1564.1255329999999</v>
      </c>
      <c r="F23" s="172">
        <f t="shared" si="0"/>
        <v>1.8322278206161835E-2</v>
      </c>
      <c r="G23" s="156">
        <v>15298.398003658998</v>
      </c>
      <c r="H23" s="147">
        <v>16728.483162845001</v>
      </c>
      <c r="I23" s="176">
        <f t="shared" si="1"/>
        <v>9.3479406068789794E-2</v>
      </c>
      <c r="J23" s="176">
        <f t="shared" si="2"/>
        <v>6.6574676846770505E-3</v>
      </c>
    </row>
    <row r="24" spans="3:10" x14ac:dyDescent="0.3">
      <c r="C24" s="89" t="s">
        <v>105</v>
      </c>
      <c r="D24" s="148">
        <v>171.5029509</v>
      </c>
      <c r="E24" s="148">
        <v>179.83687600000002</v>
      </c>
      <c r="F24" s="172">
        <f t="shared" si="0"/>
        <v>4.8593479332372347E-2</v>
      </c>
      <c r="G24" s="156">
        <v>1955.0012012000002</v>
      </c>
      <c r="H24" s="147">
        <v>1782.6773628799999</v>
      </c>
      <c r="I24" s="176">
        <f t="shared" si="1"/>
        <v>-8.814513168289928E-2</v>
      </c>
      <c r="J24" s="176">
        <f t="shared" si="2"/>
        <v>7.0945565237730138E-4</v>
      </c>
    </row>
    <row r="25" spans="3:10" x14ac:dyDescent="0.3">
      <c r="C25" s="89" t="s">
        <v>106</v>
      </c>
      <c r="D25" s="148">
        <v>129.2909598</v>
      </c>
      <c r="E25" s="148">
        <v>0</v>
      </c>
      <c r="F25" s="172" t="s">
        <v>45</v>
      </c>
      <c r="G25" s="156">
        <v>915.55997779999996</v>
      </c>
      <c r="H25" s="147">
        <v>795.88156879999997</v>
      </c>
      <c r="I25" s="176">
        <f t="shared" si="1"/>
        <v>-0.13071607748470548</v>
      </c>
      <c r="J25" s="182">
        <f t="shared" si="2"/>
        <v>3.167385693930993E-4</v>
      </c>
    </row>
    <row r="26" spans="3:10" x14ac:dyDescent="0.3">
      <c r="C26" s="74" t="s">
        <v>107</v>
      </c>
      <c r="D26" s="149">
        <v>19.993957250000001</v>
      </c>
      <c r="E26" s="149">
        <v>58.724761999999998</v>
      </c>
      <c r="F26" s="173">
        <f t="shared" si="0"/>
        <v>1.9371255157605178</v>
      </c>
      <c r="G26" s="163">
        <v>348.24213980999997</v>
      </c>
      <c r="H26" s="164">
        <v>468.21551464000004</v>
      </c>
      <c r="I26" s="177">
        <f t="shared" si="1"/>
        <v>0.34451136469428212</v>
      </c>
      <c r="J26" s="215">
        <f t="shared" si="2"/>
        <v>1.8633665872967926E-4</v>
      </c>
    </row>
    <row r="27" spans="3:10" x14ac:dyDescent="0.3">
      <c r="C27" s="86" t="s">
        <v>108</v>
      </c>
      <c r="D27" s="150">
        <f>+SUM(D28:D44)</f>
        <v>9349054.7926002555</v>
      </c>
      <c r="E27" s="146">
        <f>+SUM(E28:E44)</f>
        <v>9100583.6344009992</v>
      </c>
      <c r="F27" s="174">
        <f>+E27/D27-1</f>
        <v>-2.6577142150875033E-2</v>
      </c>
      <c r="G27" s="150">
        <f>+SUM(G28:G44)</f>
        <v>99573912.961384937</v>
      </c>
      <c r="H27" s="146">
        <f>+SUM(H28:H44)</f>
        <v>99621857.094403908</v>
      </c>
      <c r="I27" s="234">
        <f>+H27/G27-1</f>
        <v>4.8149290906707165E-4</v>
      </c>
      <c r="J27" s="183">
        <f>SUM(J28:J44)</f>
        <v>0.99999999999999989</v>
      </c>
    </row>
    <row r="28" spans="3:10" x14ac:dyDescent="0.3">
      <c r="C28" s="90" t="s">
        <v>109</v>
      </c>
      <c r="D28" s="147">
        <v>2822728.1567610032</v>
      </c>
      <c r="E28" s="151">
        <v>2504954.7908539996</v>
      </c>
      <c r="F28" s="172">
        <f t="shared" si="0"/>
        <v>-0.11257668052301539</v>
      </c>
      <c r="G28" s="154">
        <v>32390220.363707338</v>
      </c>
      <c r="H28" s="155">
        <v>27790996.603974786</v>
      </c>
      <c r="I28" s="175">
        <f t="shared" si="1"/>
        <v>-0.14199421023037861</v>
      </c>
      <c r="J28" s="184">
        <f t="shared" ref="J28:J44" si="3">(H28/$H$27)</f>
        <v>0.27896485183607261</v>
      </c>
    </row>
    <row r="29" spans="3:10" x14ac:dyDescent="0.3">
      <c r="C29" s="87" t="s">
        <v>103</v>
      </c>
      <c r="D29" s="147">
        <v>1630614.147288</v>
      </c>
      <c r="E29" s="151">
        <v>2182958.1314920001</v>
      </c>
      <c r="F29" s="172">
        <f t="shared" si="0"/>
        <v>0.33873371276868047</v>
      </c>
      <c r="G29" s="156">
        <v>18115919.025984</v>
      </c>
      <c r="H29" s="147">
        <v>24193847.957754999</v>
      </c>
      <c r="I29" s="176">
        <f t="shared" si="1"/>
        <v>0.33550210304281625</v>
      </c>
      <c r="J29" s="185">
        <f t="shared" si="3"/>
        <v>0.24285682543368337</v>
      </c>
    </row>
    <row r="30" spans="3:10" x14ac:dyDescent="0.3">
      <c r="C30" s="87" t="s">
        <v>95</v>
      </c>
      <c r="D30" s="147">
        <v>1832893.8016450689</v>
      </c>
      <c r="E30" s="151">
        <v>1822216.8652949997</v>
      </c>
      <c r="F30" s="172">
        <f t="shared" si="0"/>
        <v>-5.8251800188785507E-3</v>
      </c>
      <c r="G30" s="156">
        <v>21194770.926661991</v>
      </c>
      <c r="H30" s="148">
        <v>21264958.708038621</v>
      </c>
      <c r="I30" s="176">
        <f t="shared" si="1"/>
        <v>3.3115612157117447E-3</v>
      </c>
      <c r="J30" s="185">
        <f t="shared" si="3"/>
        <v>0.21345675866981148</v>
      </c>
    </row>
    <row r="31" spans="3:10" x14ac:dyDescent="0.3">
      <c r="C31" s="87" t="s">
        <v>107</v>
      </c>
      <c r="D31" s="148">
        <v>806557.71658600389</v>
      </c>
      <c r="E31" s="152">
        <v>686246.06050899997</v>
      </c>
      <c r="F31" s="172">
        <f t="shared" si="0"/>
        <v>-0.14916682786975111</v>
      </c>
      <c r="G31" s="156">
        <v>7960021.2126228996</v>
      </c>
      <c r="H31" s="147">
        <v>7769840.53937029</v>
      </c>
      <c r="I31" s="176">
        <f t="shared" si="1"/>
        <v>-2.3891980708672378E-2</v>
      </c>
      <c r="J31" s="185">
        <f t="shared" si="3"/>
        <v>7.7993331644153299E-2</v>
      </c>
    </row>
    <row r="32" spans="3:10" x14ac:dyDescent="0.3">
      <c r="C32" s="87" t="s">
        <v>102</v>
      </c>
      <c r="D32" s="148">
        <v>391363.441706624</v>
      </c>
      <c r="E32" s="152">
        <v>498334.95754600002</v>
      </c>
      <c r="F32" s="172">
        <f t="shared" si="0"/>
        <v>0.273330373866562</v>
      </c>
      <c r="G32" s="156">
        <v>4078477.6320012766</v>
      </c>
      <c r="H32" s="148">
        <v>4478258.1043456942</v>
      </c>
      <c r="I32" s="176">
        <f t="shared" si="1"/>
        <v>9.8021984773825732E-2</v>
      </c>
      <c r="J32" s="185">
        <f t="shared" si="3"/>
        <v>4.4952565982603561E-2</v>
      </c>
    </row>
    <row r="33" spans="3:10" x14ac:dyDescent="0.3">
      <c r="C33" s="87" t="s">
        <v>100</v>
      </c>
      <c r="D33" s="148">
        <v>774314.47139000008</v>
      </c>
      <c r="E33" s="152">
        <v>479916.98479999998</v>
      </c>
      <c r="F33" s="172">
        <f t="shared" si="0"/>
        <v>-0.38020403526943836</v>
      </c>
      <c r="G33" s="156">
        <v>4993798.7548169997</v>
      </c>
      <c r="H33" s="147">
        <v>3382999.4952959996</v>
      </c>
      <c r="I33" s="176">
        <f t="shared" si="1"/>
        <v>-0.32255990651750421</v>
      </c>
      <c r="J33" s="185">
        <f t="shared" si="3"/>
        <v>3.3958406257074622E-2</v>
      </c>
    </row>
    <row r="34" spans="3:10" x14ac:dyDescent="0.3">
      <c r="C34" s="87" t="s">
        <v>106</v>
      </c>
      <c r="D34" s="148">
        <v>297922.89390926331</v>
      </c>
      <c r="E34" s="152">
        <v>212975.74014300003</v>
      </c>
      <c r="F34" s="172">
        <f t="shared" si="0"/>
        <v>-0.28513133935969071</v>
      </c>
      <c r="G34" s="156">
        <v>3288304.9249792993</v>
      </c>
      <c r="H34" s="147">
        <v>2494363.986266355</v>
      </c>
      <c r="I34" s="176">
        <f t="shared" si="1"/>
        <v>-0.24144383103946554</v>
      </c>
      <c r="J34" s="186">
        <f t="shared" si="3"/>
        <v>2.5038320495296928E-2</v>
      </c>
    </row>
    <row r="35" spans="3:10" x14ac:dyDescent="0.3">
      <c r="C35" s="87" t="s">
        <v>94</v>
      </c>
      <c r="D35" s="148">
        <v>241603.04195300001</v>
      </c>
      <c r="E35" s="152">
        <v>231279.19284900001</v>
      </c>
      <c r="F35" s="172">
        <f t="shared" si="0"/>
        <v>-4.2730625494393992E-2</v>
      </c>
      <c r="G35" s="156">
        <v>1726694.8227055201</v>
      </c>
      <c r="H35" s="147">
        <v>2455016.2495765802</v>
      </c>
      <c r="I35" s="176">
        <f t="shared" si="1"/>
        <v>0.42180089804744392</v>
      </c>
      <c r="J35" s="186">
        <f t="shared" si="3"/>
        <v>2.4643349573880678E-2</v>
      </c>
    </row>
    <row r="36" spans="3:10" x14ac:dyDescent="0.3">
      <c r="C36" s="87" t="s">
        <v>97</v>
      </c>
      <c r="D36" s="148">
        <v>151277.28303565501</v>
      </c>
      <c r="E36" s="152">
        <v>137532.42165900001</v>
      </c>
      <c r="F36" s="172">
        <f t="shared" si="0"/>
        <v>-9.0858727105876391E-2</v>
      </c>
      <c r="G36" s="156">
        <v>1726056.4218310625</v>
      </c>
      <c r="H36" s="147">
        <v>1535206.5852301486</v>
      </c>
      <c r="I36" s="176">
        <f t="shared" si="1"/>
        <v>-0.11056987140574093</v>
      </c>
      <c r="J36" s="202">
        <f t="shared" si="3"/>
        <v>1.5410338955791121E-2</v>
      </c>
    </row>
    <row r="37" spans="3:10" x14ac:dyDescent="0.3">
      <c r="C37" s="87" t="s">
        <v>101</v>
      </c>
      <c r="D37" s="148">
        <v>129664.1659161</v>
      </c>
      <c r="E37" s="152">
        <v>138428.77881700004</v>
      </c>
      <c r="F37" s="172">
        <f t="shared" si="0"/>
        <v>6.7594719319532315E-2</v>
      </c>
      <c r="G37" s="156">
        <v>1383960.9670903997</v>
      </c>
      <c r="H37" s="147">
        <v>1532873.9640701092</v>
      </c>
      <c r="I37" s="176">
        <f t="shared" si="1"/>
        <v>0.10759913069859195</v>
      </c>
      <c r="J37" s="202">
        <f t="shared" si="3"/>
        <v>1.5386924202964048E-2</v>
      </c>
    </row>
    <row r="38" spans="3:10" x14ac:dyDescent="0.3">
      <c r="C38" s="87" t="s">
        <v>110</v>
      </c>
      <c r="D38" s="148">
        <v>104398.42674334592</v>
      </c>
      <c r="E38" s="152">
        <v>100572.93924200001</v>
      </c>
      <c r="F38" s="172">
        <f t="shared" si="0"/>
        <v>-3.6643152781895116E-2</v>
      </c>
      <c r="G38" s="156">
        <v>1124649.5917122145</v>
      </c>
      <c r="H38" s="147">
        <v>1176998.9775289684</v>
      </c>
      <c r="I38" s="176">
        <f t="shared" si="1"/>
        <v>4.6547285663488314E-2</v>
      </c>
      <c r="J38" s="185">
        <f t="shared" si="3"/>
        <v>1.1814666096955187E-2</v>
      </c>
    </row>
    <row r="39" spans="3:10" x14ac:dyDescent="0.3">
      <c r="C39" s="87" t="s">
        <v>104</v>
      </c>
      <c r="D39" s="148">
        <v>50203.175279999996</v>
      </c>
      <c r="E39" s="152">
        <v>22226.903440000002</v>
      </c>
      <c r="F39" s="172">
        <f t="shared" si="0"/>
        <v>-0.55726100359124531</v>
      </c>
      <c r="G39" s="156">
        <v>614791.91620208998</v>
      </c>
      <c r="H39" s="147">
        <v>519852.54773985303</v>
      </c>
      <c r="I39" s="176">
        <f t="shared" si="1"/>
        <v>-0.15442520625308476</v>
      </c>
      <c r="J39" s="186">
        <f t="shared" si="3"/>
        <v>5.2182579496307634E-3</v>
      </c>
    </row>
    <row r="40" spans="3:10" x14ac:dyDescent="0.3">
      <c r="C40" s="87" t="s">
        <v>99</v>
      </c>
      <c r="D40" s="148">
        <v>41555.27289</v>
      </c>
      <c r="E40" s="152">
        <v>52335.216030000003</v>
      </c>
      <c r="F40" s="172">
        <f t="shared" si="0"/>
        <v>0.25941216096776309</v>
      </c>
      <c r="G40" s="156">
        <v>454060.90523000003</v>
      </c>
      <c r="H40" s="147">
        <v>474110.20593000005</v>
      </c>
      <c r="I40" s="176">
        <f t="shared" si="1"/>
        <v>4.4155531711862039E-2</v>
      </c>
      <c r="J40" s="186">
        <f t="shared" si="3"/>
        <v>4.7590982517091863E-3</v>
      </c>
    </row>
    <row r="41" spans="3:10" x14ac:dyDescent="0.3">
      <c r="C41" s="87" t="s">
        <v>111</v>
      </c>
      <c r="D41" s="148">
        <v>59806.848996193992</v>
      </c>
      <c r="E41" s="152">
        <v>17454.579985</v>
      </c>
      <c r="F41" s="172">
        <f t="shared" si="0"/>
        <v>-0.70815081754080067</v>
      </c>
      <c r="G41" s="156">
        <v>356031.2580798585</v>
      </c>
      <c r="H41" s="147">
        <v>396793.96604148851</v>
      </c>
      <c r="I41" s="176">
        <f t="shared" si="1"/>
        <v>0.11449193585268524</v>
      </c>
      <c r="J41" s="185">
        <f t="shared" si="3"/>
        <v>3.9830010964910807E-3</v>
      </c>
    </row>
    <row r="42" spans="3:10" x14ac:dyDescent="0.3">
      <c r="C42" s="87" t="s">
        <v>93</v>
      </c>
      <c r="D42" s="148">
        <v>12907.841</v>
      </c>
      <c r="E42" s="152">
        <v>12242.671979999999</v>
      </c>
      <c r="F42" s="172">
        <f t="shared" si="0"/>
        <v>-5.1532167153283126E-2</v>
      </c>
      <c r="G42" s="156">
        <v>134076.52773</v>
      </c>
      <c r="H42" s="147">
        <v>131379.27058000001</v>
      </c>
      <c r="I42" s="176">
        <f t="shared" si="1"/>
        <v>-2.0117295664395907E-2</v>
      </c>
      <c r="J42" s="185">
        <f t="shared" si="3"/>
        <v>1.3187795772116762E-3</v>
      </c>
    </row>
    <row r="43" spans="3:10" x14ac:dyDescent="0.3">
      <c r="C43" s="87" t="s">
        <v>98</v>
      </c>
      <c r="D43" s="148">
        <v>1244.1075000000001</v>
      </c>
      <c r="E43" s="152">
        <v>907.39976000000001</v>
      </c>
      <c r="F43" s="172">
        <f t="shared" si="0"/>
        <v>-0.27064199838036507</v>
      </c>
      <c r="G43" s="156">
        <v>32077.710029999995</v>
      </c>
      <c r="H43" s="147">
        <v>12373.196250000001</v>
      </c>
      <c r="I43" s="176">
        <f t="shared" si="1"/>
        <v>-0.61427432823514416</v>
      </c>
      <c r="J43" s="214">
        <f>(H43/$H$27)</f>
        <v>1.2420162212269223E-4</v>
      </c>
    </row>
    <row r="44" spans="3:10" x14ac:dyDescent="0.3">
      <c r="C44" s="91" t="s">
        <v>96</v>
      </c>
      <c r="D44" s="153">
        <v>0</v>
      </c>
      <c r="E44" s="152">
        <v>0</v>
      </c>
      <c r="F44" s="172">
        <v>0</v>
      </c>
      <c r="G44" s="165">
        <v>0</v>
      </c>
      <c r="H44" s="164">
        <v>11986.73641</v>
      </c>
      <c r="I44" s="176" t="s">
        <v>79</v>
      </c>
      <c r="J44" s="216">
        <f t="shared" si="3"/>
        <v>1.203223545475678E-4</v>
      </c>
    </row>
    <row r="45" spans="3:10" x14ac:dyDescent="0.3">
      <c r="C45" s="86" t="s">
        <v>112</v>
      </c>
      <c r="D45" s="150">
        <f>+SUM(D46:D57)</f>
        <v>105414.319739197</v>
      </c>
      <c r="E45" s="146">
        <f>+SUM(E46:E57)</f>
        <v>119827.05015700001</v>
      </c>
      <c r="F45" s="174">
        <f t="shared" si="0"/>
        <v>0.13672459731715003</v>
      </c>
      <c r="G45" s="150">
        <f>+SUM(G46:G57)</f>
        <v>1159255.7359876158</v>
      </c>
      <c r="H45" s="146">
        <f>+SUM(H46:H57)</f>
        <v>1371732.2033468038</v>
      </c>
      <c r="I45" s="174">
        <f t="shared" si="1"/>
        <v>0.18328696659686639</v>
      </c>
      <c r="J45" s="183">
        <f>SUM(J46:J57)</f>
        <v>1.0000000000000002</v>
      </c>
    </row>
    <row r="46" spans="3:10" x14ac:dyDescent="0.3">
      <c r="C46" s="90" t="s">
        <v>96</v>
      </c>
      <c r="D46" s="154">
        <v>38557.198292699999</v>
      </c>
      <c r="E46" s="155">
        <v>37971.331834000004</v>
      </c>
      <c r="F46" s="175">
        <f t="shared" si="0"/>
        <v>-1.5194736252683527E-2</v>
      </c>
      <c r="G46" s="147">
        <v>343655.89399448998</v>
      </c>
      <c r="H46" s="151">
        <v>539739.37752525997</v>
      </c>
      <c r="I46" s="172">
        <f t="shared" si="1"/>
        <v>0.57058088325385725</v>
      </c>
      <c r="J46" s="184">
        <f t="shared" ref="J46:J57" si="4">(H46/$H$45)</f>
        <v>0.39347284856940995</v>
      </c>
    </row>
    <row r="47" spans="3:10" x14ac:dyDescent="0.3">
      <c r="C47" s="89" t="s">
        <v>98</v>
      </c>
      <c r="D47" s="156">
        <v>19162.94891345</v>
      </c>
      <c r="E47" s="147">
        <v>17517.075029</v>
      </c>
      <c r="F47" s="176">
        <f t="shared" si="0"/>
        <v>-8.588834066633666E-2</v>
      </c>
      <c r="G47" s="147">
        <v>203614.39409822301</v>
      </c>
      <c r="H47" s="151">
        <v>210998.33495176298</v>
      </c>
      <c r="I47" s="172">
        <f t="shared" si="1"/>
        <v>3.6264336253054807E-2</v>
      </c>
      <c r="J47" s="185">
        <f t="shared" si="4"/>
        <v>0.1538188973306607</v>
      </c>
    </row>
    <row r="48" spans="3:10" x14ac:dyDescent="0.3">
      <c r="C48" s="87" t="s">
        <v>102</v>
      </c>
      <c r="D48" s="156">
        <v>13791.305650799999</v>
      </c>
      <c r="E48" s="147">
        <v>19519.806898999999</v>
      </c>
      <c r="F48" s="176">
        <f t="shared" si="0"/>
        <v>0.41537048001453747</v>
      </c>
      <c r="G48" s="147">
        <v>147663.09200226</v>
      </c>
      <c r="H48" s="151">
        <v>178630.86742514998</v>
      </c>
      <c r="I48" s="172">
        <f t="shared" si="1"/>
        <v>0.20971913159190803</v>
      </c>
      <c r="J48" s="185">
        <f t="shared" si="4"/>
        <v>0.13022284305152251</v>
      </c>
    </row>
    <row r="49" spans="3:10" x14ac:dyDescent="0.3">
      <c r="C49" s="89" t="s">
        <v>101</v>
      </c>
      <c r="D49" s="132">
        <v>13465.146132997001</v>
      </c>
      <c r="E49" s="148">
        <v>13368.244886</v>
      </c>
      <c r="F49" s="176">
        <f t="shared" si="0"/>
        <v>-7.1964497109718861E-3</v>
      </c>
      <c r="G49" s="147">
        <v>149763.981466333</v>
      </c>
      <c r="H49" s="151">
        <v>153922.61822726901</v>
      </c>
      <c r="I49" s="172">
        <f t="shared" si="1"/>
        <v>2.7767936724297559E-2</v>
      </c>
      <c r="J49" s="185">
        <f t="shared" si="4"/>
        <v>0.11221039926869313</v>
      </c>
    </row>
    <row r="50" spans="3:10" x14ac:dyDescent="0.3">
      <c r="C50" s="89" t="s">
        <v>99</v>
      </c>
      <c r="D50" s="132">
        <v>9950.7698200000013</v>
      </c>
      <c r="E50" s="148">
        <v>17289.304224</v>
      </c>
      <c r="F50" s="176">
        <f t="shared" si="0"/>
        <v>0.73748408783914532</v>
      </c>
      <c r="G50" s="147">
        <v>176283.13489699998</v>
      </c>
      <c r="H50" s="151">
        <v>152458.577422</v>
      </c>
      <c r="I50" s="172">
        <f t="shared" si="1"/>
        <v>-0.13514938617877637</v>
      </c>
      <c r="J50" s="185">
        <f t="shared" si="4"/>
        <v>0.11114310581178005</v>
      </c>
    </row>
    <row r="51" spans="3:10" x14ac:dyDescent="0.3">
      <c r="C51" s="89" t="s">
        <v>105</v>
      </c>
      <c r="D51" s="132">
        <v>3600.7422116999996</v>
      </c>
      <c r="E51" s="148">
        <v>4954.8242580000006</v>
      </c>
      <c r="F51" s="176">
        <f t="shared" si="0"/>
        <v>0.37605637023948613</v>
      </c>
      <c r="G51" s="147">
        <v>48335.945835399994</v>
      </c>
      <c r="H51" s="151">
        <v>47303.434673409996</v>
      </c>
      <c r="I51" s="172">
        <f t="shared" si="1"/>
        <v>-2.1361145295595185E-2</v>
      </c>
      <c r="J51" s="185">
        <f t="shared" si="4"/>
        <v>3.4484452984334189E-2</v>
      </c>
    </row>
    <row r="52" spans="3:10" x14ac:dyDescent="0.3">
      <c r="C52" s="89" t="s">
        <v>107</v>
      </c>
      <c r="D52" s="132">
        <v>2933.0278575499997</v>
      </c>
      <c r="E52" s="148">
        <v>5044.8263850000003</v>
      </c>
      <c r="F52" s="176">
        <f t="shared" si="0"/>
        <v>0.72000629725147447</v>
      </c>
      <c r="G52" s="147">
        <v>43354.647416309999</v>
      </c>
      <c r="H52" s="151">
        <v>44806.171293189997</v>
      </c>
      <c r="I52" s="172">
        <f t="shared" si="1"/>
        <v>3.3480237146016556E-2</v>
      </c>
      <c r="J52" s="185">
        <f t="shared" si="4"/>
        <v>3.2663934829167247E-2</v>
      </c>
    </row>
    <row r="53" spans="3:10" x14ac:dyDescent="0.3">
      <c r="C53" s="89" t="s">
        <v>95</v>
      </c>
      <c r="D53" s="132">
        <v>2707.4957273000005</v>
      </c>
      <c r="E53" s="148">
        <v>2228.533461</v>
      </c>
      <c r="F53" s="176">
        <f t="shared" si="0"/>
        <v>-0.17690231658375932</v>
      </c>
      <c r="G53" s="147">
        <v>28136.318682499998</v>
      </c>
      <c r="H53" s="151">
        <v>25634.5133981</v>
      </c>
      <c r="I53" s="172">
        <f t="shared" si="1"/>
        <v>-8.8917292721597208E-2</v>
      </c>
      <c r="J53" s="185">
        <f t="shared" si="4"/>
        <v>1.8687695262643796E-2</v>
      </c>
    </row>
    <row r="54" spans="3:10" x14ac:dyDescent="0.3">
      <c r="C54" s="89" t="s">
        <v>104</v>
      </c>
      <c r="D54" s="132">
        <v>1245.2966326999999</v>
      </c>
      <c r="E54" s="148">
        <v>1007.297156</v>
      </c>
      <c r="F54" s="176">
        <f t="shared" si="0"/>
        <v>-0.19111870252469843</v>
      </c>
      <c r="G54" s="147">
        <v>15133.6116518</v>
      </c>
      <c r="H54" s="151">
        <v>12740.046291926999</v>
      </c>
      <c r="I54" s="172">
        <f t="shared" si="1"/>
        <v>-0.1581622031108687</v>
      </c>
      <c r="J54" s="185">
        <f t="shared" si="4"/>
        <v>9.287560837926933E-3</v>
      </c>
    </row>
    <row r="55" spans="3:10" x14ac:dyDescent="0.3">
      <c r="C55" s="89" t="s">
        <v>106</v>
      </c>
      <c r="D55" s="157">
        <v>0</v>
      </c>
      <c r="E55" s="153">
        <v>925.36502500000006</v>
      </c>
      <c r="F55" s="176" t="s">
        <v>79</v>
      </c>
      <c r="G55" s="147">
        <v>3309.4232933000003</v>
      </c>
      <c r="H55" s="151">
        <v>5379.0246034000002</v>
      </c>
      <c r="I55" s="172">
        <f t="shared" si="1"/>
        <v>0.62536615194857448</v>
      </c>
      <c r="J55" s="185">
        <f t="shared" si="4"/>
        <v>3.9213372626785712E-3</v>
      </c>
    </row>
    <row r="56" spans="3:10" x14ac:dyDescent="0.3">
      <c r="C56" s="89" t="s">
        <v>94</v>
      </c>
      <c r="D56" s="157">
        <v>0</v>
      </c>
      <c r="E56" s="153">
        <v>0</v>
      </c>
      <c r="F56" s="176">
        <v>0</v>
      </c>
      <c r="G56" s="166">
        <v>0</v>
      </c>
      <c r="H56" s="151">
        <v>108.22087533489999</v>
      </c>
      <c r="I56" s="172" t="s">
        <v>79</v>
      </c>
      <c r="J56" s="186">
        <f t="shared" si="4"/>
        <v>7.8893588027501737E-5</v>
      </c>
    </row>
    <row r="57" spans="3:10" x14ac:dyDescent="0.3">
      <c r="C57" s="74" t="s">
        <v>100</v>
      </c>
      <c r="D57" s="238">
        <v>0.38850000000000001</v>
      </c>
      <c r="E57" s="239">
        <v>0.441</v>
      </c>
      <c r="F57" s="177">
        <f t="shared" si="0"/>
        <v>0.13513513513513509</v>
      </c>
      <c r="G57" s="147">
        <v>5.2926499999999992</v>
      </c>
      <c r="H57" s="151">
        <v>11.016660000000002</v>
      </c>
      <c r="I57" s="172">
        <f t="shared" si="1"/>
        <v>1.0815017051949409</v>
      </c>
      <c r="J57" s="217">
        <f t="shared" si="4"/>
        <v>8.031203155485554E-6</v>
      </c>
    </row>
    <row r="58" spans="3:10" x14ac:dyDescent="0.3">
      <c r="C58" s="86" t="s">
        <v>113</v>
      </c>
      <c r="D58" s="150">
        <f>+SUM(D59:D76)</f>
        <v>291442.58352533769</v>
      </c>
      <c r="E58" s="146">
        <f>+SUM(E59:E76)</f>
        <v>291536.50174400001</v>
      </c>
      <c r="F58" s="234">
        <f t="shared" si="0"/>
        <v>3.2225290321785671E-4</v>
      </c>
      <c r="G58" s="150">
        <f>+SUM(G59:G76)</f>
        <v>3165873.8689063694</v>
      </c>
      <c r="H58" s="146">
        <f>+SUM(H59:H76)</f>
        <v>3417864.6699118712</v>
      </c>
      <c r="I58" s="174">
        <f t="shared" si="1"/>
        <v>7.9595969845934089E-2</v>
      </c>
      <c r="J58" s="183">
        <f>SUM(J59:J76)</f>
        <v>0.99999999999999978</v>
      </c>
    </row>
    <row r="59" spans="3:10" x14ac:dyDescent="0.3">
      <c r="C59" s="90" t="s">
        <v>96</v>
      </c>
      <c r="D59" s="154">
        <v>52437.571471632997</v>
      </c>
      <c r="E59" s="155">
        <v>59220.237809999984</v>
      </c>
      <c r="F59" s="175">
        <f t="shared" si="0"/>
        <v>0.12934745351500854</v>
      </c>
      <c r="G59" s="154">
        <v>621217.60104683531</v>
      </c>
      <c r="H59" s="155">
        <v>667594.46786581411</v>
      </c>
      <c r="I59" s="175">
        <f t="shared" si="1"/>
        <v>7.4654785603027962E-2</v>
      </c>
      <c r="J59" s="235">
        <f t="shared" ref="J59:J75" si="5">(H59/$H$58)</f>
        <v>0.1953250149845833</v>
      </c>
    </row>
    <row r="60" spans="3:10" x14ac:dyDescent="0.3">
      <c r="C60" s="87" t="s">
        <v>102</v>
      </c>
      <c r="D60" s="156">
        <v>49868.100261856802</v>
      </c>
      <c r="E60" s="147">
        <v>48016.938991000003</v>
      </c>
      <c r="F60" s="176">
        <f t="shared" si="0"/>
        <v>-3.7121150818586912E-2</v>
      </c>
      <c r="G60" s="156">
        <v>478703.06794355257</v>
      </c>
      <c r="H60" s="147">
        <v>667010.08693105192</v>
      </c>
      <c r="I60" s="176">
        <f t="shared" si="1"/>
        <v>0.39336915010058804</v>
      </c>
      <c r="J60" s="186">
        <f t="shared" si="5"/>
        <v>0.19515403661323155</v>
      </c>
    </row>
    <row r="61" spans="3:10" ht="15" customHeight="1" x14ac:dyDescent="0.3">
      <c r="C61" s="87" t="s">
        <v>101</v>
      </c>
      <c r="D61" s="156">
        <v>44585.277013016203</v>
      </c>
      <c r="E61" s="147">
        <v>39844.549378999996</v>
      </c>
      <c r="F61" s="176">
        <f t="shared" si="0"/>
        <v>-0.10632944217509743</v>
      </c>
      <c r="G61" s="156">
        <v>506931.92901068111</v>
      </c>
      <c r="H61" s="147">
        <v>478735.11577685061</v>
      </c>
      <c r="I61" s="176">
        <f t="shared" si="1"/>
        <v>-5.5622484243316173E-2</v>
      </c>
      <c r="J61" s="185">
        <f t="shared" si="5"/>
        <v>0.14006848193588503</v>
      </c>
    </row>
    <row r="62" spans="3:10" x14ac:dyDescent="0.3">
      <c r="C62" s="87" t="s">
        <v>98</v>
      </c>
      <c r="D62" s="156">
        <v>43175.054443222201</v>
      </c>
      <c r="E62" s="147">
        <v>39878.359837999997</v>
      </c>
      <c r="F62" s="176">
        <f t="shared" si="0"/>
        <v>-7.6356466661960054E-2</v>
      </c>
      <c r="G62" s="156">
        <v>446098.92315696966</v>
      </c>
      <c r="H62" s="147">
        <v>458893.95792704553</v>
      </c>
      <c r="I62" s="176">
        <f t="shared" si="1"/>
        <v>2.8682057063772914E-2</v>
      </c>
      <c r="J62" s="185">
        <f t="shared" si="5"/>
        <v>0.13426334926797379</v>
      </c>
    </row>
    <row r="63" spans="3:10" x14ac:dyDescent="0.3">
      <c r="C63" s="89" t="s">
        <v>99</v>
      </c>
      <c r="D63" s="132">
        <v>19051.323962734601</v>
      </c>
      <c r="E63" s="148">
        <v>18527.983898999999</v>
      </c>
      <c r="F63" s="176">
        <f t="shared" si="0"/>
        <v>-2.7470010208124229E-2</v>
      </c>
      <c r="G63" s="156">
        <v>195879.04727606178</v>
      </c>
      <c r="H63" s="147">
        <v>209264.40954399144</v>
      </c>
      <c r="I63" s="176">
        <f t="shared" si="1"/>
        <v>6.8334834450491266E-2</v>
      </c>
      <c r="J63" s="185">
        <f t="shared" si="5"/>
        <v>6.1226651653644104E-2</v>
      </c>
    </row>
    <row r="64" spans="3:10" x14ac:dyDescent="0.3">
      <c r="C64" s="89" t="s">
        <v>107</v>
      </c>
      <c r="D64" s="132">
        <v>18410.579680957202</v>
      </c>
      <c r="E64" s="148">
        <v>15826.604136999998</v>
      </c>
      <c r="F64" s="176">
        <f t="shared" si="0"/>
        <v>-0.14035275307653206</v>
      </c>
      <c r="G64" s="156">
        <v>202426.47837013134</v>
      </c>
      <c r="H64" s="147">
        <v>184021.77807942647</v>
      </c>
      <c r="I64" s="176">
        <f t="shared" si="1"/>
        <v>-9.0920419299358568E-2</v>
      </c>
      <c r="J64" s="185">
        <f t="shared" si="5"/>
        <v>5.3841154010398962E-2</v>
      </c>
    </row>
    <row r="65" spans="3:10" ht="15" customHeight="1" x14ac:dyDescent="0.3">
      <c r="C65" s="89" t="s">
        <v>94</v>
      </c>
      <c r="D65" s="132">
        <v>13581.399469679</v>
      </c>
      <c r="E65" s="148">
        <v>13561.910082</v>
      </c>
      <c r="F65" s="176">
        <f t="shared" si="0"/>
        <v>-1.4350058491769957E-3</v>
      </c>
      <c r="G65" s="156">
        <v>107996.03183383959</v>
      </c>
      <c r="H65" s="147">
        <v>146521.72067067749</v>
      </c>
      <c r="I65" s="176">
        <f t="shared" si="1"/>
        <v>0.356732448245068</v>
      </c>
      <c r="J65" s="185">
        <f t="shared" si="5"/>
        <v>4.2869374542689402E-2</v>
      </c>
    </row>
    <row r="66" spans="3:10" x14ac:dyDescent="0.3">
      <c r="C66" s="89" t="s">
        <v>104</v>
      </c>
      <c r="D66" s="132">
        <v>10338.506229021799</v>
      </c>
      <c r="E66" s="148">
        <v>12115.740628</v>
      </c>
      <c r="F66" s="176">
        <f t="shared" si="0"/>
        <v>0.17190436989719338</v>
      </c>
      <c r="G66" s="156">
        <v>128608.32271046781</v>
      </c>
      <c r="H66" s="147">
        <v>128383.5598702287</v>
      </c>
      <c r="I66" s="176">
        <f t="shared" si="1"/>
        <v>-1.7476539270722125E-3</v>
      </c>
      <c r="J66" s="185">
        <f t="shared" si="5"/>
        <v>3.7562505326911917E-2</v>
      </c>
    </row>
    <row r="67" spans="3:10" x14ac:dyDescent="0.3">
      <c r="C67" s="89" t="s">
        <v>95</v>
      </c>
      <c r="D67" s="132">
        <v>8133.9329835852004</v>
      </c>
      <c r="E67" s="148">
        <v>12977.034350999998</v>
      </c>
      <c r="F67" s="176">
        <f t="shared" si="0"/>
        <v>0.59541938410219108</v>
      </c>
      <c r="G67" s="156">
        <v>95506.830492021312</v>
      </c>
      <c r="H67" s="147">
        <v>103802.55627425169</v>
      </c>
      <c r="I67" s="176">
        <f t="shared" si="1"/>
        <v>8.6860026026341686E-2</v>
      </c>
      <c r="J67" s="185">
        <f t="shared" si="5"/>
        <v>3.037058698901856E-2</v>
      </c>
    </row>
    <row r="68" spans="3:10" x14ac:dyDescent="0.3">
      <c r="C68" s="89" t="s">
        <v>100</v>
      </c>
      <c r="D68" s="132">
        <v>12118.791539518001</v>
      </c>
      <c r="E68" s="148">
        <v>6913.1149519999999</v>
      </c>
      <c r="F68" s="176">
        <f t="shared" si="0"/>
        <v>-0.42955409956041257</v>
      </c>
      <c r="G68" s="156">
        <v>104237.0101146886</v>
      </c>
      <c r="H68" s="147">
        <v>87610.736610168096</v>
      </c>
      <c r="I68" s="176">
        <f t="shared" si="1"/>
        <v>-0.15950451270836674</v>
      </c>
      <c r="J68" s="185">
        <f t="shared" si="5"/>
        <v>2.563317892057649E-2</v>
      </c>
    </row>
    <row r="69" spans="3:10" x14ac:dyDescent="0.3">
      <c r="C69" s="89" t="s">
        <v>97</v>
      </c>
      <c r="D69" s="132">
        <v>5846.1109287459994</v>
      </c>
      <c r="E69" s="148">
        <v>7338.9730639999998</v>
      </c>
      <c r="F69" s="176">
        <f t="shared" si="0"/>
        <v>0.25535987145119421</v>
      </c>
      <c r="G69" s="156">
        <v>89750.560408525504</v>
      </c>
      <c r="H69" s="147">
        <v>86495.545367819213</v>
      </c>
      <c r="I69" s="176">
        <f t="shared" si="1"/>
        <v>-3.6267350598036985E-2</v>
      </c>
      <c r="J69" s="185">
        <f t="shared" si="5"/>
        <v>2.5306895890073226E-2</v>
      </c>
    </row>
    <row r="70" spans="3:10" x14ac:dyDescent="0.3">
      <c r="C70" s="89" t="s">
        <v>93</v>
      </c>
      <c r="D70" s="132">
        <v>6230.9499454393999</v>
      </c>
      <c r="E70" s="148">
        <v>7027.3001700000004</v>
      </c>
      <c r="F70" s="176">
        <f t="shared" si="0"/>
        <v>0.1278055884790843</v>
      </c>
      <c r="G70" s="156">
        <v>75567.900205005106</v>
      </c>
      <c r="H70" s="147">
        <v>77686.590071774408</v>
      </c>
      <c r="I70" s="176">
        <f t="shared" si="1"/>
        <v>2.8036902719562162E-2</v>
      </c>
      <c r="J70" s="185">
        <f t="shared" si="5"/>
        <v>2.2729568773060149E-2</v>
      </c>
    </row>
    <row r="71" spans="3:10" x14ac:dyDescent="0.3">
      <c r="C71" s="89" t="s">
        <v>105</v>
      </c>
      <c r="D71" s="132">
        <v>4112.7749698689004</v>
      </c>
      <c r="E71" s="148">
        <v>4337.9535779999997</v>
      </c>
      <c r="F71" s="176">
        <f t="shared" si="0"/>
        <v>5.4751015988184992E-2</v>
      </c>
      <c r="G71" s="156">
        <v>48173.466163710094</v>
      </c>
      <c r="H71" s="147">
        <v>46234.717763348897</v>
      </c>
      <c r="I71" s="176">
        <f t="shared" si="1"/>
        <v>-4.0245150593329893E-2</v>
      </c>
      <c r="J71" s="185">
        <f t="shared" si="5"/>
        <v>1.3527369345650847E-2</v>
      </c>
    </row>
    <row r="72" spans="3:10" x14ac:dyDescent="0.3">
      <c r="C72" s="89" t="s">
        <v>106</v>
      </c>
      <c r="D72" s="237">
        <v>0.25635734440000002</v>
      </c>
      <c r="E72" s="148">
        <v>1362.6562200000001</v>
      </c>
      <c r="F72" s="176" t="s">
        <v>79</v>
      </c>
      <c r="G72" s="156">
        <v>24499.864461598998</v>
      </c>
      <c r="H72" s="147">
        <v>29932.248989993899</v>
      </c>
      <c r="I72" s="176">
        <f t="shared" si="1"/>
        <v>0.22173120740768182</v>
      </c>
      <c r="J72" s="185">
        <f t="shared" si="5"/>
        <v>8.7575875234304386E-3</v>
      </c>
    </row>
    <row r="73" spans="3:10" x14ac:dyDescent="0.3">
      <c r="C73" s="89" t="s">
        <v>103</v>
      </c>
      <c r="D73" s="132">
        <v>1728.4588364952999</v>
      </c>
      <c r="E73" s="153">
        <v>2399.05303</v>
      </c>
      <c r="F73" s="176">
        <f t="shared" si="0"/>
        <v>0.38797232502477574</v>
      </c>
      <c r="G73" s="156">
        <v>20227.609694448802</v>
      </c>
      <c r="H73" s="147">
        <v>25903.078572480299</v>
      </c>
      <c r="I73" s="176">
        <f t="shared" si="1"/>
        <v>0.28058030403805212</v>
      </c>
      <c r="J73" s="185">
        <f t="shared" si="5"/>
        <v>7.5787314812403627E-3</v>
      </c>
    </row>
    <row r="74" spans="3:10" x14ac:dyDescent="0.3">
      <c r="C74" s="89" t="s">
        <v>109</v>
      </c>
      <c r="D74" s="132">
        <v>1822.8065749647001</v>
      </c>
      <c r="E74" s="148">
        <v>2188.0916150000003</v>
      </c>
      <c r="F74" s="176">
        <f t="shared" si="0"/>
        <v>0.20039703885881255</v>
      </c>
      <c r="G74" s="156">
        <v>19947.616078782801</v>
      </c>
      <c r="H74" s="147">
        <v>19678.413917503603</v>
      </c>
      <c r="I74" s="176">
        <f t="shared" si="1"/>
        <v>-1.349545530734042E-2</v>
      </c>
      <c r="J74" s="185">
        <f t="shared" si="5"/>
        <v>5.7575169932082204E-3</v>
      </c>
    </row>
    <row r="75" spans="3:10" x14ac:dyDescent="0.3">
      <c r="C75" s="89" t="s">
        <v>111</v>
      </c>
      <c r="D75" s="236">
        <v>0.68885725499999995</v>
      </c>
      <c r="E75" s="153">
        <v>0</v>
      </c>
      <c r="F75" s="176" t="s">
        <v>45</v>
      </c>
      <c r="G75" s="156">
        <v>10.404902875700001</v>
      </c>
      <c r="H75" s="147">
        <v>95.685679444299993</v>
      </c>
      <c r="I75" s="176">
        <f t="shared" si="1"/>
        <v>8.1962107275184568</v>
      </c>
      <c r="J75" s="202">
        <f t="shared" si="5"/>
        <v>2.7995748423464417E-5</v>
      </c>
    </row>
    <row r="76" spans="3:10" ht="15" customHeight="1" x14ac:dyDescent="0.3">
      <c r="C76" s="74" t="s">
        <v>110</v>
      </c>
      <c r="D76" s="158">
        <v>0</v>
      </c>
      <c r="E76" s="159">
        <v>0</v>
      </c>
      <c r="F76" s="177">
        <v>0</v>
      </c>
      <c r="G76" s="163">
        <v>91.205036172700005</v>
      </c>
      <c r="H76" s="167">
        <v>0</v>
      </c>
      <c r="I76" s="177" t="s">
        <v>45</v>
      </c>
      <c r="J76" s="218" t="s">
        <v>45</v>
      </c>
    </row>
    <row r="77" spans="3:10" x14ac:dyDescent="0.3">
      <c r="C77" s="86" t="s">
        <v>114</v>
      </c>
      <c r="D77" s="150">
        <f>+SUM(D78:D89)</f>
        <v>23043.246724013003</v>
      </c>
      <c r="E77" s="146">
        <f>+SUM(E78:E89)</f>
        <v>25533.305551000001</v>
      </c>
      <c r="F77" s="174">
        <f t="shared" si="0"/>
        <v>0.10806024241332923</v>
      </c>
      <c r="G77" s="150">
        <f>+SUM(G78:G89)</f>
        <v>265703.53017552302</v>
      </c>
      <c r="H77" s="146">
        <f>+SUM(H78:H89)</f>
        <v>285679.32950715686</v>
      </c>
      <c r="I77" s="174">
        <f t="shared" si="1"/>
        <v>7.5180782575368532E-2</v>
      </c>
      <c r="J77" s="183">
        <f>SUM(J78:J89)</f>
        <v>0.99999999999999989</v>
      </c>
    </row>
    <row r="78" spans="3:10" x14ac:dyDescent="0.3">
      <c r="C78" s="90" t="s">
        <v>101</v>
      </c>
      <c r="D78" s="147">
        <v>7584.1826817719993</v>
      </c>
      <c r="E78" s="151">
        <v>7417.7716740000005</v>
      </c>
      <c r="F78" s="172">
        <f t="shared" si="0"/>
        <v>-2.1941851186147554E-2</v>
      </c>
      <c r="G78" s="154">
        <v>77266.116141238992</v>
      </c>
      <c r="H78" s="155">
        <v>86329.828640416017</v>
      </c>
      <c r="I78" s="175">
        <f t="shared" si="1"/>
        <v>0.1173051390678026</v>
      </c>
      <c r="J78" s="184">
        <f t="shared" ref="J78:J89" si="6">(H78/$H$77)</f>
        <v>0.30219137236617349</v>
      </c>
    </row>
    <row r="79" spans="3:10" x14ac:dyDescent="0.3">
      <c r="C79" s="87" t="s">
        <v>102</v>
      </c>
      <c r="D79" s="147">
        <v>3502.6137805199996</v>
      </c>
      <c r="E79" s="151">
        <v>5644.0554159999992</v>
      </c>
      <c r="F79" s="172">
        <f t="shared" ref="F79:F93" si="7">+E79/D79-1</f>
        <v>0.61138388919433773</v>
      </c>
      <c r="G79" s="156">
        <v>45615.125161149997</v>
      </c>
      <c r="H79" s="147">
        <v>55937.427371059995</v>
      </c>
      <c r="I79" s="176">
        <f t="shared" si="1"/>
        <v>0.22629121751706638</v>
      </c>
      <c r="J79" s="185">
        <f t="shared" si="6"/>
        <v>0.19580495189330333</v>
      </c>
    </row>
    <row r="80" spans="3:10" x14ac:dyDescent="0.3">
      <c r="C80" s="87" t="s">
        <v>98</v>
      </c>
      <c r="D80" s="147">
        <v>2487.0968320709999</v>
      </c>
      <c r="E80" s="151">
        <v>2079.185524</v>
      </c>
      <c r="F80" s="172">
        <f t="shared" si="7"/>
        <v>-0.16401102796280476</v>
      </c>
      <c r="G80" s="156">
        <v>28548.030369633998</v>
      </c>
      <c r="H80" s="147">
        <v>32559.744008309004</v>
      </c>
      <c r="I80" s="176">
        <f t="shared" ref="I80:I95" si="8">+H80/G80-1</f>
        <v>0.14052505853231079</v>
      </c>
      <c r="J80" s="185">
        <f t="shared" si="6"/>
        <v>0.11397304825826859</v>
      </c>
    </row>
    <row r="81" spans="3:10" x14ac:dyDescent="0.3">
      <c r="C81" s="87" t="s">
        <v>96</v>
      </c>
      <c r="D81" s="147">
        <v>2097.1810014000002</v>
      </c>
      <c r="E81" s="151">
        <v>1741.7596369999999</v>
      </c>
      <c r="F81" s="172">
        <f t="shared" si="7"/>
        <v>-0.16947576969404843</v>
      </c>
      <c r="G81" s="156">
        <v>21058.420471859998</v>
      </c>
      <c r="H81" s="147">
        <v>29440.532810099998</v>
      </c>
      <c r="I81" s="176">
        <f t="shared" si="8"/>
        <v>0.39804088580341879</v>
      </c>
      <c r="J81" s="185">
        <f t="shared" si="6"/>
        <v>0.10305447321263911</v>
      </c>
    </row>
    <row r="82" spans="3:10" x14ac:dyDescent="0.3">
      <c r="C82" s="89" t="s">
        <v>99</v>
      </c>
      <c r="D82" s="148">
        <v>2436.7703860000001</v>
      </c>
      <c r="E82" s="152">
        <v>3053.3906999999999</v>
      </c>
      <c r="F82" s="172">
        <f t="shared" si="7"/>
        <v>0.25304818112640981</v>
      </c>
      <c r="G82" s="156">
        <v>30371.070658000001</v>
      </c>
      <c r="H82" s="147">
        <v>23767.875837999996</v>
      </c>
      <c r="I82" s="176">
        <f t="shared" si="8"/>
        <v>-0.21741725520172483</v>
      </c>
      <c r="J82" s="185">
        <f t="shared" si="6"/>
        <v>8.3197744404551188E-2</v>
      </c>
    </row>
    <row r="83" spans="3:10" x14ac:dyDescent="0.3">
      <c r="C83" s="89" t="s">
        <v>104</v>
      </c>
      <c r="D83" s="148">
        <v>1848.5201142999999</v>
      </c>
      <c r="E83" s="152">
        <v>1919.4176399999999</v>
      </c>
      <c r="F83" s="172">
        <f t="shared" si="7"/>
        <v>3.8353667429173566E-2</v>
      </c>
      <c r="G83" s="156">
        <v>21699.395858580003</v>
      </c>
      <c r="H83" s="147">
        <v>21313.703791824901</v>
      </c>
      <c r="I83" s="176">
        <f t="shared" si="8"/>
        <v>-1.777432280920388E-2</v>
      </c>
      <c r="J83" s="185">
        <f t="shared" si="6"/>
        <v>7.4607091204654169E-2</v>
      </c>
    </row>
    <row r="84" spans="3:10" x14ac:dyDescent="0.3">
      <c r="C84" s="89" t="s">
        <v>95</v>
      </c>
      <c r="D84" s="148">
        <v>1837.6808457</v>
      </c>
      <c r="E84" s="152">
        <v>1602.5997149999996</v>
      </c>
      <c r="F84" s="172">
        <f t="shared" si="7"/>
        <v>-0.12792271914357056</v>
      </c>
      <c r="G84" s="156">
        <v>21002.7989581</v>
      </c>
      <c r="H84" s="147">
        <v>17353.716709799999</v>
      </c>
      <c r="I84" s="176">
        <f t="shared" si="8"/>
        <v>-0.17374266427916674</v>
      </c>
      <c r="J84" s="185">
        <f t="shared" si="6"/>
        <v>6.0745440489999657E-2</v>
      </c>
    </row>
    <row r="85" spans="3:10" x14ac:dyDescent="0.3">
      <c r="C85" s="89" t="s">
        <v>105</v>
      </c>
      <c r="D85" s="148">
        <v>702.07779240000002</v>
      </c>
      <c r="E85" s="152">
        <v>804.05738700000006</v>
      </c>
      <c r="F85" s="172">
        <f t="shared" si="7"/>
        <v>0.14525398140196177</v>
      </c>
      <c r="G85" s="156">
        <v>10640.4741665</v>
      </c>
      <c r="H85" s="147">
        <v>7483.635043119999</v>
      </c>
      <c r="I85" s="176">
        <f t="shared" si="8"/>
        <v>-0.29668218483334641</v>
      </c>
      <c r="J85" s="185">
        <f t="shared" si="6"/>
        <v>2.6195927636873423E-2</v>
      </c>
    </row>
    <row r="86" spans="3:10" x14ac:dyDescent="0.3">
      <c r="C86" s="89" t="s">
        <v>107</v>
      </c>
      <c r="D86" s="148">
        <v>541.42528985000001</v>
      </c>
      <c r="E86" s="152">
        <v>434.783861</v>
      </c>
      <c r="F86" s="172">
        <f t="shared" si="7"/>
        <v>-0.19696425499360148</v>
      </c>
      <c r="G86" s="156">
        <v>4839.6621041600001</v>
      </c>
      <c r="H86" s="147">
        <v>5943.3999909400009</v>
      </c>
      <c r="I86" s="176">
        <f t="shared" si="8"/>
        <v>0.22806093959147833</v>
      </c>
      <c r="J86" s="185">
        <f t="shared" si="6"/>
        <v>2.0804445324039821E-2</v>
      </c>
    </row>
    <row r="87" spans="3:10" x14ac:dyDescent="0.3">
      <c r="C87" s="89" t="s">
        <v>106</v>
      </c>
      <c r="D87" s="153">
        <v>0</v>
      </c>
      <c r="E87" s="160">
        <v>830.07909700000005</v>
      </c>
      <c r="F87" s="172" t="s">
        <v>79</v>
      </c>
      <c r="G87" s="156">
        <v>4549.8403663000008</v>
      </c>
      <c r="H87" s="147">
        <v>5409.0358672000002</v>
      </c>
      <c r="I87" s="176">
        <f t="shared" si="8"/>
        <v>0.18884080137490855</v>
      </c>
      <c r="J87" s="185">
        <f t="shared" si="6"/>
        <v>1.893394204099913E-2</v>
      </c>
    </row>
    <row r="88" spans="3:10" x14ac:dyDescent="0.3">
      <c r="C88" s="89" t="s">
        <v>100</v>
      </c>
      <c r="D88" s="148">
        <v>5.6980000000000004</v>
      </c>
      <c r="E88" s="152">
        <v>6.2048999999999994</v>
      </c>
      <c r="F88" s="172">
        <f t="shared" si="7"/>
        <v>8.8961038961038685E-2</v>
      </c>
      <c r="G88" s="156">
        <v>112.59592000000001</v>
      </c>
      <c r="H88" s="147">
        <v>86.271769999999989</v>
      </c>
      <c r="I88" s="176">
        <f t="shared" si="8"/>
        <v>-0.23379310724580438</v>
      </c>
      <c r="J88" s="186">
        <f t="shared" si="6"/>
        <v>3.0198814226017954E-4</v>
      </c>
    </row>
    <row r="89" spans="3:10" x14ac:dyDescent="0.3">
      <c r="C89" s="74" t="s">
        <v>94</v>
      </c>
      <c r="D89" s="153">
        <v>0</v>
      </c>
      <c r="E89" s="160">
        <v>0</v>
      </c>
      <c r="F89" s="172">
        <v>0</v>
      </c>
      <c r="G89" s="165">
        <v>0</v>
      </c>
      <c r="H89" s="164">
        <v>54.157666386899997</v>
      </c>
      <c r="I89" s="177" t="s">
        <v>79</v>
      </c>
      <c r="J89" s="219">
        <f t="shared" si="6"/>
        <v>1.8957502623774268E-4</v>
      </c>
    </row>
    <row r="90" spans="3:10" x14ac:dyDescent="0.3">
      <c r="C90" s="86" t="s">
        <v>115</v>
      </c>
      <c r="D90" s="150">
        <f>+D91</f>
        <v>1089161.3711999999</v>
      </c>
      <c r="E90" s="146">
        <f>+E91</f>
        <v>1150038.4875200002</v>
      </c>
      <c r="F90" s="174">
        <f t="shared" si="7"/>
        <v>5.5893569061238324E-2</v>
      </c>
      <c r="G90" s="150">
        <f>+G91</f>
        <v>12243668.313921999</v>
      </c>
      <c r="H90" s="146">
        <f>+H91</f>
        <v>10677261.443318</v>
      </c>
      <c r="I90" s="174">
        <f t="shared" si="8"/>
        <v>-0.12793607523840489</v>
      </c>
      <c r="J90" s="183">
        <f>SUM(J91)</f>
        <v>1</v>
      </c>
    </row>
    <row r="91" spans="3:10" x14ac:dyDescent="0.3">
      <c r="C91" s="92" t="s">
        <v>99</v>
      </c>
      <c r="D91" s="161">
        <v>1089161.3711999999</v>
      </c>
      <c r="E91" s="162">
        <v>1150038.4875200002</v>
      </c>
      <c r="F91" s="178">
        <f t="shared" si="7"/>
        <v>5.5893569061238324E-2</v>
      </c>
      <c r="G91" s="168">
        <v>12243668.313921999</v>
      </c>
      <c r="H91" s="169">
        <v>10677261.443318</v>
      </c>
      <c r="I91" s="178">
        <f t="shared" si="8"/>
        <v>-0.12793607523840489</v>
      </c>
      <c r="J91" s="187">
        <f>(H91/$H$90)</f>
        <v>1</v>
      </c>
    </row>
    <row r="92" spans="3:10" x14ac:dyDescent="0.3">
      <c r="C92" s="86" t="s">
        <v>116</v>
      </c>
      <c r="D92" s="150">
        <f>SUM(D93:D94)</f>
        <v>2914.2087999999999</v>
      </c>
      <c r="E92" s="146">
        <f>SUM(E93:E94)</f>
        <v>2358.6851999999999</v>
      </c>
      <c r="F92" s="174">
        <f t="shared" si="7"/>
        <v>-0.19062587416522803</v>
      </c>
      <c r="G92" s="150">
        <f>SUM(G93:G94)</f>
        <v>29894.117599999998</v>
      </c>
      <c r="H92" s="146">
        <f>SUM(H93:H94)</f>
        <v>30875.465984000002</v>
      </c>
      <c r="I92" s="174">
        <f t="shared" si="8"/>
        <v>3.2827474526292866E-2</v>
      </c>
      <c r="J92" s="183">
        <f>SUM(J93:J94)</f>
        <v>0.99999999999999989</v>
      </c>
    </row>
    <row r="93" spans="3:10" x14ac:dyDescent="0.3">
      <c r="C93" s="210" t="s">
        <v>106</v>
      </c>
      <c r="D93" s="211">
        <v>2914.2087999999999</v>
      </c>
      <c r="E93" s="212">
        <v>2358.6851999999999</v>
      </c>
      <c r="F93" s="175">
        <f t="shared" si="7"/>
        <v>-0.19062587416522803</v>
      </c>
      <c r="G93" s="154">
        <v>29894.117599999998</v>
      </c>
      <c r="H93" s="155">
        <v>30857.573840000001</v>
      </c>
      <c r="I93" s="175">
        <f t="shared" si="8"/>
        <v>3.2228957311655204E-2</v>
      </c>
      <c r="J93" s="184">
        <f>(H93/$H$92)</f>
        <v>0.99942050610639288</v>
      </c>
    </row>
    <row r="94" spans="3:10" x14ac:dyDescent="0.3">
      <c r="C94" s="74" t="s">
        <v>95</v>
      </c>
      <c r="D94" s="209">
        <v>0</v>
      </c>
      <c r="E94" s="149">
        <v>0</v>
      </c>
      <c r="F94" s="177">
        <v>0</v>
      </c>
      <c r="G94" s="163">
        <v>0</v>
      </c>
      <c r="H94" s="164">
        <v>17.892143999999998</v>
      </c>
      <c r="I94" s="177" t="s">
        <v>79</v>
      </c>
      <c r="J94" s="218">
        <f>(H94/$H$92)</f>
        <v>5.7949389360704387E-4</v>
      </c>
    </row>
    <row r="95" spans="3:10" x14ac:dyDescent="0.3">
      <c r="C95" s="86" t="s">
        <v>117</v>
      </c>
      <c r="D95" s="150">
        <f>SUM(D96:D100)</f>
        <v>2991.0011701200001</v>
      </c>
      <c r="E95" s="146">
        <f>SUM(E96:E100)</f>
        <v>2772.5384810000005</v>
      </c>
      <c r="F95" s="174">
        <f t="shared" ref="F95:F114" si="9">(E95-D95)/D95</f>
        <v>-7.3039987848361423E-2</v>
      </c>
      <c r="G95" s="150">
        <f>SUM(G96:G100)</f>
        <v>37967.418018365002</v>
      </c>
      <c r="H95" s="146">
        <f>SUM(H96:H100)</f>
        <v>34794.4170397661</v>
      </c>
      <c r="I95" s="174">
        <f t="shared" si="8"/>
        <v>-8.3571681831619671E-2</v>
      </c>
      <c r="J95" s="183">
        <f>SUM(J96:J100)</f>
        <v>1</v>
      </c>
    </row>
    <row r="96" spans="3:10" x14ac:dyDescent="0.3">
      <c r="C96" s="90" t="s">
        <v>97</v>
      </c>
      <c r="D96" s="100">
        <v>490.9866624</v>
      </c>
      <c r="E96" s="101">
        <v>825.02472999999998</v>
      </c>
      <c r="F96" s="175">
        <f t="shared" si="9"/>
        <v>0.68034041081112673</v>
      </c>
      <c r="G96" s="100">
        <v>8199.9279732000014</v>
      </c>
      <c r="H96" s="101">
        <v>9567.0044195999999</v>
      </c>
      <c r="I96" s="175">
        <f t="shared" ref="I96:I107" si="10">(H96-G96)/G96</f>
        <v>0.16671810421604233</v>
      </c>
      <c r="J96" s="184">
        <f>(H96/$H$95)</f>
        <v>0.27495803159070004</v>
      </c>
    </row>
    <row r="97" spans="3:10" x14ac:dyDescent="0.3">
      <c r="C97" s="87" t="s">
        <v>95</v>
      </c>
      <c r="D97" s="156">
        <v>761.59505720000004</v>
      </c>
      <c r="E97" s="147">
        <v>636.73011499999996</v>
      </c>
      <c r="F97" s="176">
        <f t="shared" si="9"/>
        <v>-0.16395188101543798</v>
      </c>
      <c r="G97" s="156">
        <v>8061.6598424000003</v>
      </c>
      <c r="H97" s="147">
        <v>8985.950942200001</v>
      </c>
      <c r="I97" s="176">
        <f t="shared" si="10"/>
        <v>0.1146527040174439</v>
      </c>
      <c r="J97" s="185">
        <f>(H97/$H$95)</f>
        <v>0.25825841346702466</v>
      </c>
    </row>
    <row r="98" spans="3:10" x14ac:dyDescent="0.3">
      <c r="C98" s="87" t="s">
        <v>93</v>
      </c>
      <c r="D98" s="156">
        <v>804.98627399999998</v>
      </c>
      <c r="E98" s="147">
        <v>843.29231000000004</v>
      </c>
      <c r="F98" s="176">
        <f t="shared" si="9"/>
        <v>4.7585949272968678E-2</v>
      </c>
      <c r="G98" s="156">
        <v>9066.8019569850021</v>
      </c>
      <c r="H98" s="147">
        <v>8392.2624411661</v>
      </c>
      <c r="I98" s="176">
        <f t="shared" si="10"/>
        <v>-7.4396630589161766E-2</v>
      </c>
      <c r="J98" s="185">
        <f>(H98/$H$95)</f>
        <v>0.24119566169407836</v>
      </c>
    </row>
    <row r="99" spans="3:10" x14ac:dyDescent="0.3">
      <c r="C99" s="87" t="s">
        <v>96</v>
      </c>
      <c r="D99" s="156">
        <v>212.690898</v>
      </c>
      <c r="E99" s="147">
        <v>273.22459900000001</v>
      </c>
      <c r="F99" s="176">
        <f t="shared" si="9"/>
        <v>0.28460879882128293</v>
      </c>
      <c r="G99" s="156">
        <v>2974.8037739999995</v>
      </c>
      <c r="H99" s="147">
        <v>2568.0951070000001</v>
      </c>
      <c r="I99" s="176">
        <f t="shared" si="10"/>
        <v>-0.13671781330743984</v>
      </c>
      <c r="J99" s="185">
        <f>(H99/$H$95)</f>
        <v>7.3807677365738206E-2</v>
      </c>
    </row>
    <row r="100" spans="3:10" x14ac:dyDescent="0.3">
      <c r="C100" s="89" t="s">
        <v>126</v>
      </c>
      <c r="D100" s="132">
        <v>720.74227852000001</v>
      </c>
      <c r="E100" s="148">
        <v>194.266727</v>
      </c>
      <c r="F100" s="176">
        <f t="shared" si="9"/>
        <v>-0.73046297852969744</v>
      </c>
      <c r="G100" s="156">
        <v>9664.2244717799986</v>
      </c>
      <c r="H100" s="147">
        <v>5281.1041298</v>
      </c>
      <c r="I100" s="176">
        <f t="shared" si="10"/>
        <v>-0.45354082521354105</v>
      </c>
      <c r="J100" s="220">
        <f t="shared" ref="J100" si="11">(H100/$H$95)</f>
        <v>0.15178021588245874</v>
      </c>
    </row>
    <row r="101" spans="3:10" x14ac:dyDescent="0.3">
      <c r="C101" s="86" t="s">
        <v>118</v>
      </c>
      <c r="D101" s="150">
        <f>SUM(D102:D107)</f>
        <v>2323.4480275999999</v>
      </c>
      <c r="E101" s="146">
        <f>SUM(E102:E107)</f>
        <v>2254.1758189999996</v>
      </c>
      <c r="F101" s="174">
        <f t="shared" si="9"/>
        <v>-2.9814399882038635E-2</v>
      </c>
      <c r="G101" s="150">
        <f>SUM(G102:G107)</f>
        <v>28878.967529779995</v>
      </c>
      <c r="H101" s="146">
        <f>SUM(H102:H107)</f>
        <v>25000.950646200003</v>
      </c>
      <c r="I101" s="174">
        <f t="shared" si="10"/>
        <v>-0.13428516374697194</v>
      </c>
      <c r="J101" s="183">
        <f>SUM(J102:J107)</f>
        <v>1</v>
      </c>
    </row>
    <row r="102" spans="3:10" x14ac:dyDescent="0.3">
      <c r="C102" s="77" t="s">
        <v>101</v>
      </c>
      <c r="D102" s="119">
        <v>1380.4944966</v>
      </c>
      <c r="E102" s="120">
        <v>1196.4168480000001</v>
      </c>
      <c r="F102" s="111">
        <f t="shared" si="9"/>
        <v>-0.13334181994449246</v>
      </c>
      <c r="G102" s="100">
        <v>16388.265525300001</v>
      </c>
      <c r="H102" s="101">
        <v>16093.869061500001</v>
      </c>
      <c r="I102" s="135">
        <f t="shared" si="10"/>
        <v>-1.7963857331058871E-2</v>
      </c>
      <c r="J102" s="184">
        <f>(H102/$H$101)</f>
        <v>0.64373028407006494</v>
      </c>
    </row>
    <row r="103" spans="3:10" x14ac:dyDescent="0.3">
      <c r="C103" s="73" t="s">
        <v>98</v>
      </c>
      <c r="D103" s="104">
        <v>782.53820700000006</v>
      </c>
      <c r="E103" s="105">
        <v>907.95640500000002</v>
      </c>
      <c r="F103" s="114">
        <f t="shared" si="9"/>
        <v>0.16027102175728009</v>
      </c>
      <c r="G103" s="102">
        <v>11019.333582999998</v>
      </c>
      <c r="H103" s="103">
        <v>7154.2309590000004</v>
      </c>
      <c r="I103" s="112">
        <f t="shared" si="10"/>
        <v>-0.35075647677667715</v>
      </c>
      <c r="J103" s="185">
        <f t="shared" ref="J103:J107" si="12">(H103/$H$101)</f>
        <v>0.28615835694581482</v>
      </c>
    </row>
    <row r="104" spans="3:10" x14ac:dyDescent="0.3">
      <c r="C104" s="73" t="s">
        <v>96</v>
      </c>
      <c r="D104" s="104">
        <v>100.40114</v>
      </c>
      <c r="E104" s="105">
        <v>83.424994999999996</v>
      </c>
      <c r="F104" s="114">
        <f t="shared" si="9"/>
        <v>-0.16908318969286606</v>
      </c>
      <c r="G104" s="102">
        <v>1043.07605448</v>
      </c>
      <c r="H104" s="103">
        <v>1070.4449720000002</v>
      </c>
      <c r="I104" s="112">
        <f t="shared" si="10"/>
        <v>2.6238659590018389E-2</v>
      </c>
      <c r="J104" s="185">
        <f t="shared" si="12"/>
        <v>4.2816170758798788E-2</v>
      </c>
    </row>
    <row r="105" spans="3:10" x14ac:dyDescent="0.3">
      <c r="C105" s="73" t="s">
        <v>104</v>
      </c>
      <c r="D105" s="104">
        <v>59.126184000000002</v>
      </c>
      <c r="E105" s="105">
        <v>64.726077000000004</v>
      </c>
      <c r="F105" s="114">
        <f t="shared" si="9"/>
        <v>9.4710881392244109E-2</v>
      </c>
      <c r="G105" s="102">
        <v>415.94660299999998</v>
      </c>
      <c r="H105" s="103">
        <v>652.10740370000008</v>
      </c>
      <c r="I105" s="112">
        <f t="shared" si="10"/>
        <v>0.56776711000089619</v>
      </c>
      <c r="J105" s="185">
        <f t="shared" si="12"/>
        <v>2.6083304308235036E-2</v>
      </c>
    </row>
    <row r="106" spans="3:10" x14ac:dyDescent="0.3">
      <c r="C106" s="73" t="s">
        <v>102</v>
      </c>
      <c r="D106" s="240">
        <v>0</v>
      </c>
      <c r="E106" s="105">
        <v>1.2146939999999999</v>
      </c>
      <c r="F106" s="114" t="s">
        <v>79</v>
      </c>
      <c r="G106" s="102">
        <v>4.0247039999999998</v>
      </c>
      <c r="H106" s="103">
        <v>23.57432</v>
      </c>
      <c r="I106" s="112">
        <f t="shared" si="10"/>
        <v>4.8574046687657031</v>
      </c>
      <c r="J106" s="185">
        <f t="shared" si="12"/>
        <v>9.4293694402309289E-4</v>
      </c>
    </row>
    <row r="107" spans="3:10" x14ac:dyDescent="0.3">
      <c r="C107" s="76" t="s">
        <v>100</v>
      </c>
      <c r="D107" s="189">
        <v>0.88800000000000001</v>
      </c>
      <c r="E107" s="188">
        <v>0.43680000000000002</v>
      </c>
      <c r="F107" s="116">
        <f t="shared" si="9"/>
        <v>-0.50810810810810814</v>
      </c>
      <c r="G107" s="126">
        <v>8.321060000000001</v>
      </c>
      <c r="H107" s="127">
        <v>6.7239300000000002</v>
      </c>
      <c r="I107" s="138">
        <f t="shared" si="10"/>
        <v>-0.19193828670866458</v>
      </c>
      <c r="J107" s="221">
        <f t="shared" si="12"/>
        <v>2.6894697306328224E-4</v>
      </c>
    </row>
    <row r="108" spans="3:10" x14ac:dyDescent="0.3">
      <c r="C108" s="86" t="s">
        <v>119</v>
      </c>
      <c r="D108" s="150">
        <f>SUM(D109:D111)</f>
        <v>20.850784000000001</v>
      </c>
      <c r="E108" s="146">
        <f>SUM(E109:E111)</f>
        <v>27.510525999999999</v>
      </c>
      <c r="F108" s="174">
        <f t="shared" si="9"/>
        <v>0.31940007627530925</v>
      </c>
      <c r="G108" s="150">
        <f>SUM(G109:G111)</f>
        <v>242.63734209999998</v>
      </c>
      <c r="H108" s="146">
        <f>SUM(H109:H111)</f>
        <v>257.32217680000002</v>
      </c>
      <c r="I108" s="174">
        <f>(H108-G108)/G108</f>
        <v>6.0521742337368109E-2</v>
      </c>
      <c r="J108" s="183">
        <f>SUM(J109:J111)</f>
        <v>0.99999999999999989</v>
      </c>
    </row>
    <row r="109" spans="3:10" x14ac:dyDescent="0.3">
      <c r="C109" s="77" t="s">
        <v>101</v>
      </c>
      <c r="D109" s="119">
        <v>13.543818000000002</v>
      </c>
      <c r="E109" s="120">
        <v>23.028748999999998</v>
      </c>
      <c r="F109" s="111">
        <f t="shared" si="9"/>
        <v>0.70031441651091253</v>
      </c>
      <c r="G109" s="100">
        <v>173.32290699999999</v>
      </c>
      <c r="H109" s="101">
        <v>206.14955800000001</v>
      </c>
      <c r="I109" s="111">
        <f>(H109-G109)/G109</f>
        <v>0.18939591752866244</v>
      </c>
      <c r="J109" s="184">
        <f>(H109/$H$108)</f>
        <v>0.80113405134228599</v>
      </c>
    </row>
    <row r="110" spans="3:10" x14ac:dyDescent="0.3">
      <c r="C110" s="73" t="s">
        <v>96</v>
      </c>
      <c r="D110" s="104">
        <v>7.1959660000000003</v>
      </c>
      <c r="E110" s="105">
        <v>4.4481769999999994</v>
      </c>
      <c r="F110" s="114">
        <f t="shared" si="9"/>
        <v>-0.38185130391110811</v>
      </c>
      <c r="G110" s="102">
        <v>67.848935100000006</v>
      </c>
      <c r="H110" s="103">
        <v>50.310078799999999</v>
      </c>
      <c r="I110" s="114">
        <f>(H110-G110)/G110</f>
        <v>-0.25849862306829346</v>
      </c>
      <c r="J110" s="185">
        <f>(H110/$H$108)</f>
        <v>0.19551396395617618</v>
      </c>
    </row>
    <row r="111" spans="3:10" x14ac:dyDescent="0.3">
      <c r="C111" s="76" t="s">
        <v>100</v>
      </c>
      <c r="D111" s="241">
        <v>0.111</v>
      </c>
      <c r="E111" s="242">
        <v>3.3599999999999998E-2</v>
      </c>
      <c r="F111" s="116">
        <f t="shared" si="9"/>
        <v>-0.69729729729729728</v>
      </c>
      <c r="G111" s="190">
        <v>1.4654999999999998</v>
      </c>
      <c r="H111" s="191">
        <v>0.86254000000000008</v>
      </c>
      <c r="I111" s="116">
        <f>(H111-G111)/G111</f>
        <v>-0.41143636983964504</v>
      </c>
      <c r="J111" s="218">
        <f>(H111/$H$108)</f>
        <v>3.3519847015377807E-3</v>
      </c>
    </row>
    <row r="112" spans="3:10" x14ac:dyDescent="0.3">
      <c r="C112" s="86" t="s">
        <v>120</v>
      </c>
      <c r="D112" s="150">
        <f>SUM(D113:D114)</f>
        <v>28.561821999999999</v>
      </c>
      <c r="E112" s="146">
        <f>SUM(E113:E114)</f>
        <v>23.065466999999998</v>
      </c>
      <c r="F112" s="174">
        <f t="shared" si="9"/>
        <v>-0.19243712813559308</v>
      </c>
      <c r="G112" s="150">
        <f>SUM(G113:G114)</f>
        <v>289.29849499999995</v>
      </c>
      <c r="H112" s="146">
        <f>SUM(H113:H114)</f>
        <v>288.113226</v>
      </c>
      <c r="I112" s="174">
        <f t="shared" ref="I112:I120" si="13">(H112-G112)/G112</f>
        <v>-4.0970451643723505E-3</v>
      </c>
      <c r="J112" s="183">
        <f>SUM(J113:J114)</f>
        <v>1</v>
      </c>
    </row>
    <row r="113" spans="3:10" x14ac:dyDescent="0.3">
      <c r="C113" s="77" t="s">
        <v>95</v>
      </c>
      <c r="D113" s="119">
        <v>17.006499999999999</v>
      </c>
      <c r="E113" s="120">
        <v>13.806996</v>
      </c>
      <c r="F113" s="111">
        <f t="shared" si="9"/>
        <v>-0.18813418398847495</v>
      </c>
      <c r="G113" s="100">
        <v>171.20389699999996</v>
      </c>
      <c r="H113" s="101">
        <v>166.012902</v>
      </c>
      <c r="I113" s="111">
        <f t="shared" si="13"/>
        <v>-3.0320542294664937E-2</v>
      </c>
      <c r="J113" s="184">
        <f>(H113/$H$112)</f>
        <v>0.57620715405824519</v>
      </c>
    </row>
    <row r="114" spans="3:10" x14ac:dyDescent="0.3">
      <c r="C114" s="76" t="s">
        <v>96</v>
      </c>
      <c r="D114" s="106">
        <v>11.555322</v>
      </c>
      <c r="E114" s="107">
        <v>9.2584710000000001</v>
      </c>
      <c r="F114" s="116">
        <f t="shared" si="9"/>
        <v>-0.19876996936995786</v>
      </c>
      <c r="G114" s="126">
        <v>118.094598</v>
      </c>
      <c r="H114" s="127">
        <v>122.10032400000001</v>
      </c>
      <c r="I114" s="116">
        <f t="shared" si="13"/>
        <v>3.3919637882166377E-2</v>
      </c>
      <c r="J114" s="218">
        <f>(H114/$H$112)</f>
        <v>0.42379284594175493</v>
      </c>
    </row>
    <row r="115" spans="3:10" x14ac:dyDescent="0.3">
      <c r="C115" s="86" t="s">
        <v>121</v>
      </c>
      <c r="D115" s="150">
        <f>SUM(D116:D118)</f>
        <v>2540.237177</v>
      </c>
      <c r="E115" s="146">
        <f>SUM(E116:E118)</f>
        <v>3829.7748300000003</v>
      </c>
      <c r="F115" s="174">
        <f>(E115-D115)/D115</f>
        <v>0.5076445871573827</v>
      </c>
      <c r="G115" s="150">
        <f>SUM(G116:G118)</f>
        <v>18819.861248100002</v>
      </c>
      <c r="H115" s="146">
        <f>SUM(H116:H118)</f>
        <v>35287.238727800002</v>
      </c>
      <c r="I115" s="174">
        <f t="shared" si="13"/>
        <v>0.87499994089289579</v>
      </c>
      <c r="J115" s="183">
        <f>SUM(J116:J118)</f>
        <v>1</v>
      </c>
    </row>
    <row r="116" spans="3:10" x14ac:dyDescent="0.3">
      <c r="C116" s="77" t="s">
        <v>102</v>
      </c>
      <c r="D116" s="119">
        <v>2438.8875195999999</v>
      </c>
      <c r="E116" s="120">
        <v>3519.5332590000003</v>
      </c>
      <c r="F116" s="111">
        <f>(E116-D116)/D116</f>
        <v>0.44308961799814212</v>
      </c>
      <c r="G116" s="100">
        <v>17760.299342300001</v>
      </c>
      <c r="H116" s="101">
        <v>34108.804410800003</v>
      </c>
      <c r="I116" s="111">
        <f t="shared" si="13"/>
        <v>0.92050841899733615</v>
      </c>
      <c r="J116" s="184">
        <f>(H116/$H$115)</f>
        <v>0.96660451881513743</v>
      </c>
    </row>
    <row r="117" spans="3:10" x14ac:dyDescent="0.3">
      <c r="C117" s="73" t="s">
        <v>95</v>
      </c>
      <c r="D117" s="104">
        <v>88.247500000000002</v>
      </c>
      <c r="E117" s="105">
        <v>300.98309999999998</v>
      </c>
      <c r="F117" s="114">
        <f>(E117-D117)/D117</f>
        <v>2.4106699906512929</v>
      </c>
      <c r="G117" s="102">
        <v>910.08716700000014</v>
      </c>
      <c r="H117" s="103">
        <v>1055.7852049999999</v>
      </c>
      <c r="I117" s="114">
        <f t="shared" si="13"/>
        <v>0.16009239914927814</v>
      </c>
      <c r="J117" s="185">
        <f>(H117/$H$115)</f>
        <v>2.9919745581232768E-2</v>
      </c>
    </row>
    <row r="118" spans="3:10" x14ac:dyDescent="0.3">
      <c r="C118" s="76" t="s">
        <v>96</v>
      </c>
      <c r="D118" s="106">
        <v>13.102157399999999</v>
      </c>
      <c r="E118" s="107">
        <v>9.2584710000000001</v>
      </c>
      <c r="F118" s="116">
        <f>(E118-D118)/D118</f>
        <v>-0.29336286251606164</v>
      </c>
      <c r="G118" s="126">
        <v>149.47473880000001</v>
      </c>
      <c r="H118" s="127">
        <v>122.64911200000002</v>
      </c>
      <c r="I118" s="116">
        <f t="shared" si="13"/>
        <v>-0.17946595535378848</v>
      </c>
      <c r="J118" s="218">
        <f>(H118/$H$115)</f>
        <v>3.4757356036298347E-3</v>
      </c>
    </row>
    <row r="119" spans="3:10" x14ac:dyDescent="0.3">
      <c r="C119" s="86" t="s">
        <v>122</v>
      </c>
      <c r="D119" s="243">
        <f>SUM(D120)</f>
        <v>2.8124280000000002</v>
      </c>
      <c r="E119" s="244">
        <f>SUM(E120)</f>
        <v>2.7624939999999998</v>
      </c>
      <c r="F119" s="174">
        <f t="shared" ref="F119:F120" si="14">(E119-D119)/D119</f>
        <v>-1.7754765633111447E-2</v>
      </c>
      <c r="G119" s="203">
        <f>SUM(G120)</f>
        <v>38.356553600000005</v>
      </c>
      <c r="H119" s="203">
        <f>SUM(H120)</f>
        <v>32.526135999999994</v>
      </c>
      <c r="I119" s="181">
        <f t="shared" si="13"/>
        <v>-0.1520057735322709</v>
      </c>
      <c r="J119" s="183">
        <f>SUM(J120)</f>
        <v>1</v>
      </c>
    </row>
    <row r="120" spans="3:10" x14ac:dyDescent="0.3">
      <c r="C120" s="93" t="s">
        <v>96</v>
      </c>
      <c r="D120" s="245">
        <v>2.8124280000000002</v>
      </c>
      <c r="E120" s="246">
        <v>2.7624939999999998</v>
      </c>
      <c r="F120" s="179">
        <f t="shared" si="14"/>
        <v>-1.7754765633111447E-2</v>
      </c>
      <c r="G120" s="207">
        <v>38.356553600000005</v>
      </c>
      <c r="H120" s="128">
        <v>32.526135999999994</v>
      </c>
      <c r="I120" s="129">
        <f t="shared" si="13"/>
        <v>-0.1520057735322709</v>
      </c>
      <c r="J120" s="187">
        <f>(H120/$H$119)</f>
        <v>1</v>
      </c>
    </row>
    <row r="121" spans="3:10" ht="180.6" customHeight="1" x14ac:dyDescent="0.3">
      <c r="C121" s="265" t="s">
        <v>145</v>
      </c>
      <c r="D121" s="266"/>
      <c r="E121" s="266"/>
      <c r="F121" s="266"/>
      <c r="G121" s="266"/>
      <c r="H121" s="266"/>
      <c r="I121" s="266"/>
      <c r="J121" s="267"/>
    </row>
    <row r="122" spans="3:10" x14ac:dyDescent="0.3">
      <c r="D122" s="94"/>
      <c r="E122" s="94"/>
      <c r="F122" s="180"/>
    </row>
    <row r="123" spans="3:10" x14ac:dyDescent="0.3">
      <c r="F123" s="63"/>
    </row>
    <row r="124" spans="3:10" x14ac:dyDescent="0.3">
      <c r="F124" s="63"/>
    </row>
    <row r="125" spans="3:10" x14ac:dyDescent="0.3">
      <c r="F125" s="63"/>
    </row>
    <row r="126" spans="3:10" x14ac:dyDescent="0.3">
      <c r="F126" s="63"/>
    </row>
  </sheetData>
  <mergeCells count="5">
    <mergeCell ref="C3:J3"/>
    <mergeCell ref="C4:J4"/>
    <mergeCell ref="D8:F8"/>
    <mergeCell ref="G8:J8"/>
    <mergeCell ref="C121:J121"/>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Manuel Alonso Carranza Avellaneda</cp:lastModifiedBy>
  <dcterms:created xsi:type="dcterms:W3CDTF">2025-08-15T20:36:18Z</dcterms:created>
  <dcterms:modified xsi:type="dcterms:W3CDTF">2026-01-06T23:24:03Z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