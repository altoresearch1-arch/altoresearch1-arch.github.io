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1. MINEM\1. BEM 2025\0. CUADROS ESTADISTICOS\2. SETIEMBRE\"/>
    </mc:Choice>
  </mc:AlternateContent>
  <xr:revisionPtr revIDLastSave="0" documentId="13_ncr:1_{0CBFAE05-FA03-4D0F-923D-1EB6DBACB852}" xr6:coauthVersionLast="47" xr6:coauthVersionMax="47" xr10:uidLastSave="{00000000-0000-0000-0000-000000000000}"/>
  <bookViews>
    <workbookView xWindow="-120" yWindow="-120" windowWidth="29040" windowHeight="15720" xr2:uid="{C2E09711-F6FF-4B8A-8D2D-18AB30956760}"/>
  </bookViews>
  <sheets>
    <sheet name="S01.C01" sheetId="1" r:id="rId1"/>
    <sheet name="S01.C02" sheetId="2" r:id="rId2"/>
    <sheet name="S01.C03" sheetId="3" r:id="rId3"/>
  </sheets>
  <definedNames>
    <definedName name="_xlnm._FilterDatabase" localSheetId="1" hidden="1">'S01.C02'!$C$9:$G$109</definedName>
    <definedName name="_xlnm._FilterDatabase" localSheetId="2" hidden="1">'S01.C03'!$C$11:$G$120</definedName>
    <definedName name="_xlnm.Print_Area" localSheetId="0">'S01.C01'!$B$2:$Q$74</definedName>
    <definedName name="_xlnm.Print_Area" localSheetId="1">'S01.C02'!$B$2:$K$110</definedName>
    <definedName name="_xlnm.Print_Area" localSheetId="2">'S01.C03'!$B$2:$K$121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TI_2" localSheetId="0">#REF!</definedName>
    <definedName name="OTI_2" localSheetId="1">#REF!</definedName>
    <definedName name="OTI_2" localSheetId="2">#REF!</definedName>
    <definedName name="OTI_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8" i="3" l="1"/>
  <c r="I44" i="3"/>
  <c r="F44" i="3"/>
  <c r="D107" i="2" l="1"/>
  <c r="E107" i="2"/>
  <c r="F108" i="2"/>
  <c r="F93" i="2"/>
  <c r="F80" i="2"/>
  <c r="E36" i="1"/>
  <c r="F36" i="1"/>
  <c r="G36" i="1"/>
  <c r="H36" i="1"/>
  <c r="I36" i="1"/>
  <c r="J36" i="1"/>
  <c r="K36" i="1"/>
  <c r="L36" i="1"/>
  <c r="M36" i="1"/>
  <c r="N36" i="1"/>
  <c r="O36" i="1"/>
  <c r="P36" i="1"/>
  <c r="D36" i="1"/>
  <c r="F107" i="2" l="1"/>
  <c r="F73" i="3" l="1"/>
  <c r="L59" i="1" l="1"/>
  <c r="I69" i="2"/>
  <c r="H107" i="2" l="1"/>
  <c r="J108" i="2" s="1"/>
  <c r="G107" i="2"/>
  <c r="I59" i="1"/>
  <c r="I87" i="2" l="1"/>
  <c r="F25" i="2"/>
  <c r="I105" i="3"/>
  <c r="F74" i="3"/>
  <c r="I74" i="3"/>
  <c r="D45" i="3"/>
  <c r="E45" i="3"/>
  <c r="F45" i="3" s="1"/>
  <c r="I96" i="2"/>
  <c r="I95" i="2"/>
  <c r="I94" i="2"/>
  <c r="I93" i="2"/>
  <c r="I92" i="2"/>
  <c r="F96" i="2"/>
  <c r="F92" i="2"/>
  <c r="Q36" i="1"/>
  <c r="I119" i="3"/>
  <c r="F119" i="3"/>
  <c r="H118" i="3"/>
  <c r="J119" i="3" s="1"/>
  <c r="J118" i="3" s="1"/>
  <c r="G118" i="3"/>
  <c r="E118" i="3"/>
  <c r="D118" i="3"/>
  <c r="I117" i="3"/>
  <c r="F117" i="3"/>
  <c r="I116" i="3"/>
  <c r="F116" i="3"/>
  <c r="I115" i="3"/>
  <c r="F115" i="3"/>
  <c r="H114" i="3"/>
  <c r="J117" i="3" s="1"/>
  <c r="G114" i="3"/>
  <c r="E114" i="3"/>
  <c r="D114" i="3"/>
  <c r="I113" i="3"/>
  <c r="F113" i="3"/>
  <c r="I112" i="3"/>
  <c r="F112" i="3"/>
  <c r="H111" i="3"/>
  <c r="J113" i="3" s="1"/>
  <c r="G111" i="3"/>
  <c r="E111" i="3"/>
  <c r="D111" i="3"/>
  <c r="I110" i="3"/>
  <c r="F110" i="3"/>
  <c r="I109" i="3"/>
  <c r="F109" i="3"/>
  <c r="I108" i="3"/>
  <c r="F108" i="3"/>
  <c r="H107" i="3"/>
  <c r="J110" i="3" s="1"/>
  <c r="G107" i="3"/>
  <c r="E107" i="3"/>
  <c r="D107" i="3"/>
  <c r="I106" i="3"/>
  <c r="F106" i="3"/>
  <c r="I104" i="3"/>
  <c r="F104" i="3"/>
  <c r="I103" i="3"/>
  <c r="F103" i="3"/>
  <c r="I102" i="3"/>
  <c r="F102" i="3"/>
  <c r="I101" i="3"/>
  <c r="F101" i="3"/>
  <c r="H100" i="3"/>
  <c r="J105" i="3" s="1"/>
  <c r="G100" i="3"/>
  <c r="E100" i="3"/>
  <c r="D100" i="3"/>
  <c r="I99" i="3"/>
  <c r="F99" i="3"/>
  <c r="I98" i="3"/>
  <c r="I97" i="3"/>
  <c r="F97" i="3"/>
  <c r="I96" i="3"/>
  <c r="F96" i="3"/>
  <c r="I95" i="3"/>
  <c r="F95" i="3"/>
  <c r="H94" i="3"/>
  <c r="J98" i="3" s="1"/>
  <c r="G94" i="3"/>
  <c r="E94" i="3"/>
  <c r="D94" i="3"/>
  <c r="I93" i="3"/>
  <c r="F93" i="3"/>
  <c r="H92" i="3"/>
  <c r="J93" i="3" s="1"/>
  <c r="J92" i="3" s="1"/>
  <c r="G92" i="3"/>
  <c r="E92" i="3"/>
  <c r="D92" i="3"/>
  <c r="I91" i="3"/>
  <c r="F91" i="3"/>
  <c r="H90" i="3"/>
  <c r="G90" i="3"/>
  <c r="E90" i="3"/>
  <c r="D90" i="3"/>
  <c r="I88" i="3"/>
  <c r="F88" i="3"/>
  <c r="I87" i="3"/>
  <c r="I86" i="3"/>
  <c r="F86" i="3"/>
  <c r="I85" i="3"/>
  <c r="F85" i="3"/>
  <c r="I84" i="3"/>
  <c r="F84" i="3"/>
  <c r="I83" i="3"/>
  <c r="F83" i="3"/>
  <c r="I82" i="3"/>
  <c r="F82" i="3"/>
  <c r="I81" i="3"/>
  <c r="F81" i="3"/>
  <c r="I80" i="3"/>
  <c r="F80" i="3"/>
  <c r="I79" i="3"/>
  <c r="F79" i="3"/>
  <c r="I78" i="3"/>
  <c r="F78" i="3"/>
  <c r="H77" i="3"/>
  <c r="J85" i="3" s="1"/>
  <c r="G77" i="3"/>
  <c r="E77" i="3"/>
  <c r="D77" i="3"/>
  <c r="I73" i="3"/>
  <c r="I72" i="3"/>
  <c r="F72" i="3"/>
  <c r="I71" i="3"/>
  <c r="F71" i="3"/>
  <c r="I70" i="3"/>
  <c r="F70" i="3"/>
  <c r="I69" i="3"/>
  <c r="F69" i="3"/>
  <c r="I68" i="3"/>
  <c r="F68" i="3"/>
  <c r="I67" i="3"/>
  <c r="F67" i="3"/>
  <c r="I66" i="3"/>
  <c r="F66" i="3"/>
  <c r="I65" i="3"/>
  <c r="F65" i="3"/>
  <c r="I64" i="3"/>
  <c r="F64" i="3"/>
  <c r="I63" i="3"/>
  <c r="F63" i="3"/>
  <c r="I62" i="3"/>
  <c r="F62" i="3"/>
  <c r="I61" i="3"/>
  <c r="F61" i="3"/>
  <c r="I60" i="3"/>
  <c r="F60" i="3"/>
  <c r="I59" i="3"/>
  <c r="F59" i="3"/>
  <c r="H58" i="3"/>
  <c r="J68" i="3" s="1"/>
  <c r="G58" i="3"/>
  <c r="E58" i="3"/>
  <c r="D58" i="3"/>
  <c r="I57" i="3"/>
  <c r="F57" i="3"/>
  <c r="I55" i="3"/>
  <c r="I54" i="3"/>
  <c r="F54" i="3"/>
  <c r="I53" i="3"/>
  <c r="F53" i="3"/>
  <c r="I52" i="3"/>
  <c r="F52" i="3"/>
  <c r="I51" i="3"/>
  <c r="F51" i="3"/>
  <c r="I50" i="3"/>
  <c r="F50" i="3"/>
  <c r="I49" i="3"/>
  <c r="F49" i="3"/>
  <c r="I48" i="3"/>
  <c r="F48" i="3"/>
  <c r="I47" i="3"/>
  <c r="F47" i="3"/>
  <c r="I46" i="3"/>
  <c r="F46" i="3"/>
  <c r="H45" i="3"/>
  <c r="J57" i="3" s="1"/>
  <c r="G45" i="3"/>
  <c r="I42" i="3"/>
  <c r="F42" i="3"/>
  <c r="I41" i="3"/>
  <c r="F41" i="3"/>
  <c r="I40" i="3"/>
  <c r="F40" i="3"/>
  <c r="I39" i="3"/>
  <c r="F39" i="3"/>
  <c r="I38" i="3"/>
  <c r="F38" i="3"/>
  <c r="I37" i="3"/>
  <c r="F37" i="3"/>
  <c r="I36" i="3"/>
  <c r="F36" i="3"/>
  <c r="I35" i="3"/>
  <c r="F35" i="3"/>
  <c r="I34" i="3"/>
  <c r="F34" i="3"/>
  <c r="I33" i="3"/>
  <c r="F33" i="3"/>
  <c r="I32" i="3"/>
  <c r="F32" i="3"/>
  <c r="I31" i="3"/>
  <c r="F31" i="3"/>
  <c r="I30" i="3"/>
  <c r="F30" i="3"/>
  <c r="I29" i="3"/>
  <c r="F29" i="3"/>
  <c r="I28" i="3"/>
  <c r="F28" i="3"/>
  <c r="H27" i="3"/>
  <c r="J37" i="3" s="1"/>
  <c r="G27" i="3"/>
  <c r="E27" i="3"/>
  <c r="D27" i="3"/>
  <c r="I26" i="3"/>
  <c r="F26" i="3"/>
  <c r="I25" i="3"/>
  <c r="I24" i="3"/>
  <c r="F24" i="3"/>
  <c r="I23" i="3"/>
  <c r="F23" i="3"/>
  <c r="I22" i="3"/>
  <c r="F22" i="3"/>
  <c r="I21" i="3"/>
  <c r="F21" i="3"/>
  <c r="I20" i="3"/>
  <c r="F20" i="3"/>
  <c r="I19" i="3"/>
  <c r="F19" i="3"/>
  <c r="I18" i="3"/>
  <c r="F18" i="3"/>
  <c r="I17" i="3"/>
  <c r="F17" i="3"/>
  <c r="I16" i="3"/>
  <c r="F16" i="3"/>
  <c r="I15" i="3"/>
  <c r="F15" i="3"/>
  <c r="I14" i="3"/>
  <c r="F14" i="3"/>
  <c r="I13" i="3"/>
  <c r="F13" i="3"/>
  <c r="I12" i="3"/>
  <c r="F12" i="3"/>
  <c r="H11" i="3"/>
  <c r="J21" i="3" s="1"/>
  <c r="G11" i="3"/>
  <c r="E11" i="3"/>
  <c r="D11" i="3"/>
  <c r="I108" i="2"/>
  <c r="I106" i="2"/>
  <c r="F106" i="2"/>
  <c r="I105" i="2"/>
  <c r="F105" i="2"/>
  <c r="I104" i="2"/>
  <c r="F104" i="2"/>
  <c r="I103" i="2"/>
  <c r="F103" i="2"/>
  <c r="H102" i="2"/>
  <c r="J106" i="2" s="1"/>
  <c r="G102" i="2"/>
  <c r="E102" i="2"/>
  <c r="D102" i="2"/>
  <c r="I101" i="2"/>
  <c r="F101" i="2"/>
  <c r="I100" i="2"/>
  <c r="F100" i="2"/>
  <c r="I99" i="2"/>
  <c r="F99" i="2"/>
  <c r="H98" i="2"/>
  <c r="J101" i="2" s="1"/>
  <c r="G98" i="2"/>
  <c r="E98" i="2"/>
  <c r="D98" i="2"/>
  <c r="H91" i="2"/>
  <c r="J96" i="2" s="1"/>
  <c r="G91" i="2"/>
  <c r="I91" i="2" s="1"/>
  <c r="E91" i="2"/>
  <c r="D91" i="2"/>
  <c r="I89" i="2"/>
  <c r="I88" i="2"/>
  <c r="F88" i="2"/>
  <c r="I86" i="2"/>
  <c r="F86" i="2"/>
  <c r="I85" i="2"/>
  <c r="F85" i="2"/>
  <c r="I84" i="2"/>
  <c r="F84" i="2"/>
  <c r="I83" i="2"/>
  <c r="F83" i="2"/>
  <c r="H82" i="2"/>
  <c r="J87" i="2" s="1"/>
  <c r="G82" i="2"/>
  <c r="E82" i="2"/>
  <c r="D82" i="2"/>
  <c r="I81" i="2"/>
  <c r="F81" i="2"/>
  <c r="I80" i="2"/>
  <c r="I79" i="2"/>
  <c r="F79" i="2"/>
  <c r="I78" i="2"/>
  <c r="F78" i="2"/>
  <c r="I77" i="2"/>
  <c r="F77" i="2"/>
  <c r="H76" i="2"/>
  <c r="J78" i="2" s="1"/>
  <c r="G76" i="2"/>
  <c r="E76" i="2"/>
  <c r="D76" i="2"/>
  <c r="I75" i="2"/>
  <c r="F75" i="2"/>
  <c r="H74" i="2"/>
  <c r="J75" i="2" s="1"/>
  <c r="J74" i="2" s="1"/>
  <c r="G74" i="2"/>
  <c r="E74" i="2"/>
  <c r="D74" i="2"/>
  <c r="I73" i="2"/>
  <c r="F73" i="2"/>
  <c r="I72" i="2"/>
  <c r="F72" i="2"/>
  <c r="H71" i="2"/>
  <c r="J73" i="2" s="1"/>
  <c r="G71" i="2"/>
  <c r="E71" i="2"/>
  <c r="D71" i="2"/>
  <c r="I70" i="2"/>
  <c r="F70" i="2"/>
  <c r="F69" i="2"/>
  <c r="I68" i="2"/>
  <c r="F68" i="2"/>
  <c r="I67" i="2"/>
  <c r="F67" i="2"/>
  <c r="I66" i="2"/>
  <c r="F66" i="2"/>
  <c r="I65" i="2"/>
  <c r="F65" i="2"/>
  <c r="I64" i="2"/>
  <c r="F64" i="2"/>
  <c r="I63" i="2"/>
  <c r="F63" i="2"/>
  <c r="I62" i="2"/>
  <c r="F62" i="2"/>
  <c r="I61" i="2"/>
  <c r="F61" i="2"/>
  <c r="I60" i="2"/>
  <c r="F60" i="2"/>
  <c r="H59" i="2"/>
  <c r="J61" i="2" s="1"/>
  <c r="G59" i="2"/>
  <c r="E59" i="2"/>
  <c r="D59" i="2"/>
  <c r="I58" i="2"/>
  <c r="F58" i="2"/>
  <c r="I57" i="2"/>
  <c r="F57" i="2"/>
  <c r="I56" i="2"/>
  <c r="F56" i="2"/>
  <c r="I55" i="2"/>
  <c r="F55" i="2"/>
  <c r="I54" i="2"/>
  <c r="F54" i="2"/>
  <c r="I53" i="2"/>
  <c r="F53" i="2"/>
  <c r="I52" i="2"/>
  <c r="F52" i="2"/>
  <c r="I51" i="2"/>
  <c r="F51" i="2"/>
  <c r="I50" i="2"/>
  <c r="F50" i="2"/>
  <c r="I49" i="2"/>
  <c r="F49" i="2"/>
  <c r="I48" i="2"/>
  <c r="F48" i="2"/>
  <c r="H47" i="2"/>
  <c r="J57" i="2" s="1"/>
  <c r="G47" i="2"/>
  <c r="E47" i="2"/>
  <c r="D47" i="2"/>
  <c r="I46" i="2"/>
  <c r="F46" i="2"/>
  <c r="I45" i="2"/>
  <c r="F45" i="2"/>
  <c r="I44" i="2"/>
  <c r="F44" i="2"/>
  <c r="I43" i="2"/>
  <c r="F43" i="2"/>
  <c r="I42" i="2"/>
  <c r="F42" i="2"/>
  <c r="I41" i="2"/>
  <c r="F41" i="2"/>
  <c r="I40" i="2"/>
  <c r="F40" i="2"/>
  <c r="I39" i="2"/>
  <c r="F39" i="2"/>
  <c r="I38" i="2"/>
  <c r="F38" i="2"/>
  <c r="I37" i="2"/>
  <c r="F37" i="2"/>
  <c r="I36" i="2"/>
  <c r="F36" i="2"/>
  <c r="H35" i="2"/>
  <c r="J37" i="2" s="1"/>
  <c r="G35" i="2"/>
  <c r="E35" i="2"/>
  <c r="D35" i="2"/>
  <c r="I34" i="2"/>
  <c r="F34" i="2"/>
  <c r="I33" i="2"/>
  <c r="F33" i="2"/>
  <c r="I32" i="2"/>
  <c r="F32" i="2"/>
  <c r="I31" i="2"/>
  <c r="F31" i="2"/>
  <c r="I30" i="2"/>
  <c r="F30" i="2"/>
  <c r="I29" i="2"/>
  <c r="F29" i="2"/>
  <c r="I28" i="2"/>
  <c r="F28" i="2"/>
  <c r="I27" i="2"/>
  <c r="F27" i="2"/>
  <c r="I26" i="2"/>
  <c r="F26" i="2"/>
  <c r="I25" i="2"/>
  <c r="I24" i="2"/>
  <c r="F24" i="2"/>
  <c r="H23" i="2"/>
  <c r="J28" i="2" s="1"/>
  <c r="G23" i="2"/>
  <c r="E23" i="2"/>
  <c r="D23" i="2"/>
  <c r="I22" i="2"/>
  <c r="F22" i="2"/>
  <c r="I21" i="2"/>
  <c r="F21" i="2"/>
  <c r="I20" i="2"/>
  <c r="F20" i="2"/>
  <c r="I19" i="2"/>
  <c r="F19" i="2"/>
  <c r="I18" i="2"/>
  <c r="F18" i="2"/>
  <c r="I17" i="2"/>
  <c r="F17" i="2"/>
  <c r="I16" i="2"/>
  <c r="F16" i="2"/>
  <c r="I15" i="2"/>
  <c r="F15" i="2"/>
  <c r="I14" i="2"/>
  <c r="F14" i="2"/>
  <c r="I13" i="2"/>
  <c r="F13" i="2"/>
  <c r="I12" i="2"/>
  <c r="F12" i="2"/>
  <c r="H11" i="2"/>
  <c r="J12" i="2" s="1"/>
  <c r="G11" i="2"/>
  <c r="I11" i="2" s="1"/>
  <c r="E11" i="2"/>
  <c r="D11" i="2"/>
  <c r="P59" i="1"/>
  <c r="O59" i="1"/>
  <c r="N59" i="1"/>
  <c r="M59" i="1"/>
  <c r="K59" i="1"/>
  <c r="J59" i="1"/>
  <c r="H59" i="1"/>
  <c r="G59" i="1"/>
  <c r="F59" i="1"/>
  <c r="E59" i="1"/>
  <c r="D59" i="1"/>
  <c r="P54" i="1"/>
  <c r="O54" i="1"/>
  <c r="N54" i="1"/>
  <c r="M54" i="1"/>
  <c r="L54" i="1"/>
  <c r="K54" i="1"/>
  <c r="J54" i="1"/>
  <c r="I54" i="1"/>
  <c r="H54" i="1"/>
  <c r="G54" i="1"/>
  <c r="F54" i="1"/>
  <c r="E54" i="1"/>
  <c r="D54" i="1"/>
  <c r="P49" i="1"/>
  <c r="O49" i="1"/>
  <c r="N49" i="1"/>
  <c r="M49" i="1"/>
  <c r="L49" i="1"/>
  <c r="K49" i="1"/>
  <c r="J49" i="1"/>
  <c r="I49" i="1"/>
  <c r="H49" i="1"/>
  <c r="G49" i="1"/>
  <c r="F49" i="1"/>
  <c r="E49" i="1"/>
  <c r="D49" i="1"/>
  <c r="Q35" i="1"/>
  <c r="Q34" i="1"/>
  <c r="Q33" i="1"/>
  <c r="Q32" i="1"/>
  <c r="Q31" i="1"/>
  <c r="Q30" i="1"/>
  <c r="Q29" i="1"/>
  <c r="Q28" i="1"/>
  <c r="Q27" i="1"/>
  <c r="Q26" i="1"/>
  <c r="Q25" i="1"/>
  <c r="Q24" i="1"/>
  <c r="Q23" i="1"/>
  <c r="Q22" i="1"/>
  <c r="I45" i="3" l="1"/>
  <c r="I98" i="2"/>
  <c r="J43" i="2"/>
  <c r="J103" i="2"/>
  <c r="J65" i="3"/>
  <c r="J75" i="3"/>
  <c r="I58" i="3"/>
  <c r="J74" i="3"/>
  <c r="J43" i="3"/>
  <c r="J39" i="2"/>
  <c r="J62" i="2"/>
  <c r="J53" i="2"/>
  <c r="J18" i="2"/>
  <c r="F100" i="3"/>
  <c r="I92" i="3"/>
  <c r="F90" i="3"/>
  <c r="F58" i="3"/>
  <c r="J50" i="3"/>
  <c r="F111" i="3"/>
  <c r="J51" i="3"/>
  <c r="J87" i="3"/>
  <c r="J52" i="3"/>
  <c r="I118" i="3"/>
  <c r="J46" i="3"/>
  <c r="J69" i="3"/>
  <c r="I27" i="3"/>
  <c r="J80" i="3"/>
  <c r="I90" i="3"/>
  <c r="F77" i="3"/>
  <c r="F94" i="3"/>
  <c r="J53" i="3"/>
  <c r="J70" i="3"/>
  <c r="J59" i="3"/>
  <c r="F118" i="3"/>
  <c r="J47" i="3"/>
  <c r="J54" i="3"/>
  <c r="J63" i="3"/>
  <c r="J91" i="3"/>
  <c r="J90" i="3" s="1"/>
  <c r="J48" i="3"/>
  <c r="J55" i="3"/>
  <c r="F114" i="3"/>
  <c r="F92" i="3"/>
  <c r="F107" i="3"/>
  <c r="J64" i="3"/>
  <c r="J49" i="3"/>
  <c r="I102" i="2"/>
  <c r="F102" i="2"/>
  <c r="J99" i="2"/>
  <c r="F98" i="2"/>
  <c r="F82" i="2"/>
  <c r="J79" i="2"/>
  <c r="J80" i="2"/>
  <c r="F74" i="2"/>
  <c r="J72" i="2"/>
  <c r="J71" i="2" s="1"/>
  <c r="J58" i="2"/>
  <c r="J38" i="2"/>
  <c r="F35" i="2"/>
  <c r="J30" i="2"/>
  <c r="F23" i="2"/>
  <c r="J15" i="2"/>
  <c r="J16" i="2"/>
  <c r="J13" i="3"/>
  <c r="I23" i="2"/>
  <c r="I47" i="2"/>
  <c r="J63" i="2"/>
  <c r="I107" i="2"/>
  <c r="J16" i="3"/>
  <c r="J23" i="3"/>
  <c r="J54" i="2"/>
  <c r="F76" i="2"/>
  <c r="J22" i="3"/>
  <c r="F71" i="2"/>
  <c r="J92" i="2"/>
  <c r="I94" i="3"/>
  <c r="I100" i="3"/>
  <c r="I114" i="3"/>
  <c r="F11" i="2"/>
  <c r="J24" i="2"/>
  <c r="J48" i="2"/>
  <c r="I71" i="2"/>
  <c r="J93" i="2"/>
  <c r="J81" i="3"/>
  <c r="J101" i="3"/>
  <c r="J49" i="2"/>
  <c r="J94" i="2"/>
  <c r="F11" i="3"/>
  <c r="J102" i="3"/>
  <c r="F47" i="2"/>
  <c r="J34" i="2"/>
  <c r="J17" i="3"/>
  <c r="J24" i="3"/>
  <c r="J19" i="2"/>
  <c r="J32" i="3"/>
  <c r="J18" i="3"/>
  <c r="I11" i="3"/>
  <c r="J103" i="3"/>
  <c r="J13" i="2"/>
  <c r="J20" i="2"/>
  <c r="F59" i="2"/>
  <c r="J44" i="3"/>
  <c r="J44" i="2"/>
  <c r="J67" i="2"/>
  <c r="J19" i="3"/>
  <c r="J26" i="3"/>
  <c r="J99" i="3"/>
  <c r="J25" i="3"/>
  <c r="J12" i="3"/>
  <c r="J14" i="2"/>
  <c r="J29" i="2"/>
  <c r="J52" i="2"/>
  <c r="F27" i="3"/>
  <c r="J68" i="2"/>
  <c r="I74" i="2"/>
  <c r="F91" i="2"/>
  <c r="J20" i="3"/>
  <c r="J86" i="3"/>
  <c r="J106" i="3"/>
  <c r="I107" i="3"/>
  <c r="J25" i="2"/>
  <c r="I76" i="2"/>
  <c r="J39" i="3"/>
  <c r="I77" i="3"/>
  <c r="J115" i="3"/>
  <c r="J21" i="2"/>
  <c r="I35" i="2"/>
  <c r="J40" i="2"/>
  <c r="I59" i="2"/>
  <c r="J64" i="2"/>
  <c r="J95" i="2"/>
  <c r="J100" i="2"/>
  <c r="J104" i="2"/>
  <c r="J107" i="2"/>
  <c r="J14" i="3"/>
  <c r="J34" i="3"/>
  <c r="J56" i="3"/>
  <c r="J60" i="3"/>
  <c r="J88" i="3"/>
  <c r="J81" i="2"/>
  <c r="J89" i="2"/>
  <c r="J28" i="3"/>
  <c r="J45" i="2"/>
  <c r="J95" i="3"/>
  <c r="J29" i="3"/>
  <c r="J71" i="3"/>
  <c r="J26" i="2"/>
  <c r="J46" i="2"/>
  <c r="J50" i="2"/>
  <c r="J70" i="2"/>
  <c r="J84" i="2"/>
  <c r="J40" i="3"/>
  <c r="J66" i="3"/>
  <c r="J83" i="3"/>
  <c r="J96" i="3"/>
  <c r="J108" i="3"/>
  <c r="J112" i="3"/>
  <c r="J111" i="3" s="1"/>
  <c r="J116" i="3"/>
  <c r="I111" i="3"/>
  <c r="J82" i="3"/>
  <c r="J55" i="2"/>
  <c r="J22" i="2"/>
  <c r="J41" i="2"/>
  <c r="J65" i="2"/>
  <c r="J77" i="2"/>
  <c r="J105" i="2"/>
  <c r="J15" i="3"/>
  <c r="J35" i="3"/>
  <c r="J61" i="3"/>
  <c r="J78" i="3"/>
  <c r="J83" i="2"/>
  <c r="J31" i="2"/>
  <c r="J89" i="3"/>
  <c r="J17" i="2"/>
  <c r="J32" i="2"/>
  <c r="J36" i="2"/>
  <c r="J56" i="2"/>
  <c r="J60" i="2"/>
  <c r="J30" i="3"/>
  <c r="J72" i="3"/>
  <c r="J104" i="3"/>
  <c r="J69" i="2"/>
  <c r="J27" i="2"/>
  <c r="J51" i="2"/>
  <c r="J85" i="2"/>
  <c r="J41" i="3"/>
  <c r="J67" i="3"/>
  <c r="J84" i="3"/>
  <c r="J97" i="3"/>
  <c r="J109" i="3"/>
  <c r="J88" i="2"/>
  <c r="J42" i="2"/>
  <c r="J66" i="2"/>
  <c r="J36" i="3"/>
  <c r="J62" i="3"/>
  <c r="J73" i="3"/>
  <c r="J79" i="3"/>
  <c r="I82" i="2"/>
  <c r="J33" i="3"/>
  <c r="J33" i="2"/>
  <c r="J31" i="3"/>
  <c r="J38" i="3"/>
  <c r="J86" i="2"/>
  <c r="J42" i="3"/>
  <c r="J98" i="2" l="1"/>
  <c r="J100" i="3"/>
  <c r="J45" i="3"/>
  <c r="J11" i="2"/>
  <c r="J11" i="3"/>
  <c r="J35" i="2"/>
  <c r="J91" i="2"/>
  <c r="J94" i="3"/>
  <c r="J82" i="2"/>
  <c r="J58" i="3"/>
  <c r="J27" i="3"/>
  <c r="J23" i="2"/>
  <c r="J107" i="3"/>
  <c r="J76" i="2"/>
  <c r="J114" i="3"/>
  <c r="J77" i="3"/>
  <c r="J47" i="2"/>
  <c r="J102" i="2"/>
  <c r="J59" i="2"/>
</calcChain>
</file>

<file path=xl/sharedStrings.xml><?xml version="1.0" encoding="utf-8"?>
<sst xmlns="http://schemas.openxmlformats.org/spreadsheetml/2006/main" count="402" uniqueCount="154">
  <si>
    <t>SECCIÓN N° 01: PRODUCCIÓN METÁLICA</t>
  </si>
  <si>
    <t>METALLIC MINERAL PRODUCTION</t>
  </si>
  <si>
    <t>CUADRO N° 01. VOLUMEN DE LA PRODUCCIÓN MINERA METÁLICA</t>
  </si>
  <si>
    <t>VOLUME OF METALLIC MINING PRODUCTION</t>
  </si>
  <si>
    <r>
      <t xml:space="preserve">PERIODO
</t>
    </r>
    <r>
      <rPr>
        <i/>
        <sz val="10"/>
        <color theme="1"/>
        <rFont val="Calibri Light"/>
        <family val="2"/>
        <scheme val="major"/>
      </rPr>
      <t>Period</t>
    </r>
  </si>
  <si>
    <r>
      <t xml:space="preserve">COBRE
</t>
    </r>
    <r>
      <rPr>
        <i/>
        <sz val="10"/>
        <color theme="1"/>
        <rFont val="Calibri Light"/>
        <family val="2"/>
        <scheme val="major"/>
      </rPr>
      <t>Copper</t>
    </r>
  </si>
  <si>
    <r>
      <t xml:space="preserve">ORO*
</t>
    </r>
    <r>
      <rPr>
        <i/>
        <sz val="10"/>
        <color theme="1"/>
        <rFont val="Calibri Light"/>
        <family val="2"/>
        <scheme val="major"/>
      </rPr>
      <t>Gold</t>
    </r>
  </si>
  <si>
    <r>
      <t xml:space="preserve">ZINC
</t>
    </r>
    <r>
      <rPr>
        <i/>
        <sz val="10"/>
        <color theme="1"/>
        <rFont val="Calibri Light"/>
        <family val="2"/>
        <scheme val="major"/>
      </rPr>
      <t>Zinc</t>
    </r>
  </si>
  <si>
    <r>
      <t xml:space="preserve">PLATA
</t>
    </r>
    <r>
      <rPr>
        <i/>
        <sz val="10"/>
        <color theme="1"/>
        <rFont val="Calibri Light"/>
        <family val="2"/>
        <scheme val="major"/>
      </rPr>
      <t>Silver</t>
    </r>
  </si>
  <si>
    <r>
      <t xml:space="preserve">PLOMO
</t>
    </r>
    <r>
      <rPr>
        <i/>
        <sz val="10"/>
        <color theme="1"/>
        <rFont val="Calibri Light"/>
        <family val="2"/>
        <scheme val="major"/>
      </rPr>
      <t>Lead</t>
    </r>
  </si>
  <si>
    <r>
      <t xml:space="preserve">HIERRO
</t>
    </r>
    <r>
      <rPr>
        <i/>
        <sz val="10"/>
        <color theme="1"/>
        <rFont val="Calibri Light"/>
        <family val="2"/>
        <scheme val="major"/>
      </rPr>
      <t>Iron</t>
    </r>
  </si>
  <si>
    <r>
      <t xml:space="preserve">ESTAÑO
</t>
    </r>
    <r>
      <rPr>
        <i/>
        <sz val="10"/>
        <color theme="1"/>
        <rFont val="Calibri Light"/>
        <family val="2"/>
        <scheme val="major"/>
      </rPr>
      <t>Tin</t>
    </r>
  </si>
  <si>
    <r>
      <t xml:space="preserve">MOLIBDENO
</t>
    </r>
    <r>
      <rPr>
        <i/>
        <sz val="10"/>
        <color theme="1"/>
        <rFont val="Calibri Light"/>
        <family val="2"/>
        <scheme val="major"/>
      </rPr>
      <t>Molybdenum</t>
    </r>
  </si>
  <si>
    <r>
      <t xml:space="preserve">ARSÉNICO
</t>
    </r>
    <r>
      <rPr>
        <i/>
        <sz val="10"/>
        <color theme="1"/>
        <rFont val="Calibri Light"/>
        <family val="2"/>
        <scheme val="major"/>
      </rPr>
      <t>Arsenic</t>
    </r>
  </si>
  <si>
    <r>
      <t xml:space="preserve">BISMUTO
</t>
    </r>
    <r>
      <rPr>
        <i/>
        <sz val="10"/>
        <color theme="1"/>
        <rFont val="Calibri Light"/>
        <family val="2"/>
        <scheme val="major"/>
      </rPr>
      <t>Bismuth</t>
    </r>
  </si>
  <si>
    <r>
      <t xml:space="preserve">CADMIO
</t>
    </r>
    <r>
      <rPr>
        <i/>
        <sz val="10"/>
        <color theme="1"/>
        <rFont val="Calibri Light"/>
        <family val="2"/>
        <scheme val="major"/>
      </rPr>
      <t>Cadmium</t>
    </r>
  </si>
  <si>
    <r>
      <t xml:space="preserve">MANGANESO
</t>
    </r>
    <r>
      <rPr>
        <i/>
        <sz val="10"/>
        <color theme="1"/>
        <rFont val="Calibri Light"/>
        <family val="2"/>
        <scheme val="major"/>
      </rPr>
      <t>Manganese</t>
    </r>
  </si>
  <si>
    <r>
      <t xml:space="preserve">MAGNESIO
</t>
    </r>
    <r>
      <rPr>
        <i/>
        <sz val="10"/>
        <color theme="1"/>
        <rFont val="Calibri Light"/>
        <family val="2"/>
        <scheme val="major"/>
      </rPr>
      <t>Magnesium</t>
    </r>
  </si>
  <si>
    <r>
      <t xml:space="preserve">TMF
</t>
    </r>
    <r>
      <rPr>
        <i/>
        <sz val="8"/>
        <color rgb="FF000000"/>
        <rFont val="Calibri Light"/>
        <family val="2"/>
        <scheme val="major"/>
      </rPr>
      <t>FTM</t>
    </r>
  </si>
  <si>
    <r>
      <t xml:space="preserve">gf
</t>
    </r>
    <r>
      <rPr>
        <i/>
        <sz val="8"/>
        <color rgb="FF000000"/>
        <rFont val="Calibri Light"/>
        <family val="2"/>
        <scheme val="major"/>
      </rPr>
      <t>fg</t>
    </r>
  </si>
  <si>
    <r>
      <t xml:space="preserve">kgf
</t>
    </r>
    <r>
      <rPr>
        <i/>
        <sz val="8"/>
        <color rgb="FF000000"/>
        <rFont val="Calibri Light"/>
        <family val="2"/>
        <scheme val="major"/>
      </rPr>
      <t>fkg</t>
    </r>
  </si>
  <si>
    <t>N/D</t>
  </si>
  <si>
    <r>
      <t xml:space="preserve">Ene. / </t>
    </r>
    <r>
      <rPr>
        <i/>
        <sz val="10"/>
        <color rgb="FF000000"/>
        <rFont val="Calibri Light"/>
        <family val="2"/>
        <scheme val="major"/>
      </rPr>
      <t>Jan.</t>
    </r>
  </si>
  <si>
    <r>
      <t xml:space="preserve">Feb. / </t>
    </r>
    <r>
      <rPr>
        <i/>
        <sz val="10"/>
        <color rgb="FF000000"/>
        <rFont val="Calibri Light"/>
        <family val="2"/>
        <scheme val="major"/>
      </rPr>
      <t>Feb.</t>
    </r>
  </si>
  <si>
    <r>
      <t xml:space="preserve">Mar. / </t>
    </r>
    <r>
      <rPr>
        <i/>
        <sz val="10"/>
        <color rgb="FF000000"/>
        <rFont val="Calibri Light"/>
        <family val="2"/>
        <scheme val="major"/>
      </rPr>
      <t>Mar.</t>
    </r>
  </si>
  <si>
    <r>
      <t xml:space="preserve">Abr. / </t>
    </r>
    <r>
      <rPr>
        <i/>
        <sz val="10"/>
        <color rgb="FF000000"/>
        <rFont val="Calibri Light"/>
        <family val="2"/>
        <scheme val="major"/>
      </rPr>
      <t>Apr.</t>
    </r>
  </si>
  <si>
    <t>Var. %</t>
  </si>
  <si>
    <r>
      <t>VARIACIÓN RESPECTO AL MES ANTERIOR /</t>
    </r>
    <r>
      <rPr>
        <i/>
        <sz val="10"/>
        <color rgb="FF000000"/>
        <rFont val="Calibri Light"/>
        <family val="2"/>
        <scheme val="major"/>
      </rPr>
      <t xml:space="preserve"> </t>
    </r>
    <r>
      <rPr>
        <i/>
        <sz val="8"/>
        <color rgb="FF000000"/>
        <rFont val="Calibri Light"/>
        <family val="2"/>
        <scheme val="major"/>
      </rPr>
      <t>VARIATION COMPARED TO THE PREVIOUS MONTH</t>
    </r>
  </si>
  <si>
    <r>
      <t xml:space="preserve">TMF :  Toneladas Métricas Finas / </t>
    </r>
    <r>
      <rPr>
        <i/>
        <sz val="10"/>
        <color rgb="FF000000"/>
        <rFont val="Calibri Light"/>
        <family val="2"/>
        <scheme val="major"/>
      </rPr>
      <t>FMT : Fine metric tons</t>
    </r>
    <r>
      <rPr>
        <sz val="10"/>
        <color rgb="FF000000"/>
        <rFont val="Calibri Light"/>
        <family val="2"/>
        <scheme val="major"/>
      </rPr>
      <t xml:space="preserve">
gf :  Gramos finos / </t>
    </r>
    <r>
      <rPr>
        <i/>
        <sz val="10"/>
        <color rgb="FF000000"/>
        <rFont val="Calibri Light"/>
        <family val="2"/>
        <scheme val="major"/>
      </rPr>
      <t>fg : Fine grams
kgf :  Kilogramos finos / fkg : Fine kilograms</t>
    </r>
  </si>
  <si>
    <r>
      <t xml:space="preserve">EVOLUCIÓN ANUAL DE LA PRODUCCIÓN DE COBRE / </t>
    </r>
    <r>
      <rPr>
        <i/>
        <sz val="8"/>
        <color rgb="FF000000"/>
        <rFont val="Calibri Light"/>
        <family val="2"/>
        <scheme val="major"/>
      </rPr>
      <t>ANNUAL EVOLUTION OF COPPER PRODUCTION</t>
    </r>
    <r>
      <rPr>
        <b/>
        <sz val="10"/>
        <color indexed="8"/>
        <rFont val="Calibri Light"/>
        <family val="2"/>
        <scheme val="major"/>
      </rPr>
      <t xml:space="preserve">
(MILES DE TMF) / </t>
    </r>
    <r>
      <rPr>
        <i/>
        <sz val="8"/>
        <color rgb="FF000000"/>
        <rFont val="Calibri Light"/>
        <family val="2"/>
        <scheme val="major"/>
      </rPr>
      <t>Thousands of FMT</t>
    </r>
  </si>
  <si>
    <t>CUADRO N° 02: PRODUCCIÓN MINERA METÁLICA SEGÚN EMPRESA</t>
  </si>
  <si>
    <t>METALLIC MINING PRODUCTION BY COMPANY</t>
  </si>
  <si>
    <r>
      <t xml:space="preserve">PRODUCTO / EMPRESA
</t>
    </r>
    <r>
      <rPr>
        <i/>
        <sz val="8"/>
        <color theme="1"/>
        <rFont val="Calibri Light"/>
        <family val="2"/>
        <scheme val="major"/>
      </rPr>
      <t>PRODUCT / COMPANY</t>
    </r>
  </si>
  <si>
    <t>Part. %</t>
  </si>
  <si>
    <r>
      <rPr>
        <b/>
        <sz val="10"/>
        <color theme="1"/>
        <rFont val="Calibri Light"/>
        <family val="2"/>
        <scheme val="major"/>
      </rPr>
      <t>COBRE (TMF)</t>
    </r>
    <r>
      <rPr>
        <sz val="10"/>
        <color theme="1"/>
        <rFont val="Calibri Light"/>
        <family val="2"/>
        <scheme val="major"/>
      </rPr>
      <t xml:space="preserve"> / </t>
    </r>
    <r>
      <rPr>
        <i/>
        <sz val="9"/>
        <color theme="1"/>
        <rFont val="Calibri Light"/>
        <family val="2"/>
        <scheme val="major"/>
      </rPr>
      <t>Copper (FTM)</t>
    </r>
  </si>
  <si>
    <t>SOUTHERN PERU COPPER CORPORATION SUCURSAL DEL PERU</t>
  </si>
  <si>
    <t>MINERA LAS BAMBAS S.A.</t>
  </si>
  <si>
    <t>COMPAÑIA MINERA ANTAMINA S.A.</t>
  </si>
  <si>
    <t>ANGLO AMERICAN QUELLAVECO S.A.</t>
  </si>
  <si>
    <t>MINERA CHINALCO PERU S.A.</t>
  </si>
  <si>
    <t>COMPAÑIA MINERA ANTAPACCAY S.A.</t>
  </si>
  <si>
    <t>HUDBAY PERU S.A.C.</t>
  </si>
  <si>
    <t>SOCIEDAD MINERA EL BROCAL S.A.A.</t>
  </si>
  <si>
    <r>
      <rPr>
        <b/>
        <sz val="11"/>
        <color theme="1"/>
        <rFont val="Calibri Light"/>
        <family val="2"/>
        <scheme val="major"/>
      </rPr>
      <t>ORO** (g finos)</t>
    </r>
    <r>
      <rPr>
        <sz val="11"/>
        <color theme="1"/>
        <rFont val="Calibri Light"/>
        <family val="2"/>
        <scheme val="major"/>
      </rPr>
      <t xml:space="preserve"> / </t>
    </r>
    <r>
      <rPr>
        <i/>
        <sz val="9"/>
        <color theme="1"/>
        <rFont val="Calibri Light"/>
        <family val="2"/>
        <scheme val="major"/>
      </rPr>
      <t>Gold (fg)</t>
    </r>
  </si>
  <si>
    <t>MINERA YANACOCHA S.R.L.</t>
  </si>
  <si>
    <t>COMPAÑIA MINERA PODEROSA S.A.</t>
  </si>
  <si>
    <t>-</t>
  </si>
  <si>
    <t>CONSORCIO MINERO HORIZONTE S.R.L.</t>
  </si>
  <si>
    <t>MINERA AURIFERA RETAMAS S.A.</t>
  </si>
  <si>
    <t>MINERA BOROO MISQUICHILCA S.A.</t>
  </si>
  <si>
    <t>COMPAÑIA MINERA ARES S.A.C.</t>
  </si>
  <si>
    <t>PALTARUMI S.A.C.</t>
  </si>
  <si>
    <t>SHAHUINDO S.A.C.</t>
  </si>
  <si>
    <t>GOLD FIELDS LA CIMA S.A.</t>
  </si>
  <si>
    <t>MINERA VETA DORADA S.A.C.</t>
  </si>
  <si>
    <r>
      <t xml:space="preserve">ZINC (TMF) / </t>
    </r>
    <r>
      <rPr>
        <i/>
        <sz val="9"/>
        <color theme="1"/>
        <rFont val="Calibri Light"/>
        <family val="2"/>
        <scheme val="major"/>
      </rPr>
      <t>Zinc (FTM)</t>
    </r>
  </si>
  <si>
    <t>VOLCAN COMPAÑIA MINERA S.A.A.</t>
  </si>
  <si>
    <t>NEXA RESOURCES PERU S.A.A.</t>
  </si>
  <si>
    <t>NEXA RESOURCES EL PORVENIR S.A.C.</t>
  </si>
  <si>
    <t>MINERA SHOUXIN PERU S.A.</t>
  </si>
  <si>
    <t>COMPAÑIA MINERA CHUNGAR S.A.C.</t>
  </si>
  <si>
    <t>COMPAÑIA MINERA RAURA S.A.</t>
  </si>
  <si>
    <t>SOBREANDES S.A.C.</t>
  </si>
  <si>
    <t>CATALINA HUANCA SOCIEDAD MINERA S.A.C.</t>
  </si>
  <si>
    <r>
      <t>PLATA (kg finos) /</t>
    </r>
    <r>
      <rPr>
        <i/>
        <sz val="9"/>
        <color theme="1"/>
        <rFont val="Calibri Light"/>
        <family val="2"/>
        <scheme val="major"/>
      </rPr>
      <t xml:space="preserve"> Silver (fkg)</t>
    </r>
  </si>
  <si>
    <t>COMPAÑIA DE MINAS BUENAVENTURA S.A.A.</t>
  </si>
  <si>
    <t>EMPRESA ADMINISTRADORA CERRO S.A.C.</t>
  </si>
  <si>
    <t>MARCOBRE S.A.C.</t>
  </si>
  <si>
    <r>
      <t xml:space="preserve">PLOMO (TMF) / </t>
    </r>
    <r>
      <rPr>
        <i/>
        <sz val="9"/>
        <color theme="1"/>
        <rFont val="Calibri Light"/>
        <family val="2"/>
        <scheme val="major"/>
      </rPr>
      <t>Lead (FTM)</t>
    </r>
  </si>
  <si>
    <t>COMPAÑIA MINERA KOLPA S.A.</t>
  </si>
  <si>
    <t>PAN AMERICAN SILVER HUARON S.A.</t>
  </si>
  <si>
    <t>MINERA BATEAS S.A.C.</t>
  </si>
  <si>
    <t>COMPAÑIA MINERA LINCUNA S.A.</t>
  </si>
  <si>
    <r>
      <t xml:space="preserve">HIERRO (TMF) / </t>
    </r>
    <r>
      <rPr>
        <i/>
        <sz val="9"/>
        <color theme="1"/>
        <rFont val="Calibri Light"/>
        <family val="2"/>
        <scheme val="major"/>
      </rPr>
      <t>Iron (FTM)</t>
    </r>
  </si>
  <si>
    <t>SHOUGANG HIERRO PERU S.A.A.</t>
  </si>
  <si>
    <r>
      <t xml:space="preserve">ESTAÑO (TMF) / </t>
    </r>
    <r>
      <rPr>
        <i/>
        <sz val="9"/>
        <color theme="1"/>
        <rFont val="Calibri Light"/>
        <family val="2"/>
        <scheme val="major"/>
      </rPr>
      <t>Tin (FTM)</t>
    </r>
  </si>
  <si>
    <t>MINSUR S.A.</t>
  </si>
  <si>
    <r>
      <t xml:space="preserve">MOLIBDENO (TMF) / </t>
    </r>
    <r>
      <rPr>
        <i/>
        <sz val="9"/>
        <color theme="1"/>
        <rFont val="Calibri Light"/>
        <family val="2"/>
        <scheme val="major"/>
      </rPr>
      <t>Molybdenum (FTM)</t>
    </r>
  </si>
  <si>
    <t>SOCIEDAD MINERA CERRO VERDE S.A.A.</t>
  </si>
  <si>
    <r>
      <t>ARSÉNICO (TMF) /</t>
    </r>
    <r>
      <rPr>
        <i/>
        <sz val="9"/>
        <color theme="1"/>
        <rFont val="Calibri Light"/>
        <family val="2"/>
        <scheme val="major"/>
      </rPr>
      <t xml:space="preserve"> Arsenic (FTM)</t>
    </r>
  </si>
  <si>
    <t>CMC CRITICAL MINERALS CORPORATION S.A.C.</t>
  </si>
  <si>
    <t>+</t>
  </si>
  <si>
    <t>SOCIEDAD MINERA ANDEREAL S.A.C.</t>
  </si>
  <si>
    <t>GLORE PERU S.A.C</t>
  </si>
  <si>
    <t>EL PACIFICO DORADO S.A.C.</t>
  </si>
  <si>
    <r>
      <t xml:space="preserve">BISMUTO (TMF) / </t>
    </r>
    <r>
      <rPr>
        <i/>
        <sz val="9"/>
        <color theme="1"/>
        <rFont val="Calibri Light"/>
        <family val="2"/>
        <scheme val="major"/>
      </rPr>
      <t>Bismuth (FTM)</t>
    </r>
  </si>
  <si>
    <t>NORCOBRE S.A.C.</t>
  </si>
  <si>
    <t>NEXA RESOURCES ATACOCHA S.A.A.</t>
  </si>
  <si>
    <r>
      <t>CADMIO (TMF) /</t>
    </r>
    <r>
      <rPr>
        <i/>
        <sz val="9"/>
        <color theme="1"/>
        <rFont val="Calibri Light"/>
        <family val="2"/>
        <scheme val="major"/>
      </rPr>
      <t xml:space="preserve"> Cadmium (FTM)</t>
    </r>
  </si>
  <si>
    <r>
      <t xml:space="preserve">MANGANESO (TMF) / </t>
    </r>
    <r>
      <rPr>
        <i/>
        <sz val="9"/>
        <color theme="1"/>
        <rFont val="Calibri Light"/>
        <family val="2"/>
        <scheme val="major"/>
      </rPr>
      <t>Manganese (FTM)</t>
    </r>
  </si>
  <si>
    <r>
      <t>MAGNESIO (TMF) /</t>
    </r>
    <r>
      <rPr>
        <i/>
        <sz val="9"/>
        <color theme="1"/>
        <rFont val="Calibri Light"/>
        <family val="2"/>
        <scheme val="major"/>
      </rPr>
      <t xml:space="preserve"> Magnesium (FTM)</t>
    </r>
  </si>
  <si>
    <t>CUADRO N° 03: PRODUCCIÓN MINERA METÁLICA SEGÚN DEPARTAMENTO</t>
  </si>
  <si>
    <t>METALLIC MINING PRODUCTION BY REGION</t>
  </si>
  <si>
    <r>
      <t xml:space="preserve">PRODUCTO / DEPARTAMENTO
</t>
    </r>
    <r>
      <rPr>
        <i/>
        <sz val="8"/>
        <color theme="1"/>
        <rFont val="Calibri Light"/>
        <family val="2"/>
        <scheme val="major"/>
      </rPr>
      <t>PRODUCT / REGION</t>
    </r>
  </si>
  <si>
    <r>
      <t>COBRE (TMF) /</t>
    </r>
    <r>
      <rPr>
        <i/>
        <sz val="9"/>
        <rFont val="Calibri Light"/>
        <family val="2"/>
        <scheme val="major"/>
      </rPr>
      <t xml:space="preserve"> Copper (FTM)</t>
    </r>
  </si>
  <si>
    <t>MOQUEGUA</t>
  </si>
  <si>
    <t>APURÍMAC</t>
  </si>
  <si>
    <t>AREQUIPA</t>
  </si>
  <si>
    <t>ÁNCASH</t>
  </si>
  <si>
    <t>TACNA</t>
  </si>
  <si>
    <t>JUNÍN</t>
  </si>
  <si>
    <t>ICA</t>
  </si>
  <si>
    <t>CUSCO</t>
  </si>
  <si>
    <t>PASCO</t>
  </si>
  <si>
    <t>LIMA</t>
  </si>
  <si>
    <t>CAJAMARCA</t>
  </si>
  <si>
    <t>HUANCAVELICA</t>
  </si>
  <si>
    <t>HUÁNUCO</t>
  </si>
  <si>
    <t>PUNO</t>
  </si>
  <si>
    <t>AYACUCHO</t>
  </si>
  <si>
    <r>
      <t>ORO* (G FINOS) /</t>
    </r>
    <r>
      <rPr>
        <i/>
        <sz val="8"/>
        <rFont val="Calibri Light"/>
        <family val="2"/>
        <scheme val="major"/>
      </rPr>
      <t xml:space="preserve"> Gold (fg)</t>
    </r>
  </si>
  <si>
    <t>LA LIBERTAD</t>
  </si>
  <si>
    <t>MADRE DE DIOS</t>
  </si>
  <si>
    <t>PIURA</t>
  </si>
  <si>
    <r>
      <t>ZINC (TMF) /</t>
    </r>
    <r>
      <rPr>
        <i/>
        <sz val="8"/>
        <rFont val="Calibri Light"/>
        <family val="2"/>
        <scheme val="major"/>
      </rPr>
      <t xml:space="preserve"> Zinc (FTM)</t>
    </r>
  </si>
  <si>
    <r>
      <t>PLATA (KG FINOS) /</t>
    </r>
    <r>
      <rPr>
        <i/>
        <sz val="8"/>
        <rFont val="Calibri Light"/>
        <family val="2"/>
        <scheme val="major"/>
      </rPr>
      <t xml:space="preserve"> Silver (fkg)</t>
    </r>
  </si>
  <si>
    <r>
      <t>PLOMO (TMF) /</t>
    </r>
    <r>
      <rPr>
        <i/>
        <sz val="8"/>
        <rFont val="Calibri Light"/>
        <family val="2"/>
        <scheme val="major"/>
      </rPr>
      <t xml:space="preserve"> Lead (FTM)</t>
    </r>
  </si>
  <si>
    <r>
      <t>HIERRO (TMF) /</t>
    </r>
    <r>
      <rPr>
        <i/>
        <sz val="8"/>
        <rFont val="Calibri Light"/>
        <family val="2"/>
        <scheme val="major"/>
      </rPr>
      <t xml:space="preserve"> Iron (FTM)</t>
    </r>
  </si>
  <si>
    <r>
      <t xml:space="preserve">ESTAÑO (TMF) / </t>
    </r>
    <r>
      <rPr>
        <i/>
        <sz val="8"/>
        <rFont val="Calibri Light"/>
        <family val="2"/>
        <scheme val="major"/>
      </rPr>
      <t>Tin (FTM)</t>
    </r>
  </si>
  <si>
    <r>
      <t>MOLIBDENO (TMF) /</t>
    </r>
    <r>
      <rPr>
        <i/>
        <sz val="8"/>
        <rFont val="Calibri Light"/>
        <family val="2"/>
        <scheme val="major"/>
      </rPr>
      <t xml:space="preserve"> Molybdenum (FTM)</t>
    </r>
  </si>
  <si>
    <r>
      <t>ARSÉNICO (TMF) /</t>
    </r>
    <r>
      <rPr>
        <i/>
        <sz val="8"/>
        <rFont val="Calibri Light"/>
        <family val="2"/>
        <scheme val="major"/>
      </rPr>
      <t xml:space="preserve"> Arsenic (FTM)</t>
    </r>
  </si>
  <si>
    <r>
      <t>BISMUTO (TMF) /</t>
    </r>
    <r>
      <rPr>
        <i/>
        <sz val="8"/>
        <rFont val="Calibri Light"/>
        <family val="2"/>
        <scheme val="major"/>
      </rPr>
      <t xml:space="preserve"> Bismuth (FTM)</t>
    </r>
  </si>
  <si>
    <r>
      <t>CADMIO (TMF) /</t>
    </r>
    <r>
      <rPr>
        <i/>
        <sz val="8"/>
        <rFont val="Calibri Light"/>
        <family val="2"/>
        <scheme val="major"/>
      </rPr>
      <t xml:space="preserve"> Cadmium (FTM)</t>
    </r>
  </si>
  <si>
    <r>
      <t>MANGANESO (TMF) /</t>
    </r>
    <r>
      <rPr>
        <i/>
        <sz val="8"/>
        <rFont val="Calibri Light"/>
        <family val="2"/>
        <scheme val="major"/>
      </rPr>
      <t xml:space="preserve"> Manganese (FTM)</t>
    </r>
  </si>
  <si>
    <r>
      <t>MAGNESIO (TMF) /</t>
    </r>
    <r>
      <rPr>
        <sz val="8"/>
        <rFont val="Calibri Light"/>
        <family val="2"/>
        <scheme val="major"/>
      </rPr>
      <t xml:space="preserve"> Magnesium (FTM)</t>
    </r>
  </si>
  <si>
    <t>OTROS (2024: 3 titulares mineros, 2025: 3 titulares mineros)</t>
  </si>
  <si>
    <r>
      <t xml:space="preserve">May. / </t>
    </r>
    <r>
      <rPr>
        <i/>
        <sz val="10"/>
        <color theme="1"/>
        <rFont val="Calibri Light"/>
        <family val="2"/>
        <scheme val="major"/>
      </rPr>
      <t>May.</t>
    </r>
  </si>
  <si>
    <r>
      <t xml:space="preserve">Jun. / </t>
    </r>
    <r>
      <rPr>
        <i/>
        <sz val="10"/>
        <color rgb="FF000000"/>
        <rFont val="Calibri Light"/>
        <family val="2"/>
        <scheme val="major"/>
      </rPr>
      <t>Jun.</t>
    </r>
  </si>
  <si>
    <t>OTROS** (2024: 3 departamentos, 2025: 3 departamentos)</t>
  </si>
  <si>
    <r>
      <t xml:space="preserve">Ago. 2025
</t>
    </r>
    <r>
      <rPr>
        <i/>
        <sz val="8"/>
        <color rgb="FF000000"/>
        <rFont val="Calibri Light"/>
        <family val="2"/>
        <scheme val="major"/>
      </rPr>
      <t>(Aug. 2025)</t>
    </r>
  </si>
  <si>
    <t>Jul. / Jul.</t>
  </si>
  <si>
    <r>
      <t>Ago. /</t>
    </r>
    <r>
      <rPr>
        <i/>
        <sz val="10"/>
        <color rgb="FF000000"/>
        <rFont val="Calibri Light"/>
        <family val="2"/>
        <scheme val="major"/>
      </rPr>
      <t xml:space="preserve"> Aug.</t>
    </r>
  </si>
  <si>
    <r>
      <t>Set. 2024
(Set</t>
    </r>
    <r>
      <rPr>
        <i/>
        <sz val="8"/>
        <color rgb="FF000000"/>
        <rFont val="Calibri Light"/>
        <family val="2"/>
        <scheme val="major"/>
      </rPr>
      <t>. 2024)</t>
    </r>
  </si>
  <si>
    <r>
      <rPr>
        <u/>
        <sz val="10"/>
        <color theme="1"/>
        <rFont val="Calibri Light"/>
        <family val="2"/>
        <scheme val="major"/>
      </rPr>
      <t>Fuente</t>
    </r>
    <r>
      <rPr>
        <sz val="10"/>
        <color theme="1"/>
        <rFont val="Calibri Light"/>
        <family val="2"/>
        <scheme val="major"/>
      </rPr>
      <t xml:space="preserve">:  Dirección de Gestión Minera, DGM. / </t>
    </r>
    <r>
      <rPr>
        <i/>
        <u/>
        <sz val="10"/>
        <color theme="1"/>
        <rFont val="Calibri Light"/>
        <family val="2"/>
        <scheme val="major"/>
      </rPr>
      <t>Source</t>
    </r>
    <r>
      <rPr>
        <i/>
        <sz val="10"/>
        <color theme="1"/>
        <rFont val="Calibri Light"/>
        <family val="2"/>
        <scheme val="major"/>
      </rPr>
      <t>: Mining Management Directorate, MMD.</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28 de octubre de 2025. / </t>
    </r>
    <r>
      <rPr>
        <i/>
        <u/>
        <sz val="10"/>
        <color theme="1"/>
        <rFont val="Calibri Light"/>
        <family val="2"/>
        <scheme val="major"/>
      </rPr>
      <t>Date of consultation</t>
    </r>
    <r>
      <rPr>
        <i/>
        <sz val="10"/>
        <color theme="1"/>
        <rFont val="Calibri Light"/>
        <family val="2"/>
        <scheme val="major"/>
      </rPr>
      <t>: October 28,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General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GDPMS.</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</si>
  <si>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t xml:space="preserve">Set. 2025
</t>
    </r>
    <r>
      <rPr>
        <i/>
        <sz val="8"/>
        <color rgb="FF000000"/>
        <rFont val="Calibri Light"/>
        <family val="2"/>
        <scheme val="major"/>
      </rPr>
      <t>(Sept. 2025)</t>
    </r>
  </si>
  <si>
    <r>
      <t xml:space="preserve">Ene-Set 2024
</t>
    </r>
    <r>
      <rPr>
        <i/>
        <sz val="8"/>
        <color theme="1"/>
        <rFont val="Calibri Light"/>
        <family val="2"/>
        <scheme val="major"/>
      </rPr>
      <t>(Jan-Sept. 2024)</t>
    </r>
  </si>
  <si>
    <r>
      <t xml:space="preserve">Ene-Set 2025
</t>
    </r>
    <r>
      <rPr>
        <i/>
        <sz val="8"/>
        <color theme="1"/>
        <rFont val="Calibri Light"/>
        <family val="2"/>
        <scheme val="major"/>
      </rPr>
      <t>(Jan-Sept. 2025)</t>
    </r>
  </si>
  <si>
    <r>
      <t>Set. /</t>
    </r>
    <r>
      <rPr>
        <i/>
        <sz val="10"/>
        <color rgb="FF000000"/>
        <rFont val="Calibri Light"/>
        <family val="2"/>
        <scheme val="major"/>
      </rPr>
      <t xml:space="preserve"> Sept.</t>
    </r>
  </si>
  <si>
    <r>
      <t xml:space="preserve">2025
(Ene-Set)
</t>
    </r>
    <r>
      <rPr>
        <i/>
        <sz val="10"/>
        <color rgb="FF000000"/>
        <rFont val="Calibri Light"/>
        <family val="2"/>
        <scheme val="major"/>
      </rPr>
      <t>(Jan-Sept.)</t>
    </r>
  </si>
  <si>
    <r>
      <t xml:space="preserve">SETIEMBRE
</t>
    </r>
    <r>
      <rPr>
        <i/>
        <sz val="10"/>
        <color theme="1"/>
        <rFont val="Calibri Light"/>
        <family val="2"/>
        <scheme val="major"/>
      </rPr>
      <t>September</t>
    </r>
  </si>
  <si>
    <r>
      <t xml:space="preserve">ENERO - SETIEMBRE
</t>
    </r>
    <r>
      <rPr>
        <i/>
        <sz val="9"/>
        <color theme="1"/>
        <rFont val="Calibri Light"/>
        <family val="2"/>
        <scheme val="major"/>
      </rPr>
      <t>January -September</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</si>
  <si>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28 de octubre de 2025. / </t>
    </r>
    <r>
      <rPr>
        <i/>
        <u/>
        <sz val="10"/>
        <color theme="1"/>
        <rFont val="Calibri Light"/>
        <family val="2"/>
        <scheme val="major"/>
      </rPr>
      <t>Date of consultation</t>
    </r>
    <r>
      <rPr>
        <i/>
        <sz val="10"/>
        <color theme="1"/>
        <rFont val="Calibri Light"/>
        <family val="2"/>
        <scheme val="major"/>
      </rPr>
      <t>: October 28,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(*)Incluye producción cuprífera por proceso de flotación (TMF), lixiviación y electro-obtención (TM). / </t>
    </r>
    <r>
      <rPr>
        <i/>
        <sz val="10"/>
        <color theme="1"/>
        <rFont val="Calibri Light"/>
        <family val="2"/>
        <scheme val="major"/>
      </rPr>
      <t>(*) Includes copper production through flotation process (FMT), leaching, and electrowinning (MT).</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</si>
  <si>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28 de octubre de 2025. /</t>
    </r>
    <r>
      <rPr>
        <i/>
        <sz val="10"/>
        <color theme="1"/>
        <rFont val="Calibri Light"/>
        <family val="2"/>
        <scheme val="major"/>
      </rPr>
      <t xml:space="preserve"> </t>
    </r>
    <r>
      <rPr>
        <i/>
        <u/>
        <sz val="10"/>
        <color theme="1"/>
        <rFont val="Calibri Light"/>
        <family val="2"/>
        <scheme val="major"/>
      </rPr>
      <t>Date of consultation</t>
    </r>
    <r>
      <rPr>
        <i/>
        <sz val="10"/>
        <color theme="1"/>
        <rFont val="Calibri Light"/>
        <family val="2"/>
        <scheme val="major"/>
      </rPr>
      <t>: October 28,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Dirección de Promoción y Sostenibilidad Minera, DGPSM. /</t>
    </r>
    <r>
      <rPr>
        <i/>
        <sz val="10"/>
        <color theme="1"/>
        <rFont val="Calibri Light"/>
        <family val="2"/>
        <scheme val="major"/>
      </rPr>
      <t xml:space="preserve">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 Información preliminar. Incluye producción aurífera estimada de mineros artesanales de Madre de Dios, Puno, Piura y Arequipa. /</t>
    </r>
    <r>
      <rPr>
        <i/>
        <sz val="10"/>
        <color theme="1"/>
        <rFont val="Calibri Light"/>
        <family val="2"/>
        <scheme val="major"/>
      </rPr>
      <t xml:space="preserve"> (*) Preliminary information. Includes estimated gold production from artisanal miners in Madre de Dios, Puno, Piura, and Arequipa.</t>
    </r>
    <r>
      <rPr>
        <sz val="10"/>
        <color theme="1"/>
        <rFont val="Calibri Light"/>
        <family val="2"/>
        <scheme val="major"/>
      </rPr>
      <t xml:space="preserve">
(**) Contempla la producción metálica de molibdeno de los departamentos de Apurímac, Cusco y Junín (el titular Minera Chinalco Perú S.A. es el único que reporta molibdeno como subproducto dentro del proceso de flotación en planta para la obtención de cobre como su producto principal. Es importante mencionar que, para efectos estadísticos se está contemplando tanto la producción de producto principal como subproducto; no obstante, se precisa que Minera Chinalco Perú S.A no produce ni comercializa molibdeno). / </t>
    </r>
    <r>
      <rPr>
        <i/>
        <sz val="10"/>
        <color theme="1"/>
        <rFont val="Calibri Light"/>
        <family val="2"/>
        <scheme val="major"/>
      </rPr>
      <t>It considers the metallic molybdenum production from the departments of Apurímac, Cusco, and Junín (the titleholder Minera Chinalco Perú S.A. is the only company reporting molybdenum as a byproduct within the flotation plant process for obtaining copper as its main product. It is important to mention that, for statistical purposes, both main product and byproduct production are taken into account; however, it should be noted that Minera Chinalco Perú S.A. neither produces nor markets molybdenum).</t>
    </r>
  </si>
  <si>
    <r>
      <rPr>
        <u/>
        <sz val="10"/>
        <color rgb="FF000000"/>
        <rFont val="Calibri Light"/>
        <family val="2"/>
        <scheme val="major"/>
      </rPr>
      <t>Fuente</t>
    </r>
    <r>
      <rPr>
        <sz val="10"/>
        <color rgb="FF000000"/>
        <rFont val="Calibri Light"/>
        <family val="2"/>
        <scheme val="major"/>
      </rPr>
      <t xml:space="preserve">:  Dirección de Gestión Minera, DGM. / </t>
    </r>
    <r>
      <rPr>
        <i/>
        <u/>
        <sz val="10"/>
        <color rgb="FF000000"/>
        <rFont val="Calibri Light"/>
        <family val="2"/>
        <scheme val="major"/>
      </rPr>
      <t>Source</t>
    </r>
    <r>
      <rPr>
        <i/>
        <sz val="10"/>
        <color rgb="FF000000"/>
        <rFont val="Calibri Light"/>
        <family val="2"/>
        <scheme val="major"/>
      </rPr>
      <t>: General Directorate of Mining, DGM.</t>
    </r>
    <r>
      <rPr>
        <sz val="10"/>
        <color rgb="FF000000"/>
        <rFont val="Calibri Light"/>
        <family val="2"/>
        <scheme val="major"/>
      </rPr>
      <t xml:space="preserve">
</t>
    </r>
    <r>
      <rPr>
        <u/>
        <sz val="10"/>
        <color rgb="FF000000"/>
        <rFont val="Calibri Light"/>
        <family val="2"/>
        <scheme val="major"/>
      </rPr>
      <t>Fecha de consulta</t>
    </r>
    <r>
      <rPr>
        <sz val="10"/>
        <color rgb="FF000000"/>
        <rFont val="Calibri Light"/>
        <family val="2"/>
        <scheme val="major"/>
      </rPr>
      <t>: 28 de octubre de 2025. /</t>
    </r>
    <r>
      <rPr>
        <i/>
        <sz val="10"/>
        <color rgb="FF000000"/>
        <rFont val="Calibri Light"/>
        <family val="2"/>
        <scheme val="major"/>
      </rPr>
      <t xml:space="preserve"> </t>
    </r>
    <r>
      <rPr>
        <i/>
        <u/>
        <sz val="10"/>
        <color rgb="FF000000"/>
        <rFont val="Calibri Light"/>
        <family val="2"/>
        <scheme val="major"/>
      </rPr>
      <t>Date of consultation</t>
    </r>
    <r>
      <rPr>
        <i/>
        <sz val="10"/>
        <color rgb="FF000000"/>
        <rFont val="Calibri Light"/>
        <family val="2"/>
        <scheme val="major"/>
      </rPr>
      <t>: October 28, 2025.</t>
    </r>
    <r>
      <rPr>
        <sz val="10"/>
        <color rgb="FF000000"/>
        <rFont val="Calibri Light"/>
        <family val="2"/>
        <scheme val="major"/>
      </rPr>
      <t xml:space="preserve">
</t>
    </r>
    <r>
      <rPr>
        <u/>
        <sz val="10"/>
        <color rgb="FF000000"/>
        <rFont val="Calibri Light"/>
        <family val="2"/>
        <scheme val="major"/>
      </rPr>
      <t>Elaboración</t>
    </r>
    <r>
      <rPr>
        <sz val="10"/>
        <color rgb="FF000000"/>
        <rFont val="Calibri Light"/>
        <family val="2"/>
        <scheme val="major"/>
      </rPr>
      <t xml:space="preserve">: Dirección General de Promoción y Sostenibilidad Minera, DGPSM. / </t>
    </r>
    <r>
      <rPr>
        <i/>
        <u/>
        <sz val="10"/>
        <color rgb="FF000000"/>
        <rFont val="Calibri Light"/>
        <family val="2"/>
        <scheme val="major"/>
      </rPr>
      <t>Prepared by</t>
    </r>
    <r>
      <rPr>
        <i/>
        <sz val="10"/>
        <color rgb="FF000000"/>
        <rFont val="Calibri Light"/>
        <family val="2"/>
        <scheme val="major"/>
      </rPr>
      <t>: General Directorate of Mining Promotion and Sustainability, DGPSM.</t>
    </r>
    <r>
      <rPr>
        <sz val="10"/>
        <color rgb="FF000000"/>
        <rFont val="Calibri Light"/>
        <family val="2"/>
        <scheme val="major"/>
      </rPr>
      <t xml:space="preserve">
(*) Información preliminar. Incluye producción aurífera estimada de mineros artesanales de Madre de Dios, Puno, Piura y Arequipa. / </t>
    </r>
    <r>
      <rPr>
        <i/>
        <sz val="10"/>
        <color rgb="FF000000"/>
        <rFont val="Calibri Light"/>
        <family val="2"/>
        <scheme val="major"/>
      </rPr>
      <t>(*) Preliminary information. Includes estimated gold production from artisanal miners in Madre de Dios, Puno, Piura, and Arequipa.</t>
    </r>
    <r>
      <rPr>
        <sz val="10"/>
        <color rgb="FF000000"/>
        <rFont val="Calibri Light"/>
        <family val="2"/>
        <scheme val="major"/>
      </rPr>
      <t xml:space="preserve">
N/D: Información no disponible / </t>
    </r>
    <r>
      <rPr>
        <i/>
        <sz val="10"/>
        <color rgb="FF000000"/>
        <rFont val="Calibri Light"/>
        <family val="2"/>
        <scheme val="major"/>
      </rPr>
      <t>N/A: Information not available.</t>
    </r>
  </si>
  <si>
    <r>
      <t xml:space="preserve">VARIACIÓN INTERANUAL, SETIEMBRE / </t>
    </r>
    <r>
      <rPr>
        <i/>
        <sz val="8"/>
        <color rgb="FF000000"/>
        <rFont val="Calibri Light"/>
        <family val="2"/>
        <scheme val="major"/>
      </rPr>
      <t>YEAR-OVER-YEAR VARIATION, SEPTEMBER</t>
    </r>
  </si>
  <si>
    <r>
      <t xml:space="preserve">VARIACIÓN INTERANUAL ACUMULADA ENERO-SETIEMBRE / </t>
    </r>
    <r>
      <rPr>
        <sz val="8"/>
        <color rgb="FF000000"/>
        <rFont val="Calibri Light"/>
        <family val="2"/>
        <scheme val="major"/>
      </rPr>
      <t>CUMULATIVE YEAR-OVER-YEAR VARIATION, JANUARY–SEPTEMBER</t>
    </r>
  </si>
  <si>
    <r>
      <t xml:space="preserve">SETIEMBRE
</t>
    </r>
    <r>
      <rPr>
        <i/>
        <sz val="8"/>
        <color theme="1"/>
        <rFont val="Calibri Light"/>
        <family val="2"/>
        <scheme val="major"/>
      </rPr>
      <t>September</t>
    </r>
  </si>
  <si>
    <r>
      <t xml:space="preserve">ENERO - SETIEMBRE
</t>
    </r>
    <r>
      <rPr>
        <i/>
        <sz val="8"/>
        <color theme="1"/>
        <rFont val="Calibri Light"/>
        <family val="2"/>
        <scheme val="major"/>
      </rPr>
      <t>January - September</t>
    </r>
  </si>
  <si>
    <t>OTROS (2024: 50 titulares mineros, 2025: 45 titulares mineros)</t>
  </si>
  <si>
    <t>OTROS (2024: 261 titulares mineros, 2025: 269 titulares mineros)</t>
  </si>
  <si>
    <t>EMPRESA MINERA LOS QUENUALES S.A.</t>
  </si>
  <si>
    <t>OTROS (2024: 32 titulares mineros, 2025: 30 titulares mineros)</t>
  </si>
  <si>
    <t>OTROS (2024: 87 titulares mineros, 2025: 80 titulares mineros)</t>
  </si>
  <si>
    <t>OTROS (2024: 31 titulares mineros, 2025: 30 titulares mineros)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</si>
</sst>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_-* #,##0_-;\-* #,##0_-;_-* &quot;-&quot;??_-;_-@_-"/>
    <numFmt numFmtId="166" formatCode="0.0%"/>
    <numFmt numFmtId="167" formatCode="_ * #,##0.00_ ;_ * \-#,##0.00_ ;_ * &quot;-&quot;??_ ;_ @_ "/>
    <numFmt numFmtId="168" formatCode="_ * #,##0_ ;_ * \-#,##0_ ;_ * &quot;-&quot;??_ ;_ @_ "/>
    <numFmt numFmtId="169" formatCode="0.000%"/>
  </numFmts>
  <fonts count="38" x14ac:knownFonts="1">
    <font>
      <sz val="11"/>
      <color theme="1"/>
      <name val="Calibri"/>
      <family val="2"/>
      <scheme val="minor"/>
    </font>
    <font>
      <sz val="11"/>
      <color theme="1"/>
      <name val="Calibri"/>
      <family val="2"/>
      <scheme val="minor"/>
    </font>
    <font>
      <sz val="11"/>
      <color rgb="FF000000"/>
      <name val="Calibri"/>
      <family val="2"/>
    </font>
    <font>
      <b/>
      <sz val="12"/>
      <color rgb="FF000000"/>
      <name val="Calibri Light"/>
      <family val="2"/>
      <scheme val="major"/>
    </font>
    <font>
      <sz val="10"/>
      <color theme="1"/>
      <name val="Calibri Light"/>
      <family val="2"/>
      <scheme val="major"/>
    </font>
    <font>
      <i/>
      <sz val="9"/>
      <color rgb="FF000000"/>
      <name val="Calibri Light"/>
      <family val="2"/>
      <scheme val="major"/>
    </font>
    <font>
      <b/>
      <sz val="10"/>
      <color rgb="FF000000"/>
      <name val="Calibri Light"/>
      <family val="2"/>
      <scheme val="major"/>
    </font>
    <font>
      <sz val="10"/>
      <color rgb="FF000000"/>
      <name val="Calibri Light"/>
      <family val="2"/>
      <scheme val="major"/>
    </font>
    <font>
      <b/>
      <sz val="16"/>
      <color rgb="FF000000"/>
      <name val="Calibri Light"/>
      <family val="2"/>
      <scheme val="major"/>
    </font>
    <font>
      <sz val="10"/>
      <color theme="0"/>
      <name val="Calibri Light"/>
      <family val="2"/>
      <scheme val="major"/>
    </font>
    <font>
      <i/>
      <sz val="9"/>
      <color theme="1"/>
      <name val="Calibri Light"/>
      <family val="2"/>
      <scheme val="major"/>
    </font>
    <font>
      <b/>
      <sz val="10"/>
      <color theme="1"/>
      <name val="Calibri Light"/>
      <family val="2"/>
      <scheme val="major"/>
    </font>
    <font>
      <i/>
      <sz val="10"/>
      <color theme="1"/>
      <name val="Calibri Light"/>
      <family val="2"/>
      <scheme val="major"/>
    </font>
    <font>
      <i/>
      <sz val="8"/>
      <color rgb="FF000000"/>
      <name val="Calibri Light"/>
      <family val="2"/>
      <scheme val="major"/>
    </font>
    <font>
      <i/>
      <sz val="10"/>
      <color rgb="FF000000"/>
      <name val="Calibri Light"/>
      <family val="2"/>
      <scheme val="major"/>
    </font>
    <font>
      <sz val="10"/>
      <name val="Calibri Light"/>
      <family val="2"/>
      <scheme val="major"/>
    </font>
    <font>
      <b/>
      <sz val="10"/>
      <name val="Calibri Light"/>
      <family val="2"/>
      <scheme val="major"/>
    </font>
    <font>
      <sz val="8"/>
      <color rgb="FF000000"/>
      <name val="Calibri Light"/>
      <family val="2"/>
      <scheme val="major"/>
    </font>
    <font>
      <sz val="9"/>
      <color theme="1"/>
      <name val="Calibri"/>
      <family val="2"/>
      <scheme val="minor"/>
    </font>
    <font>
      <i/>
      <sz val="8"/>
      <color theme="1"/>
      <name val="Calibri Light"/>
      <family val="2"/>
      <scheme val="major"/>
    </font>
    <font>
      <u/>
      <sz val="10"/>
      <color rgb="FF000000"/>
      <name val="Calibri Light"/>
      <family val="2"/>
      <scheme val="major"/>
    </font>
    <font>
      <i/>
      <u/>
      <sz val="10"/>
      <color rgb="FF000000"/>
      <name val="Calibri Light"/>
      <family val="2"/>
      <scheme val="major"/>
    </font>
    <font>
      <sz val="11"/>
      <color theme="0"/>
      <name val="Calibri Light"/>
      <family val="2"/>
      <scheme val="major"/>
    </font>
    <font>
      <sz val="11"/>
      <color theme="1"/>
      <name val="Calibri Light"/>
      <family val="2"/>
      <scheme val="major"/>
    </font>
    <font>
      <b/>
      <sz val="10"/>
      <color indexed="8"/>
      <name val="Calibri Light"/>
      <family val="2"/>
      <scheme val="major"/>
    </font>
    <font>
      <u/>
      <sz val="10"/>
      <color theme="1"/>
      <name val="Calibri Light"/>
      <family val="2"/>
      <scheme val="major"/>
    </font>
    <font>
      <i/>
      <u/>
      <sz val="10"/>
      <color theme="1"/>
      <name val="Calibri Light"/>
      <family val="2"/>
      <scheme val="major"/>
    </font>
    <font>
      <b/>
      <sz val="12"/>
      <color theme="1"/>
      <name val="Calibri Light"/>
      <family val="2"/>
      <scheme val="major"/>
    </font>
    <font>
      <b/>
      <i/>
      <sz val="10"/>
      <color theme="0" tint="-0.499984740745262"/>
      <name val="Calibri Light"/>
      <family val="2"/>
      <scheme val="major"/>
    </font>
    <font>
      <b/>
      <sz val="11"/>
      <color theme="1"/>
      <name val="Calibri Light"/>
      <family val="2"/>
      <scheme val="major"/>
    </font>
    <font>
      <b/>
      <sz val="12"/>
      <name val="Calibri Light"/>
      <family val="2"/>
      <scheme val="major"/>
    </font>
    <font>
      <i/>
      <sz val="9"/>
      <name val="Calibri Light"/>
      <family val="2"/>
      <scheme val="major"/>
    </font>
    <font>
      <i/>
      <sz val="8"/>
      <name val="Calibri Light"/>
      <family val="2"/>
      <scheme val="major"/>
    </font>
    <font>
      <sz val="8"/>
      <name val="Calibri Light"/>
      <family val="2"/>
      <scheme val="major"/>
    </font>
    <font>
      <sz val="10"/>
      <color theme="1"/>
      <name val="Calibri"/>
      <family val="2"/>
      <scheme val="minor"/>
    </font>
    <font>
      <sz val="10"/>
      <name val="Calibri"/>
      <family val="2"/>
    </font>
    <font>
      <sz val="10"/>
      <color rgb="FF000000"/>
      <name val="Calibri"/>
      <family val="2"/>
    </font>
    <font>
      <sz val="10"/>
      <name val="Calibri"/>
      <family val="2"/>
      <scheme val="minor"/>
    </font>
  </fonts>
  <fills count="10">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2" tint="-9.9978637043366805E-2"/>
        <bgColor indexed="64"/>
      </patternFill>
    </fill>
    <fill>
      <patternFill patternType="solid">
        <fgColor rgb="FFF2F2F2"/>
        <bgColor rgb="FFFFFFFF"/>
      </patternFill>
    </fill>
    <fill>
      <patternFill patternType="solid">
        <fgColor rgb="FFD9D9D9"/>
        <bgColor rgb="FFFFFFFF"/>
      </patternFill>
    </fill>
    <fill>
      <patternFill patternType="solid">
        <fgColor theme="0" tint="-0.14999847407452621"/>
        <bgColor indexed="64"/>
      </patternFill>
    </fill>
    <fill>
      <patternFill patternType="solid">
        <fgColor theme="0" tint="-0.14999847407452621"/>
        <bgColor rgb="FFFFFFFF"/>
      </patternFill>
    </fill>
    <fill>
      <patternFill patternType="solid">
        <fgColor rgb="FFD0CECE"/>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8" fillId="3" borderId="0">
      <alignment horizontal="left"/>
    </xf>
    <xf numFmtId="167" fontId="1" fillId="0" borderId="0" applyFont="0" applyFill="0" applyBorder="0" applyAlignment="0" applyProtection="0"/>
  </cellStyleXfs>
  <cellXfs count="279">
    <xf numFmtId="0" fontId="0" fillId="0" borderId="0" xfId="0"/>
    <xf numFmtId="0" fontId="3" fillId="2" borderId="0" xfId="3" applyFont="1" applyFill="1" applyAlignment="1">
      <alignment vertical="center"/>
    </xf>
    <xf numFmtId="0" fontId="4" fillId="3" borderId="0" xfId="0" applyFont="1" applyFill="1" applyAlignment="1">
      <alignment vertical="center"/>
    </xf>
    <xf numFmtId="0" fontId="6" fillId="2" borderId="0" xfId="3" applyFont="1" applyFill="1" applyAlignment="1">
      <alignment horizontal="center" vertical="center"/>
    </xf>
    <xf numFmtId="0" fontId="6" fillId="2" borderId="0" xfId="3" applyFont="1" applyFill="1" applyAlignment="1">
      <alignment vertical="center"/>
    </xf>
    <xf numFmtId="0" fontId="7" fillId="2" borderId="0" xfId="3" applyFont="1" applyFill="1" applyAlignment="1">
      <alignment horizontal="center" vertical="center"/>
    </xf>
    <xf numFmtId="0" fontId="7" fillId="0" borderId="0" xfId="3" applyFont="1" applyAlignment="1">
      <alignment horizontal="center" vertical="center"/>
    </xf>
    <xf numFmtId="0" fontId="8" fillId="0" borderId="0" xfId="3" applyFont="1" applyAlignment="1">
      <alignment horizontal="center" vertical="center"/>
    </xf>
    <xf numFmtId="0" fontId="9" fillId="3" borderId="0" xfId="0" applyFont="1" applyFill="1" applyAlignment="1">
      <alignment vertical="center"/>
    </xf>
    <xf numFmtId="0" fontId="3" fillId="2" borderId="0" xfId="3" applyFont="1" applyFill="1" applyAlignment="1">
      <alignment horizontal="left" vertical="center" wrapText="1"/>
    </xf>
    <xf numFmtId="0" fontId="10" fillId="0" borderId="0" xfId="0" applyFont="1" applyAlignment="1">
      <alignment vertical="center"/>
    </xf>
    <xf numFmtId="0" fontId="11" fillId="4" borderId="1"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9" fillId="3" borderId="0" xfId="0" applyFont="1" applyFill="1" applyAlignment="1">
      <alignment horizontal="center" vertical="center" wrapText="1"/>
    </xf>
    <xf numFmtId="0" fontId="4" fillId="3" borderId="0" xfId="0" applyFont="1" applyFill="1" applyAlignment="1">
      <alignment horizontal="center" vertical="center" wrapText="1"/>
    </xf>
    <xf numFmtId="0" fontId="7" fillId="0" borderId="4"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xf>
    <xf numFmtId="3" fontId="7" fillId="0" borderId="0" xfId="3" applyNumberFormat="1" applyFont="1" applyAlignment="1">
      <alignment horizontal="center" vertical="center"/>
    </xf>
    <xf numFmtId="3" fontId="7" fillId="0" borderId="8" xfId="3" applyNumberFormat="1" applyFont="1" applyBorder="1" applyAlignment="1">
      <alignment horizontal="center" vertical="center"/>
    </xf>
    <xf numFmtId="3" fontId="9" fillId="0" borderId="0" xfId="3" applyNumberFormat="1" applyFont="1" applyAlignment="1">
      <alignment horizontal="center" vertical="center"/>
    </xf>
    <xf numFmtId="43" fontId="4" fillId="3" borderId="0" xfId="1" applyFont="1" applyFill="1" applyAlignment="1">
      <alignment vertical="center"/>
    </xf>
    <xf numFmtId="3" fontId="4" fillId="3" borderId="0" xfId="0" applyNumberFormat="1" applyFont="1" applyFill="1" applyAlignment="1">
      <alignment vertical="center"/>
    </xf>
    <xf numFmtId="0" fontId="6" fillId="4" borderId="9" xfId="3" applyFont="1" applyFill="1" applyBorder="1" applyAlignment="1">
      <alignment horizontal="center" vertical="center" wrapText="1"/>
    </xf>
    <xf numFmtId="3" fontId="6" fillId="4" borderId="10" xfId="3" applyNumberFormat="1" applyFont="1" applyFill="1" applyBorder="1" applyAlignment="1">
      <alignment horizontal="center" vertical="center"/>
    </xf>
    <xf numFmtId="2" fontId="7" fillId="0" borderId="1" xfId="3" applyNumberFormat="1" applyFont="1" applyBorder="1" applyAlignment="1">
      <alignment horizontal="center" vertical="center" wrapText="1"/>
    </xf>
    <xf numFmtId="3" fontId="9" fillId="2" borderId="0" xfId="3" applyNumberFormat="1" applyFont="1" applyFill="1" applyAlignment="1">
      <alignment horizontal="center" vertical="center"/>
    </xf>
    <xf numFmtId="165" fontId="4" fillId="3" borderId="0" xfId="1" applyNumberFormat="1" applyFont="1" applyFill="1" applyAlignment="1">
      <alignment vertical="center"/>
    </xf>
    <xf numFmtId="2" fontId="7" fillId="0" borderId="7" xfId="3" applyNumberFormat="1" applyFont="1" applyBorder="1" applyAlignment="1">
      <alignment horizontal="center" vertical="center"/>
    </xf>
    <xf numFmtId="2" fontId="7" fillId="2" borderId="7" xfId="3" applyNumberFormat="1" applyFont="1" applyFill="1" applyBorder="1" applyAlignment="1">
      <alignment horizontal="center" vertical="center"/>
    </xf>
    <xf numFmtId="3" fontId="7" fillId="2" borderId="0" xfId="3" applyNumberFormat="1" applyFont="1" applyFill="1" applyAlignment="1">
      <alignment horizontal="center" vertical="center"/>
    </xf>
    <xf numFmtId="164" fontId="7" fillId="2" borderId="8" xfId="3" applyNumberFormat="1" applyFont="1" applyFill="1" applyBorder="1" applyAlignment="1">
      <alignment horizontal="center" vertical="center"/>
    </xf>
    <xf numFmtId="2" fontId="7" fillId="2" borderId="7" xfId="3" applyNumberFormat="1" applyFont="1" applyFill="1" applyBorder="1" applyAlignment="1">
      <alignment horizontal="left" vertical="center"/>
    </xf>
    <xf numFmtId="0" fontId="6" fillId="5" borderId="9" xfId="3" applyFont="1" applyFill="1" applyBorder="1" applyAlignment="1">
      <alignment horizontal="left" vertical="center"/>
    </xf>
    <xf numFmtId="0" fontId="7" fillId="5" borderId="10" xfId="3" applyFont="1" applyFill="1" applyBorder="1" applyAlignment="1">
      <alignment horizontal="center" vertical="center"/>
    </xf>
    <xf numFmtId="3" fontId="7" fillId="5" borderId="10" xfId="3" applyNumberFormat="1" applyFont="1" applyFill="1" applyBorder="1" applyAlignment="1">
      <alignment horizontal="center" vertical="center"/>
    </xf>
    <xf numFmtId="0" fontId="7" fillId="5" borderId="11" xfId="3" applyFont="1" applyFill="1" applyBorder="1" applyAlignment="1">
      <alignment horizontal="center" vertical="center"/>
    </xf>
    <xf numFmtId="0" fontId="4" fillId="3" borderId="0" xfId="0" applyFont="1" applyFill="1" applyAlignment="1">
      <alignment horizontal="left" vertical="center"/>
    </xf>
    <xf numFmtId="0" fontId="7" fillId="2" borderId="7" xfId="3" applyFont="1" applyFill="1" applyBorder="1" applyAlignment="1">
      <alignment horizontal="center" vertical="center" wrapText="1"/>
    </xf>
    <xf numFmtId="0" fontId="7" fillId="2" borderId="4" xfId="3" applyFont="1" applyFill="1" applyBorder="1" applyAlignment="1">
      <alignment horizontal="center" vertical="center" wrapText="1"/>
    </xf>
    <xf numFmtId="3" fontId="9" fillId="3" borderId="0" xfId="0" applyNumberFormat="1" applyFont="1" applyFill="1" applyAlignment="1">
      <alignment vertical="center"/>
    </xf>
    <xf numFmtId="0" fontId="6" fillId="6" borderId="9" xfId="3" applyFont="1" applyFill="1" applyBorder="1" applyAlignment="1">
      <alignment horizontal="center" vertical="center"/>
    </xf>
    <xf numFmtId="166" fontId="6" fillId="6" borderId="10" xfId="3" applyNumberFormat="1" applyFont="1" applyFill="1" applyBorder="1" applyAlignment="1">
      <alignment horizontal="center" vertical="center"/>
    </xf>
    <xf numFmtId="166" fontId="16" fillId="6" borderId="10" xfId="3" applyNumberFormat="1" applyFont="1" applyFill="1" applyBorder="1" applyAlignment="1">
      <alignment horizontal="center" vertical="center"/>
    </xf>
    <xf numFmtId="166" fontId="6" fillId="6" borderId="11" xfId="3" applyNumberFormat="1" applyFont="1" applyFill="1" applyBorder="1" applyAlignment="1">
      <alignment horizontal="center" vertical="center"/>
    </xf>
    <xf numFmtId="0" fontId="4" fillId="3" borderId="7" xfId="4" applyFont="1" applyBorder="1" applyAlignment="1">
      <alignment horizontal="center" vertical="center" wrapText="1"/>
    </xf>
    <xf numFmtId="0" fontId="16" fillId="7" borderId="9" xfId="4" applyFont="1" applyFill="1" applyBorder="1" applyAlignment="1">
      <alignment horizontal="center" vertical="center"/>
    </xf>
    <xf numFmtId="166" fontId="16" fillId="8" borderId="10" xfId="3" applyNumberFormat="1" applyFont="1" applyFill="1" applyBorder="1" applyAlignment="1">
      <alignment horizontal="center" vertical="center"/>
    </xf>
    <xf numFmtId="166" fontId="6" fillId="8" borderId="10" xfId="3" applyNumberFormat="1" applyFont="1" applyFill="1" applyBorder="1" applyAlignment="1">
      <alignment horizontal="center" vertical="center"/>
    </xf>
    <xf numFmtId="166" fontId="6" fillId="8" borderId="11" xfId="3" applyNumberFormat="1" applyFont="1" applyFill="1" applyBorder="1" applyAlignment="1">
      <alignment horizontal="center" vertical="center"/>
    </xf>
    <xf numFmtId="3" fontId="7" fillId="2" borderId="7" xfId="3" applyNumberFormat="1" applyFont="1" applyFill="1" applyBorder="1" applyAlignment="1">
      <alignment horizontal="center" vertical="center" wrapText="1"/>
    </xf>
    <xf numFmtId="3" fontId="15" fillId="3" borderId="0" xfId="4" applyNumberFormat="1" applyFont="1" applyAlignment="1">
      <alignment horizontal="center" vertical="center"/>
    </xf>
    <xf numFmtId="3" fontId="7" fillId="2" borderId="4" xfId="3" applyNumberFormat="1" applyFont="1" applyFill="1" applyBorder="1" applyAlignment="1">
      <alignment horizontal="center" vertical="center" wrapText="1"/>
    </xf>
    <xf numFmtId="0" fontId="6" fillId="8" borderId="9" xfId="3" applyFont="1" applyFill="1" applyBorder="1" applyAlignment="1">
      <alignment horizontal="center" vertical="center"/>
    </xf>
    <xf numFmtId="0" fontId="6" fillId="2" borderId="1" xfId="3" applyFont="1" applyFill="1" applyBorder="1" applyAlignment="1">
      <alignment horizontal="left" vertical="center"/>
    </xf>
    <xf numFmtId="10" fontId="6" fillId="2" borderId="2" xfId="3" applyNumberFormat="1" applyFont="1" applyFill="1" applyBorder="1" applyAlignment="1">
      <alignment horizontal="center" vertical="center"/>
    </xf>
    <xf numFmtId="10" fontId="16" fillId="2" borderId="2" xfId="3" applyNumberFormat="1" applyFont="1" applyFill="1" applyBorder="1" applyAlignment="1">
      <alignment horizontal="center" vertical="center"/>
    </xf>
    <xf numFmtId="10" fontId="6" fillId="2" borderId="3" xfId="3" applyNumberFormat="1" applyFont="1" applyFill="1" applyBorder="1" applyAlignment="1">
      <alignment horizontal="center" vertical="center"/>
    </xf>
    <xf numFmtId="0" fontId="22" fillId="0" borderId="0" xfId="0" applyFont="1" applyAlignment="1">
      <alignment vertical="center"/>
    </xf>
    <xf numFmtId="0" fontId="23" fillId="0" borderId="0" xfId="0" applyFont="1" applyAlignment="1">
      <alignment vertical="center"/>
    </xf>
    <xf numFmtId="0" fontId="4" fillId="3" borderId="5" xfId="0" applyFont="1" applyFill="1" applyBorder="1" applyAlignment="1">
      <alignment vertical="center"/>
    </xf>
    <xf numFmtId="10" fontId="23" fillId="0" borderId="0" xfId="0" applyNumberFormat="1" applyFont="1" applyAlignment="1">
      <alignment horizontal="center" vertical="center"/>
    </xf>
    <xf numFmtId="0" fontId="23" fillId="0" borderId="0" xfId="0" applyFont="1" applyAlignment="1">
      <alignment horizontal="center" vertical="center"/>
    </xf>
    <xf numFmtId="0" fontId="27" fillId="3" borderId="0" xfId="0" applyFont="1" applyFill="1" applyAlignment="1">
      <alignment horizontal="left" vertical="center"/>
    </xf>
    <xf numFmtId="168" fontId="4" fillId="3" borderId="0" xfId="5" applyNumberFormat="1" applyFont="1" applyFill="1" applyAlignment="1">
      <alignment horizontal="center" vertical="center"/>
    </xf>
    <xf numFmtId="10" fontId="4" fillId="3" borderId="0" xfId="2" applyNumberFormat="1" applyFont="1" applyFill="1" applyAlignment="1">
      <alignment horizontal="center" vertical="center"/>
    </xf>
    <xf numFmtId="0" fontId="10" fillId="3" borderId="0" xfId="4" applyFont="1" applyAlignment="1">
      <alignment horizontal="left" vertical="center"/>
    </xf>
    <xf numFmtId="168" fontId="28" fillId="3" borderId="0" xfId="5" applyNumberFormat="1" applyFont="1" applyFill="1" applyAlignment="1">
      <alignment horizontal="center" vertical="center"/>
    </xf>
    <xf numFmtId="10" fontId="28" fillId="3" borderId="0" xfId="2" applyNumberFormat="1" applyFont="1" applyFill="1" applyAlignment="1">
      <alignment horizontal="center" vertical="center"/>
    </xf>
    <xf numFmtId="0" fontId="4" fillId="3" borderId="0" xfId="4" applyFont="1" applyAlignment="1">
      <alignment horizontal="left" vertical="center"/>
    </xf>
    <xf numFmtId="0" fontId="11" fillId="4" borderId="12" xfId="4" applyFont="1" applyFill="1" applyBorder="1" applyAlignment="1">
      <alignment horizontal="left" vertical="center" wrapText="1"/>
    </xf>
    <xf numFmtId="0" fontId="0" fillId="0" borderId="0" xfId="0" applyAlignment="1">
      <alignment vertical="center"/>
    </xf>
    <xf numFmtId="0" fontId="23" fillId="4" borderId="12" xfId="0" applyFont="1" applyFill="1" applyBorder="1" applyAlignment="1">
      <alignment vertical="center"/>
    </xf>
    <xf numFmtId="0" fontId="4" fillId="0" borderId="14" xfId="4" applyFont="1" applyFill="1" applyBorder="1" applyAlignment="1">
      <alignment horizontal="left" vertical="center"/>
    </xf>
    <xf numFmtId="0" fontId="15" fillId="0" borderId="15" xfId="4" applyFont="1" applyFill="1" applyBorder="1" applyAlignment="1">
      <alignment horizontal="left" vertical="center"/>
    </xf>
    <xf numFmtId="0" fontId="29" fillId="4" borderId="12" xfId="0" applyFont="1" applyFill="1" applyBorder="1" applyAlignment="1">
      <alignment vertical="center"/>
    </xf>
    <xf numFmtId="0" fontId="4" fillId="0" borderId="12" xfId="4" applyFont="1" applyFill="1" applyBorder="1" applyAlignment="1">
      <alignment horizontal="left" vertical="center"/>
    </xf>
    <xf numFmtId="0" fontId="4" fillId="0" borderId="15" xfId="4" applyFont="1" applyFill="1" applyBorder="1" applyAlignment="1">
      <alignment horizontal="left" vertical="center"/>
    </xf>
    <xf numFmtId="0" fontId="4" fillId="0" borderId="13" xfId="4" applyFont="1" applyFill="1" applyBorder="1" applyAlignment="1">
      <alignment horizontal="left" vertical="center"/>
    </xf>
    <xf numFmtId="0" fontId="29" fillId="9" borderId="12" xfId="0" applyFont="1" applyFill="1" applyBorder="1" applyAlignment="1">
      <alignment vertical="center"/>
    </xf>
    <xf numFmtId="0" fontId="5" fillId="2" borderId="0" xfId="3" applyFont="1" applyFill="1" applyAlignment="1">
      <alignment vertical="center"/>
    </xf>
    <xf numFmtId="0" fontId="30" fillId="3" borderId="0" xfId="0" applyFont="1" applyFill="1" applyAlignment="1">
      <alignment horizontal="left" vertical="center"/>
    </xf>
    <xf numFmtId="166" fontId="15" fillId="3" borderId="0" xfId="2" applyNumberFormat="1" applyFont="1" applyFill="1" applyAlignment="1">
      <alignment horizontal="center" vertical="center"/>
    </xf>
    <xf numFmtId="0" fontId="31" fillId="3" borderId="0" xfId="4" applyFont="1" applyAlignment="1">
      <alignment horizontal="left" vertical="center"/>
    </xf>
    <xf numFmtId="168" fontId="15" fillId="3" borderId="0" xfId="5" applyNumberFormat="1" applyFont="1" applyFill="1" applyAlignment="1">
      <alignment horizontal="center" vertical="center"/>
    </xf>
    <xf numFmtId="0" fontId="9" fillId="3" borderId="0" xfId="4" applyFont="1" applyAlignment="1">
      <alignment horizontal="left" vertical="center"/>
    </xf>
    <xf numFmtId="0" fontId="11" fillId="4" borderId="9" xfId="4" applyFont="1" applyFill="1" applyBorder="1" applyAlignment="1">
      <alignment horizontal="left" vertical="center" wrapText="1"/>
    </xf>
    <xf numFmtId="0" fontId="16" fillId="4" borderId="12" xfId="4" applyFont="1" applyFill="1" applyBorder="1" applyAlignment="1">
      <alignment horizontal="left" vertical="center"/>
    </xf>
    <xf numFmtId="0" fontId="15" fillId="3" borderId="14" xfId="4" applyFont="1" applyBorder="1" applyAlignment="1">
      <alignment horizontal="left" vertical="center"/>
    </xf>
    <xf numFmtId="0" fontId="15" fillId="0" borderId="14" xfId="5" applyNumberFormat="1" applyFont="1" applyFill="1" applyBorder="1" applyAlignment="1">
      <alignment horizontal="left" vertical="center"/>
    </xf>
    <xf numFmtId="0" fontId="15" fillId="0" borderId="14" xfId="4" applyFont="1" applyFill="1" applyBorder="1" applyAlignment="1">
      <alignment horizontal="left" vertical="center"/>
    </xf>
    <xf numFmtId="0" fontId="15" fillId="3" borderId="13" xfId="4" applyFont="1" applyBorder="1" applyAlignment="1">
      <alignment horizontal="left" vertical="center"/>
    </xf>
    <xf numFmtId="0" fontId="15" fillId="3" borderId="15" xfId="4" applyFont="1" applyBorder="1" applyAlignment="1">
      <alignment horizontal="left" vertical="center"/>
    </xf>
    <xf numFmtId="0" fontId="15" fillId="0" borderId="12" xfId="4" applyFont="1" applyFill="1" applyBorder="1" applyAlignment="1">
      <alignment horizontal="left" vertical="center"/>
    </xf>
    <xf numFmtId="0" fontId="4" fillId="0" borderId="9" xfId="4" applyFont="1" applyFill="1" applyBorder="1" applyAlignment="1">
      <alignment horizontal="left" vertical="center"/>
    </xf>
    <xf numFmtId="168" fontId="23" fillId="0" borderId="0" xfId="0" applyNumberFormat="1" applyFont="1" applyAlignment="1">
      <alignment vertical="center"/>
    </xf>
    <xf numFmtId="166" fontId="23" fillId="0" borderId="0" xfId="0" applyNumberFormat="1" applyFont="1" applyAlignment="1">
      <alignment horizontal="center" vertical="center"/>
    </xf>
    <xf numFmtId="0" fontId="4" fillId="3" borderId="7" xfId="0" applyFont="1" applyFill="1" applyBorder="1" applyAlignment="1">
      <alignment horizontal="center" vertical="center"/>
    </xf>
    <xf numFmtId="0" fontId="4" fillId="0" borderId="1" xfId="4" applyFont="1" applyFill="1" applyBorder="1" applyAlignment="1">
      <alignment horizontal="left" vertical="center"/>
    </xf>
    <xf numFmtId="0" fontId="4" fillId="0" borderId="7" xfId="4" applyFont="1" applyFill="1" applyBorder="1" applyAlignment="1">
      <alignment horizontal="left" vertical="center"/>
    </xf>
    <xf numFmtId="0" fontId="4" fillId="0" borderId="4" xfId="4" applyFont="1" applyFill="1" applyBorder="1" applyAlignment="1">
      <alignment horizontal="left" vertical="center"/>
    </xf>
    <xf numFmtId="0" fontId="0" fillId="0" borderId="0" xfId="0" applyAlignment="1">
      <alignment horizontal="right" vertical="center"/>
    </xf>
    <xf numFmtId="0" fontId="11" fillId="4" borderId="10" xfId="5" applyNumberFormat="1" applyFont="1" applyFill="1" applyBorder="1" applyAlignment="1">
      <alignment horizontal="center" vertical="center"/>
    </xf>
    <xf numFmtId="0" fontId="11" fillId="4" borderId="9" xfId="5" applyNumberFormat="1" applyFont="1" applyFill="1" applyBorder="1" applyAlignment="1">
      <alignment horizontal="center" vertical="center"/>
    </xf>
    <xf numFmtId="3" fontId="11" fillId="4" borderId="10" xfId="5" applyNumberFormat="1" applyFont="1" applyFill="1" applyBorder="1" applyAlignment="1">
      <alignment horizontal="center" vertical="center"/>
    </xf>
    <xf numFmtId="3" fontId="4" fillId="3" borderId="1" xfId="5" applyNumberFormat="1" applyFont="1" applyFill="1" applyBorder="1" applyAlignment="1">
      <alignment horizontal="center" vertical="center"/>
    </xf>
    <xf numFmtId="3" fontId="4" fillId="3" borderId="2" xfId="5" applyNumberFormat="1" applyFont="1" applyFill="1" applyBorder="1" applyAlignment="1">
      <alignment horizontal="center" vertical="center"/>
    </xf>
    <xf numFmtId="3" fontId="4" fillId="3" borderId="7" xfId="5" applyNumberFormat="1" applyFont="1" applyFill="1" applyBorder="1" applyAlignment="1">
      <alignment horizontal="center" vertical="center"/>
    </xf>
    <xf numFmtId="3" fontId="4" fillId="3" borderId="0" xfId="5"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4" fillId="0" borderId="0" xfId="5" applyNumberFormat="1" applyFont="1" applyFill="1" applyBorder="1" applyAlignment="1">
      <alignment horizontal="center" vertical="center"/>
    </xf>
    <xf numFmtId="3" fontId="4" fillId="0" borderId="4" xfId="5" applyNumberFormat="1" applyFont="1" applyFill="1" applyBorder="1" applyAlignment="1">
      <alignment horizontal="center" vertical="center"/>
    </xf>
    <xf numFmtId="3" fontId="4" fillId="0" borderId="5" xfId="5" applyNumberFormat="1" applyFont="1" applyFill="1" applyBorder="1" applyAlignment="1">
      <alignment horizontal="center" vertical="center"/>
    </xf>
    <xf numFmtId="3" fontId="11" fillId="4" borderId="9" xfId="5" applyNumberFormat="1" applyFont="1" applyFill="1" applyBorder="1" applyAlignment="1">
      <alignment horizontal="center" vertical="center"/>
    </xf>
    <xf numFmtId="166" fontId="11" fillId="4" borderId="11" xfId="2" applyNumberFormat="1" applyFont="1" applyFill="1" applyBorder="1" applyAlignment="1">
      <alignment horizontal="center" vertical="center"/>
    </xf>
    <xf numFmtId="166" fontId="11" fillId="4" borderId="12" xfId="2" applyNumberFormat="1" applyFont="1" applyFill="1" applyBorder="1" applyAlignment="1">
      <alignment horizontal="center" vertical="center"/>
    </xf>
    <xf numFmtId="166" fontId="4" fillId="3" borderId="3" xfId="2" applyNumberFormat="1" applyFont="1" applyFill="1" applyBorder="1" applyAlignment="1">
      <alignment horizontal="center" vertical="center"/>
    </xf>
    <xf numFmtId="166" fontId="4" fillId="3" borderId="0" xfId="2" applyNumberFormat="1" applyFont="1" applyFill="1" applyBorder="1" applyAlignment="1">
      <alignment horizontal="center" vertical="center"/>
    </xf>
    <xf numFmtId="166" fontId="4" fillId="3" borderId="13" xfId="2" applyNumberFormat="1" applyFont="1" applyFill="1" applyBorder="1" applyAlignment="1">
      <alignment horizontal="center" vertical="center"/>
    </xf>
    <xf numFmtId="166" fontId="4" fillId="3" borderId="8" xfId="2" applyNumberFormat="1" applyFont="1" applyFill="1" applyBorder="1" applyAlignment="1">
      <alignment horizontal="center" vertical="center"/>
    </xf>
    <xf numFmtId="166" fontId="4" fillId="3" borderId="14" xfId="2" applyNumberFormat="1" applyFont="1" applyFill="1" applyBorder="1" applyAlignment="1">
      <alignment horizontal="center" vertical="center"/>
    </xf>
    <xf numFmtId="166" fontId="4" fillId="3" borderId="6" xfId="2" applyNumberFormat="1" applyFont="1" applyFill="1" applyBorder="1" applyAlignment="1">
      <alignment horizontal="center" vertical="center"/>
    </xf>
    <xf numFmtId="166" fontId="4" fillId="3" borderId="15" xfId="2" applyNumberFormat="1" applyFont="1" applyFill="1" applyBorder="1" applyAlignment="1">
      <alignment horizontal="center" vertical="center"/>
    </xf>
    <xf numFmtId="166" fontId="4" fillId="0" borderId="6" xfId="2" applyNumberFormat="1" applyFont="1" applyFill="1" applyBorder="1" applyAlignment="1">
      <alignment horizontal="center" vertical="center"/>
    </xf>
    <xf numFmtId="3" fontId="4" fillId="0" borderId="1" xfId="5" applyNumberFormat="1" applyFont="1" applyFill="1" applyBorder="1" applyAlignment="1">
      <alignment horizontal="center" vertical="center"/>
    </xf>
    <xf numFmtId="3" fontId="4" fillId="0" borderId="2" xfId="5" applyNumberFormat="1" applyFont="1" applyFill="1" applyBorder="1" applyAlignment="1">
      <alignment horizontal="center" vertical="center"/>
    </xf>
    <xf numFmtId="166" fontId="4" fillId="0" borderId="3" xfId="2" applyNumberFormat="1" applyFont="1" applyFill="1" applyBorder="1" applyAlignment="1">
      <alignment horizontal="center" vertical="center"/>
    </xf>
    <xf numFmtId="166" fontId="4" fillId="0" borderId="13" xfId="2" applyNumberFormat="1" applyFont="1" applyFill="1" applyBorder="1" applyAlignment="1">
      <alignment horizontal="center" vertical="center"/>
    </xf>
    <xf numFmtId="166" fontId="4" fillId="0" borderId="8" xfId="2" applyNumberFormat="1" applyFont="1" applyFill="1" applyBorder="1" applyAlignment="1">
      <alignment horizontal="center" vertical="center"/>
    </xf>
    <xf numFmtId="166" fontId="4" fillId="0" borderId="14" xfId="2" applyNumberFormat="1" applyFont="1" applyFill="1" applyBorder="1" applyAlignment="1">
      <alignment horizontal="center" vertical="center"/>
    </xf>
    <xf numFmtId="166" fontId="4" fillId="0" borderId="15" xfId="2" applyNumberFormat="1" applyFont="1" applyFill="1" applyBorder="1" applyAlignment="1">
      <alignment horizontal="center" vertical="center"/>
    </xf>
    <xf numFmtId="10" fontId="4" fillId="3" borderId="14" xfId="2" applyNumberFormat="1" applyFont="1" applyFill="1" applyBorder="1" applyAlignment="1">
      <alignment horizontal="center" vertical="center"/>
    </xf>
    <xf numFmtId="3" fontId="4" fillId="3" borderId="4" xfId="5" applyNumberFormat="1" applyFont="1" applyFill="1" applyBorder="1" applyAlignment="1">
      <alignment horizontal="center" vertical="center"/>
    </xf>
    <xf numFmtId="3" fontId="4" fillId="3" borderId="5" xfId="5" applyNumberFormat="1" applyFont="1" applyFill="1" applyBorder="1" applyAlignment="1">
      <alignment horizontal="center" vertical="center"/>
    </xf>
    <xf numFmtId="3" fontId="4" fillId="3" borderId="10" xfId="5" applyNumberFormat="1" applyFont="1" applyFill="1" applyBorder="1" applyAlignment="1">
      <alignment horizontal="center" vertical="center"/>
    </xf>
    <xf numFmtId="166" fontId="4" fillId="3" borderId="11" xfId="2" applyNumberFormat="1" applyFont="1" applyFill="1" applyBorder="1" applyAlignment="1">
      <alignment horizontal="center" vertical="center"/>
    </xf>
    <xf numFmtId="166" fontId="4" fillId="3" borderId="12" xfId="2" applyNumberFormat="1" applyFont="1" applyFill="1" applyBorder="1" applyAlignment="1">
      <alignment horizontal="center" vertical="center"/>
    </xf>
    <xf numFmtId="3" fontId="4" fillId="0" borderId="7" xfId="5" applyNumberFormat="1" applyFont="1" applyBorder="1" applyAlignment="1">
      <alignment horizontal="center" vertical="center"/>
    </xf>
    <xf numFmtId="3" fontId="4" fillId="0" borderId="0" xfId="5" applyNumberFormat="1" applyFont="1" applyBorder="1" applyAlignment="1">
      <alignment horizontal="center" vertical="center"/>
    </xf>
    <xf numFmtId="3" fontId="15" fillId="0" borderId="7" xfId="5" applyNumberFormat="1" applyFont="1" applyFill="1" applyBorder="1" applyAlignment="1">
      <alignment horizontal="center" vertical="center"/>
    </xf>
    <xf numFmtId="3" fontId="4" fillId="3" borderId="1" xfId="2" applyNumberFormat="1" applyFont="1" applyFill="1" applyBorder="1" applyAlignment="1">
      <alignment horizontal="center" vertical="center"/>
    </xf>
    <xf numFmtId="3" fontId="4" fillId="3" borderId="0" xfId="2" applyNumberFormat="1" applyFont="1" applyFill="1" applyBorder="1" applyAlignment="1">
      <alignment horizontal="center" vertical="center"/>
    </xf>
    <xf numFmtId="166" fontId="4" fillId="3" borderId="2" xfId="2" applyNumberFormat="1" applyFont="1" applyFill="1" applyBorder="1" applyAlignment="1">
      <alignment horizontal="center" vertical="center"/>
    </xf>
    <xf numFmtId="3" fontId="4" fillId="3" borderId="7" xfId="2" applyNumberFormat="1" applyFont="1" applyFill="1" applyBorder="1" applyAlignment="1">
      <alignment horizontal="center" vertical="center"/>
    </xf>
    <xf numFmtId="164" fontId="4" fillId="3" borderId="0" xfId="2" applyNumberFormat="1" applyFont="1" applyFill="1" applyBorder="1" applyAlignment="1">
      <alignment horizontal="center" vertical="center"/>
    </xf>
    <xf numFmtId="166" fontId="4" fillId="3" borderId="5" xfId="2" applyNumberFormat="1" applyFont="1" applyFill="1" applyBorder="1" applyAlignment="1">
      <alignment horizontal="center" vertical="center"/>
    </xf>
    <xf numFmtId="3" fontId="11" fillId="4" borderId="4" xfId="5" applyNumberFormat="1" applyFont="1" applyFill="1" applyBorder="1" applyAlignment="1">
      <alignment horizontal="center" vertical="center"/>
    </xf>
    <xf numFmtId="3" fontId="4" fillId="3" borderId="2" xfId="2" applyNumberFormat="1" applyFont="1" applyFill="1" applyBorder="1" applyAlignment="1">
      <alignment horizontal="center" vertical="center"/>
    </xf>
    <xf numFmtId="166" fontId="34" fillId="3" borderId="0" xfId="2" applyNumberFormat="1" applyFont="1" applyFill="1" applyBorder="1" applyAlignment="1">
      <alignment horizontal="center" vertical="center"/>
    </xf>
    <xf numFmtId="3" fontId="4" fillId="3" borderId="4" xfId="2" applyNumberFormat="1" applyFont="1" applyFill="1" applyBorder="1" applyAlignment="1">
      <alignment horizontal="center" vertical="center"/>
    </xf>
    <xf numFmtId="10" fontId="11" fillId="4" borderId="11" xfId="2" applyNumberFormat="1" applyFont="1" applyFill="1" applyBorder="1" applyAlignment="1">
      <alignment horizontal="center" vertical="center"/>
    </xf>
    <xf numFmtId="10" fontId="11" fillId="4" borderId="12" xfId="2" applyNumberFormat="1" applyFont="1" applyFill="1" applyBorder="1" applyAlignment="1">
      <alignment horizontal="center" vertical="center"/>
    </xf>
    <xf numFmtId="0" fontId="0" fillId="0" borderId="0" xfId="0" applyAlignment="1">
      <alignment horizontal="center" vertical="center"/>
    </xf>
    <xf numFmtId="3" fontId="4" fillId="3" borderId="7" xfId="1" applyNumberFormat="1" applyFont="1" applyFill="1" applyBorder="1" applyAlignment="1">
      <alignment horizontal="center" vertical="center"/>
    </xf>
    <xf numFmtId="3" fontId="4" fillId="3" borderId="0" xfId="1" applyNumberFormat="1" applyFont="1" applyFill="1" applyBorder="1" applyAlignment="1">
      <alignment horizontal="center" vertical="center"/>
    </xf>
    <xf numFmtId="3" fontId="4" fillId="0" borderId="10" xfId="5" applyNumberFormat="1" applyFont="1" applyFill="1" applyBorder="1" applyAlignment="1">
      <alignment horizontal="center" vertical="center"/>
    </xf>
    <xf numFmtId="3" fontId="16" fillId="4" borderId="10" xfId="5" applyNumberFormat="1" applyFont="1" applyFill="1" applyBorder="1" applyAlignment="1">
      <alignment horizontal="center" vertical="center"/>
    </xf>
    <xf numFmtId="3" fontId="15" fillId="3" borderId="0" xfId="5" applyNumberFormat="1" applyFont="1" applyFill="1" applyBorder="1" applyAlignment="1">
      <alignment horizontal="center" vertical="center"/>
    </xf>
    <xf numFmtId="3" fontId="15" fillId="0" borderId="0" xfId="5" applyNumberFormat="1" applyFont="1" applyFill="1" applyBorder="1" applyAlignment="1">
      <alignment horizontal="center" vertical="center"/>
    </xf>
    <xf numFmtId="3" fontId="15" fillId="0" borderId="5" xfId="5" applyNumberFormat="1" applyFont="1" applyFill="1" applyBorder="1" applyAlignment="1">
      <alignment horizontal="center" vertical="center"/>
    </xf>
    <xf numFmtId="3" fontId="16" fillId="4" borderId="9" xfId="5" applyNumberFormat="1" applyFont="1" applyFill="1" applyBorder="1" applyAlignment="1">
      <alignment horizontal="center" vertical="center"/>
    </xf>
    <xf numFmtId="3" fontId="15" fillId="3" borderId="0" xfId="5" applyNumberFormat="1" applyFont="1" applyFill="1" applyAlignment="1">
      <alignment horizontal="center" vertical="center"/>
    </xf>
    <xf numFmtId="3" fontId="15" fillId="0" borderId="0" xfId="5" applyNumberFormat="1" applyFont="1" applyFill="1" applyAlignment="1">
      <alignment horizontal="center" vertical="center"/>
    </xf>
    <xf numFmtId="3" fontId="15" fillId="0" borderId="0" xfId="1" applyNumberFormat="1" applyFont="1" applyFill="1" applyBorder="1" applyAlignment="1">
      <alignment horizontal="center" vertical="center"/>
    </xf>
    <xf numFmtId="3" fontId="15" fillId="3" borderId="1" xfId="5" applyNumberFormat="1" applyFont="1" applyFill="1" applyBorder="1" applyAlignment="1">
      <alignment horizontal="center" vertical="center"/>
    </xf>
    <xf numFmtId="3" fontId="15" fillId="3" borderId="2" xfId="5" applyNumberFormat="1" applyFont="1" applyFill="1" applyBorder="1" applyAlignment="1">
      <alignment horizontal="center" vertical="center"/>
    </xf>
    <xf numFmtId="3" fontId="15" fillId="3" borderId="7" xfId="5" applyNumberFormat="1" applyFont="1" applyFill="1" applyBorder="1" applyAlignment="1">
      <alignment horizontal="center" vertical="center"/>
    </xf>
    <xf numFmtId="3" fontId="15" fillId="0" borderId="7" xfId="1" applyNumberFormat="1" applyFont="1" applyFill="1" applyBorder="1" applyAlignment="1">
      <alignment horizontal="center" vertical="center"/>
    </xf>
    <xf numFmtId="3" fontId="15" fillId="0" borderId="4" xfId="1" applyNumberFormat="1" applyFont="1" applyFill="1" applyBorder="1" applyAlignment="1">
      <alignment horizontal="center" vertical="center"/>
    </xf>
    <xf numFmtId="3" fontId="15" fillId="0" borderId="5" xfId="1" applyNumberFormat="1" applyFont="1" applyFill="1" applyBorder="1" applyAlignment="1">
      <alignment horizontal="center" vertical="center"/>
    </xf>
    <xf numFmtId="3" fontId="15" fillId="0" borderId="0" xfId="1" applyNumberFormat="1" applyFont="1" applyFill="1" applyAlignment="1">
      <alignment horizontal="center" vertical="center"/>
    </xf>
    <xf numFmtId="3" fontId="15" fillId="0" borderId="9" xfId="5" applyNumberFormat="1" applyFont="1" applyFill="1" applyBorder="1" applyAlignment="1">
      <alignment horizontal="center" vertical="center"/>
    </xf>
    <xf numFmtId="3" fontId="15" fillId="0" borderId="10" xfId="5" applyNumberFormat="1" applyFont="1" applyFill="1" applyBorder="1" applyAlignment="1">
      <alignment horizontal="center" vertical="center"/>
    </xf>
    <xf numFmtId="3" fontId="15" fillId="3" borderId="4" xfId="5" applyNumberFormat="1" applyFont="1" applyFill="1" applyBorder="1" applyAlignment="1">
      <alignment horizontal="center" vertical="center"/>
    </xf>
    <xf numFmtId="3" fontId="15" fillId="3" borderId="5" xfId="5" applyNumberFormat="1" applyFont="1" applyFill="1" applyBorder="1" applyAlignment="1">
      <alignment horizontal="center" vertical="center"/>
    </xf>
    <xf numFmtId="3" fontId="15" fillId="3" borderId="4" xfId="1" applyNumberFormat="1" applyFont="1" applyFill="1" applyBorder="1" applyAlignment="1">
      <alignment horizontal="center" vertical="center"/>
    </xf>
    <xf numFmtId="3" fontId="15" fillId="3" borderId="0" xfId="1" applyNumberFormat="1" applyFont="1" applyFill="1" applyBorder="1" applyAlignment="1">
      <alignment horizontal="center" vertical="center"/>
    </xf>
    <xf numFmtId="3" fontId="15" fillId="3" borderId="5" xfId="1" applyNumberFormat="1" applyFont="1" applyFill="1" applyBorder="1" applyAlignment="1">
      <alignment horizontal="center" vertical="center"/>
    </xf>
    <xf numFmtId="3" fontId="15" fillId="3" borderId="9" xfId="5" applyNumberFormat="1" applyFont="1" applyFill="1" applyBorder="1" applyAlignment="1">
      <alignment horizontal="center" vertical="center"/>
    </xf>
    <xf numFmtId="3" fontId="15" fillId="3" borderId="10" xfId="5" applyNumberFormat="1" applyFont="1" applyFill="1" applyBorder="1" applyAlignment="1">
      <alignment horizontal="center" vertical="center"/>
    </xf>
    <xf numFmtId="10" fontId="11" fillId="4" borderId="10" xfId="2" applyNumberFormat="1" applyFont="1" applyFill="1" applyBorder="1" applyAlignment="1">
      <alignment horizontal="center" vertical="center"/>
    </xf>
    <xf numFmtId="166" fontId="16" fillId="4" borderId="10" xfId="2" applyNumberFormat="1" applyFont="1" applyFill="1" applyBorder="1" applyAlignment="1">
      <alignment horizontal="center" vertical="center"/>
    </xf>
    <xf numFmtId="166" fontId="15" fillId="3" borderId="0" xfId="2" applyNumberFormat="1" applyFont="1" applyFill="1" applyBorder="1" applyAlignment="1">
      <alignment horizontal="center" vertical="center"/>
    </xf>
    <xf numFmtId="166" fontId="15" fillId="3" borderId="5" xfId="2" applyNumberFormat="1" applyFont="1" applyFill="1" applyBorder="1" applyAlignment="1">
      <alignment horizontal="center" vertical="center"/>
    </xf>
    <xf numFmtId="166" fontId="16" fillId="4" borderId="11" xfId="2" applyNumberFormat="1" applyFont="1" applyFill="1" applyBorder="1" applyAlignment="1">
      <alignment horizontal="center" vertical="center"/>
    </xf>
    <xf numFmtId="166" fontId="15" fillId="3" borderId="3" xfId="2" applyNumberFormat="1" applyFont="1" applyFill="1" applyBorder="1" applyAlignment="1">
      <alignment horizontal="center" vertical="center"/>
    </xf>
    <xf numFmtId="166" fontId="15" fillId="3" borderId="8" xfId="2" applyNumberFormat="1" applyFont="1" applyFill="1" applyBorder="1" applyAlignment="1">
      <alignment horizontal="center" vertical="center"/>
    </xf>
    <xf numFmtId="166" fontId="15" fillId="3" borderId="6" xfId="2" applyNumberFormat="1" applyFont="1" applyFill="1" applyBorder="1" applyAlignment="1">
      <alignment horizontal="center" vertical="center"/>
    </xf>
    <xf numFmtId="166" fontId="15" fillId="3" borderId="11" xfId="2" applyNumberFormat="1" applyFont="1" applyFill="1" applyBorder="1" applyAlignment="1">
      <alignment horizontal="center" vertical="center"/>
    </xf>
    <xf numFmtId="166" fontId="4" fillId="3" borderId="10" xfId="2" applyNumberFormat="1" applyFont="1" applyFill="1" applyBorder="1" applyAlignment="1">
      <alignment horizontal="center" vertical="center"/>
    </xf>
    <xf numFmtId="168" fontId="23" fillId="0" borderId="0" xfId="0" applyNumberFormat="1" applyFont="1" applyAlignment="1">
      <alignment horizontal="center" vertical="center"/>
    </xf>
    <xf numFmtId="166" fontId="16" fillId="4" borderId="0" xfId="2" applyNumberFormat="1" applyFont="1" applyFill="1" applyBorder="1" applyAlignment="1">
      <alignment horizontal="center" vertical="center"/>
    </xf>
    <xf numFmtId="10" fontId="15" fillId="3" borderId="8" xfId="2" applyNumberFormat="1" applyFont="1" applyFill="1" applyBorder="1" applyAlignment="1">
      <alignment horizontal="center" vertical="center"/>
    </xf>
    <xf numFmtId="10" fontId="15" fillId="3" borderId="6" xfId="2" applyNumberFormat="1" applyFont="1" applyFill="1" applyBorder="1" applyAlignment="1">
      <alignment horizontal="center" vertical="center"/>
    </xf>
    <xf numFmtId="166" fontId="16" fillId="4" borderId="12" xfId="2" applyNumberFormat="1" applyFont="1" applyFill="1" applyBorder="1" applyAlignment="1">
      <alignment horizontal="center" vertical="center"/>
    </xf>
    <xf numFmtId="166" fontId="15" fillId="3" borderId="13" xfId="2" applyNumberFormat="1" applyFont="1" applyFill="1" applyBorder="1" applyAlignment="1">
      <alignment horizontal="center" vertical="center"/>
    </xf>
    <xf numFmtId="166" fontId="15" fillId="3" borderId="14" xfId="2" applyNumberFormat="1" applyFont="1" applyFill="1" applyBorder="1" applyAlignment="1">
      <alignment horizontal="center" vertical="center"/>
    </xf>
    <xf numFmtId="10" fontId="15" fillId="3" borderId="14" xfId="2" applyNumberFormat="1" applyFont="1" applyFill="1" applyBorder="1" applyAlignment="1">
      <alignment horizontal="center" vertical="center"/>
    </xf>
    <xf numFmtId="169" fontId="15" fillId="3" borderId="15" xfId="2" applyNumberFormat="1" applyFont="1" applyFill="1" applyBorder="1" applyAlignment="1">
      <alignment horizontal="center" vertical="center"/>
    </xf>
    <xf numFmtId="166" fontId="15" fillId="3" borderId="15" xfId="2" applyNumberFormat="1" applyFont="1" applyFill="1" applyBorder="1" applyAlignment="1">
      <alignment horizontal="center" vertical="center"/>
    </xf>
    <xf numFmtId="166" fontId="15" fillId="3" borderId="12" xfId="2" applyNumberFormat="1" applyFont="1" applyFill="1" applyBorder="1" applyAlignment="1">
      <alignment horizontal="center" vertical="center"/>
    </xf>
    <xf numFmtId="164" fontId="4" fillId="0" borderId="5" xfId="5" applyNumberFormat="1" applyFont="1" applyFill="1" applyBorder="1" applyAlignment="1">
      <alignment horizontal="center" vertical="center"/>
    </xf>
    <xf numFmtId="10" fontId="6" fillId="8" borderId="10" xfId="3" applyNumberFormat="1" applyFont="1" applyFill="1" applyBorder="1" applyAlignment="1">
      <alignment horizontal="center" vertical="center"/>
    </xf>
    <xf numFmtId="164" fontId="4" fillId="0" borderId="4" xfId="5" applyNumberFormat="1" applyFont="1" applyFill="1" applyBorder="1" applyAlignment="1">
      <alignment horizontal="center" vertical="center"/>
    </xf>
    <xf numFmtId="164" fontId="4" fillId="3" borderId="4" xfId="5" applyNumberFormat="1" applyFont="1" applyFill="1" applyBorder="1" applyAlignment="1">
      <alignment horizontal="center" vertical="center"/>
    </xf>
    <xf numFmtId="164" fontId="4" fillId="3" borderId="5" xfId="5" applyNumberFormat="1" applyFont="1" applyFill="1" applyBorder="1" applyAlignment="1">
      <alignment horizontal="center" vertical="center"/>
    </xf>
    <xf numFmtId="164" fontId="4" fillId="0" borderId="7" xfId="1" applyNumberFormat="1" applyFont="1" applyFill="1" applyBorder="1" applyAlignment="1">
      <alignment horizontal="center" vertical="center"/>
    </xf>
    <xf numFmtId="164" fontId="4" fillId="0" borderId="0" xfId="5" applyNumberFormat="1" applyFont="1" applyFill="1" applyBorder="1" applyAlignment="1">
      <alignment horizontal="center" vertical="center"/>
    </xf>
    <xf numFmtId="164" fontId="15" fillId="0" borderId="4" xfId="5" applyNumberFormat="1" applyFont="1" applyFill="1" applyBorder="1" applyAlignment="1">
      <alignment horizontal="center" vertical="center"/>
    </xf>
    <xf numFmtId="164" fontId="4" fillId="3" borderId="7" xfId="2" applyNumberFormat="1" applyFont="1" applyFill="1" applyBorder="1" applyAlignment="1">
      <alignment horizontal="center" vertical="center"/>
    </xf>
    <xf numFmtId="164" fontId="4" fillId="3" borderId="4" xfId="2" applyNumberFormat="1" applyFont="1" applyFill="1" applyBorder="1" applyAlignment="1">
      <alignment horizontal="center" vertical="center"/>
    </xf>
    <xf numFmtId="164" fontId="4" fillId="3" borderId="5" xfId="2" applyNumberFormat="1" applyFont="1" applyFill="1" applyBorder="1" applyAlignment="1">
      <alignment horizontal="center" vertical="center"/>
    </xf>
    <xf numFmtId="164" fontId="15" fillId="0" borderId="5" xfId="5" applyNumberFormat="1" applyFont="1" applyFill="1" applyBorder="1" applyAlignment="1">
      <alignment horizontal="center" vertical="center"/>
    </xf>
    <xf numFmtId="10" fontId="15" fillId="3" borderId="15" xfId="2" applyNumberFormat="1" applyFont="1" applyFill="1" applyBorder="1" applyAlignment="1">
      <alignment horizontal="center" vertical="center"/>
    </xf>
    <xf numFmtId="3" fontId="35" fillId="0" borderId="5" xfId="3" applyNumberFormat="1" applyFont="1" applyBorder="1" applyAlignment="1">
      <alignment horizontal="center" vertical="center"/>
    </xf>
    <xf numFmtId="3" fontId="35" fillId="2" borderId="5" xfId="3" applyNumberFormat="1" applyFont="1" applyFill="1" applyBorder="1" applyAlignment="1">
      <alignment horizontal="center" vertical="center"/>
    </xf>
    <xf numFmtId="3" fontId="36" fillId="2" borderId="0" xfId="3" applyNumberFormat="1" applyFont="1" applyFill="1" applyAlignment="1">
      <alignment horizontal="center" vertical="center"/>
    </xf>
    <xf numFmtId="164" fontId="36" fillId="2" borderId="0" xfId="3" applyNumberFormat="1" applyFont="1" applyFill="1" applyAlignment="1">
      <alignment horizontal="center" vertical="center"/>
    </xf>
    <xf numFmtId="3" fontId="36" fillId="2" borderId="16" xfId="3" applyNumberFormat="1" applyFont="1" applyFill="1" applyBorder="1" applyAlignment="1">
      <alignment horizontal="center" vertical="center"/>
    </xf>
    <xf numFmtId="164" fontId="36" fillId="2" borderId="16" xfId="3" applyNumberFormat="1" applyFont="1" applyFill="1" applyBorder="1" applyAlignment="1">
      <alignment horizontal="center" vertical="center"/>
    </xf>
    <xf numFmtId="164" fontId="36" fillId="2" borderId="17" xfId="3" applyNumberFormat="1" applyFont="1" applyFill="1" applyBorder="1" applyAlignment="1">
      <alignment horizontal="center" vertical="center"/>
    </xf>
    <xf numFmtId="3" fontId="35" fillId="0" borderId="6" xfId="3" applyNumberFormat="1" applyFont="1" applyBorder="1" applyAlignment="1">
      <alignment horizontal="center" vertical="center"/>
    </xf>
    <xf numFmtId="3" fontId="6" fillId="4" borderId="11" xfId="3" applyNumberFormat="1" applyFont="1" applyFill="1" applyBorder="1" applyAlignment="1">
      <alignment horizontal="center" vertical="center"/>
    </xf>
    <xf numFmtId="164" fontId="36" fillId="2" borderId="8" xfId="3" applyNumberFormat="1" applyFont="1" applyFill="1" applyBorder="1" applyAlignment="1">
      <alignment horizontal="center" vertical="center"/>
    </xf>
    <xf numFmtId="0" fontId="6" fillId="5" borderId="4" xfId="3" applyFont="1" applyFill="1" applyBorder="1" applyAlignment="1">
      <alignment horizontal="left" vertical="center"/>
    </xf>
    <xf numFmtId="3" fontId="35" fillId="0" borderId="0" xfId="3" applyNumberFormat="1" applyFont="1" applyAlignment="1">
      <alignment horizontal="center" vertical="center"/>
    </xf>
    <xf numFmtId="3" fontId="35" fillId="0" borderId="3" xfId="3" applyNumberFormat="1" applyFont="1" applyBorder="1" applyAlignment="1">
      <alignment horizontal="center" vertical="center"/>
    </xf>
    <xf numFmtId="3" fontId="36" fillId="0" borderId="5" xfId="3" applyNumberFormat="1" applyFont="1" applyBorder="1" applyAlignment="1">
      <alignment horizontal="center" vertical="center"/>
    </xf>
    <xf numFmtId="3" fontId="36" fillId="0" borderId="6" xfId="3" applyNumberFormat="1" applyFont="1" applyBorder="1" applyAlignment="1">
      <alignment horizontal="center" vertical="center"/>
    </xf>
    <xf numFmtId="3" fontId="35" fillId="0" borderId="8" xfId="3" applyNumberFormat="1" applyFont="1" applyBorder="1" applyAlignment="1">
      <alignment horizontal="center" vertical="center"/>
    </xf>
    <xf numFmtId="3" fontId="37" fillId="0" borderId="0" xfId="4" applyNumberFormat="1" applyFont="1" applyFill="1" applyAlignment="1">
      <alignment horizontal="center" vertical="center"/>
    </xf>
    <xf numFmtId="164" fontId="37" fillId="0" borderId="3" xfId="4" applyNumberFormat="1" applyFont="1" applyFill="1" applyBorder="1" applyAlignment="1">
      <alignment horizontal="center" vertical="center"/>
    </xf>
    <xf numFmtId="164" fontId="37" fillId="0" borderId="6" xfId="4" applyNumberFormat="1" applyFont="1" applyFill="1" applyBorder="1" applyAlignment="1">
      <alignment horizontal="center" vertical="center"/>
    </xf>
    <xf numFmtId="2" fontId="7" fillId="0" borderId="18" xfId="3" applyNumberFormat="1" applyFont="1" applyBorder="1" applyAlignment="1">
      <alignment horizontal="center" vertical="center"/>
    </xf>
    <xf numFmtId="37" fontId="34" fillId="3" borderId="0" xfId="5" applyNumberFormat="1" applyFont="1" applyFill="1" applyBorder="1" applyAlignment="1">
      <alignment horizontal="center" vertical="center"/>
    </xf>
    <xf numFmtId="0" fontId="23" fillId="4" borderId="11" xfId="0" applyFont="1" applyFill="1" applyBorder="1" applyAlignment="1">
      <alignment vertical="center"/>
    </xf>
    <xf numFmtId="0" fontId="23" fillId="0" borderId="8" xfId="0" applyFont="1" applyBorder="1" applyAlignment="1">
      <alignment vertical="center"/>
    </xf>
    <xf numFmtId="0" fontId="34" fillId="0" borderId="13" xfId="4" applyFont="1" applyFill="1" applyBorder="1" applyAlignment="1">
      <alignment horizontal="left" vertical="center" indent="1"/>
    </xf>
    <xf numFmtId="0" fontId="34" fillId="0" borderId="14" xfId="4" applyFont="1" applyFill="1" applyBorder="1" applyAlignment="1">
      <alignment horizontal="left" vertical="center" indent="1"/>
    </xf>
    <xf numFmtId="0" fontId="37" fillId="0" borderId="15" xfId="4" applyFont="1" applyFill="1" applyBorder="1" applyAlignment="1">
      <alignment horizontal="left" indent="1"/>
    </xf>
    <xf numFmtId="0" fontId="34" fillId="0" borderId="3" xfId="4" applyFont="1" applyFill="1" applyBorder="1" applyAlignment="1">
      <alignment horizontal="left" vertical="center" indent="1"/>
    </xf>
    <xf numFmtId="0" fontId="34" fillId="0" borderId="8" xfId="4" applyFont="1" applyFill="1" applyBorder="1" applyAlignment="1">
      <alignment horizontal="left" vertical="center" indent="1"/>
    </xf>
    <xf numFmtId="0" fontId="37" fillId="0" borderId="6" xfId="4" applyFont="1" applyFill="1" applyBorder="1" applyAlignment="1">
      <alignment horizontal="left" indent="1"/>
    </xf>
    <xf numFmtId="166" fontId="11" fillId="4" borderId="6" xfId="2" applyNumberFormat="1" applyFont="1" applyFill="1" applyBorder="1" applyAlignment="1">
      <alignment horizontal="center" vertical="center"/>
    </xf>
    <xf numFmtId="37" fontId="34" fillId="3" borderId="5" xfId="5" applyNumberFormat="1" applyFont="1" applyFill="1" applyBorder="1" applyAlignment="1">
      <alignment horizontal="center" vertical="center"/>
    </xf>
    <xf numFmtId="0" fontId="37" fillId="0" borderId="8" xfId="4" applyFont="1" applyFill="1" applyBorder="1" applyAlignment="1">
      <alignment horizontal="left" indent="1"/>
    </xf>
    <xf numFmtId="0" fontId="29" fillId="4" borderId="11" xfId="0" applyFont="1" applyFill="1" applyBorder="1" applyAlignment="1">
      <alignment vertical="center"/>
    </xf>
    <xf numFmtId="0" fontId="34" fillId="3" borderId="8" xfId="4" applyFont="1" applyBorder="1" applyAlignment="1">
      <alignment horizontal="left" vertical="center" indent="1"/>
    </xf>
    <xf numFmtId="3" fontId="11" fillId="4" borderId="2" xfId="5" applyNumberFormat="1" applyFont="1" applyFill="1" applyBorder="1" applyAlignment="1">
      <alignment horizontal="center" vertical="center"/>
    </xf>
    <xf numFmtId="3" fontId="4" fillId="3" borderId="5" xfId="2" applyNumberFormat="1" applyFont="1" applyFill="1" applyBorder="1" applyAlignment="1">
      <alignment horizontal="center" vertical="center"/>
    </xf>
    <xf numFmtId="164" fontId="4" fillId="3" borderId="7" xfId="5" applyNumberFormat="1" applyFont="1" applyFill="1" applyBorder="1" applyAlignment="1">
      <alignment horizontal="center" vertical="center"/>
    </xf>
    <xf numFmtId="164" fontId="4" fillId="3" borderId="0" xfId="5" applyNumberFormat="1" applyFont="1" applyFill="1" applyBorder="1" applyAlignment="1">
      <alignment horizontal="center" vertical="center"/>
    </xf>
    <xf numFmtId="10" fontId="4" fillId="3" borderId="8" xfId="2" applyNumberFormat="1" applyFont="1" applyFill="1" applyBorder="1" applyAlignment="1">
      <alignment horizontal="center" vertical="center"/>
    </xf>
    <xf numFmtId="169" fontId="15" fillId="3" borderId="14" xfId="2" applyNumberFormat="1" applyFont="1" applyFill="1" applyBorder="1" applyAlignment="1">
      <alignment horizontal="center" vertical="center"/>
    </xf>
    <xf numFmtId="3" fontId="16" fillId="4" borderId="0" xfId="5" applyNumberFormat="1" applyFont="1" applyFill="1" applyBorder="1" applyAlignment="1">
      <alignment horizontal="center" vertical="center"/>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3" fillId="2" borderId="0" xfId="3" applyFont="1" applyFill="1" applyAlignment="1">
      <alignment horizontal="center" vertical="center"/>
    </xf>
    <xf numFmtId="0" fontId="5" fillId="2" borderId="0" xfId="3" applyFont="1" applyFill="1" applyAlignment="1">
      <alignment horizontal="center" vertical="center"/>
    </xf>
    <xf numFmtId="0" fontId="3" fillId="2" borderId="0" xfId="3" applyFont="1" applyFill="1" applyAlignment="1">
      <alignment horizontal="left" vertical="center" wrapText="1"/>
    </xf>
    <xf numFmtId="0" fontId="7" fillId="0" borderId="7" xfId="3" applyFont="1" applyBorder="1" applyAlignment="1">
      <alignment horizontal="left" vertical="center" wrapText="1"/>
    </xf>
    <xf numFmtId="0" fontId="7" fillId="0" borderId="0" xfId="3" applyFont="1" applyAlignment="1">
      <alignment horizontal="left" vertical="center" wrapText="1"/>
    </xf>
    <xf numFmtId="0" fontId="7" fillId="0" borderId="8" xfId="3" applyFont="1" applyBorder="1" applyAlignment="1">
      <alignment horizontal="left" vertical="center" wrapText="1"/>
    </xf>
    <xf numFmtId="0" fontId="7" fillId="0" borderId="4" xfId="3" applyFont="1" applyBorder="1" applyAlignment="1">
      <alignment horizontal="left" vertical="center" wrapText="1"/>
    </xf>
    <xf numFmtId="0" fontId="7" fillId="0" borderId="5" xfId="3" applyFont="1" applyBorder="1" applyAlignment="1">
      <alignment horizontal="left" vertical="center" wrapText="1"/>
    </xf>
    <xf numFmtId="0" fontId="7" fillId="0" borderId="6" xfId="3" applyFont="1" applyBorder="1" applyAlignment="1">
      <alignment horizontal="left" vertical="center" wrapText="1"/>
    </xf>
    <xf numFmtId="0" fontId="24" fillId="0" borderId="0" xfId="0" applyFont="1" applyAlignment="1">
      <alignment horizontal="center" vertical="center" wrapText="1"/>
    </xf>
    <xf numFmtId="0" fontId="14" fillId="2" borderId="0" xfId="3" applyFont="1" applyFill="1" applyAlignment="1">
      <alignment horizontal="center" vertical="center"/>
    </xf>
    <xf numFmtId="3" fontId="11" fillId="4" borderId="9" xfId="4" applyNumberFormat="1" applyFont="1" applyFill="1" applyBorder="1" applyAlignment="1">
      <alignment horizontal="center" vertical="center" wrapText="1"/>
    </xf>
    <xf numFmtId="3" fontId="11" fillId="4" borderId="10" xfId="4" applyNumberFormat="1" applyFont="1" applyFill="1" applyBorder="1" applyAlignment="1">
      <alignment horizontal="center" vertical="center"/>
    </xf>
    <xf numFmtId="3" fontId="11" fillId="4" borderId="11" xfId="4" applyNumberFormat="1" applyFont="1" applyFill="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3" fontId="11" fillId="4" borderId="1" xfId="4" applyNumberFormat="1" applyFont="1" applyFill="1" applyBorder="1" applyAlignment="1">
      <alignment horizontal="center" vertical="center" wrapText="1"/>
    </xf>
    <xf numFmtId="3" fontId="11" fillId="4" borderId="2" xfId="4" applyNumberFormat="1" applyFont="1" applyFill="1" applyBorder="1" applyAlignment="1">
      <alignment horizontal="center" vertical="center"/>
    </xf>
  </cellXfs>
  <cellStyles count="6">
    <cellStyle name="Millares" xfId="1" builtinId="3"/>
    <cellStyle name="Millares 2 3" xfId="5" xr:uid="{91F79B58-C3C6-403F-A8E9-4300BB98F3CB}"/>
    <cellStyle name="Normal" xfId="0" builtinId="0"/>
    <cellStyle name="Normal 4 3" xfId="3" xr:uid="{D267B31E-527F-4464-A87D-B67EB82B966C}"/>
    <cellStyle name="Porcentaje" xfId="2" builtinId="5"/>
    <cellStyle name="TEXTO NORMAL" xfId="4" xr:uid="{EDAE4161-A78A-4A5B-A559-60E5C027FF5D}"/>
  </cellStyles>
  <dxfs count="1">
    <dxf>
      <fill>
        <patternFill patternType="none"/>
      </fill>
    </dxf>
  </dxfs>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C00000">
                <a:alpha val="30196"/>
              </a:srgbClr>
            </a:solidFill>
          </c:spPr>
          <c:invertIfNegative val="0"/>
          <c:dPt>
            <c:idx val="7"/>
            <c:invertIfNegative val="0"/>
            <c:bubble3D val="0"/>
            <c:extLst>
              <c:ext xmlns:c16="http://schemas.microsoft.com/office/drawing/2014/chart" uri="{C3380CC4-5D6E-409C-BE32-E72D297353CC}">
                <c16:uniqueId val="{00000000-9898-4371-A9E4-B533EE1B1C1E}"/>
              </c:ext>
            </c:extLst>
          </c:dPt>
          <c:dPt>
            <c:idx val="9"/>
            <c:invertIfNegative val="0"/>
            <c:bubble3D val="0"/>
            <c:spPr>
              <a:solidFill>
                <a:srgbClr val="C00000"/>
              </a:solidFill>
            </c:spPr>
            <c:extLst>
              <c:ext xmlns:c16="http://schemas.microsoft.com/office/drawing/2014/chart" uri="{C3380CC4-5D6E-409C-BE32-E72D297353CC}">
                <c16:uniqueId val="{00000002-9898-4371-A9E4-B533EE1B1C1E}"/>
              </c:ext>
            </c:extLst>
          </c:dPt>
          <c:dLbls>
            <c:dLbl>
              <c:idx val="9"/>
              <c:spPr>
                <a:noFill/>
                <a:ln>
                  <a:noFill/>
                </a:ln>
                <a:effectLst/>
              </c:spPr>
              <c:txPr>
                <a:bodyPr/>
                <a:lstStyle/>
                <a:p>
                  <a:pPr>
                    <a:defRPr sz="1100" b="1"/>
                  </a:pPr>
                  <a:endParaRPr lang="es-PE"/>
                </a:p>
              </c:txPr>
              <c:dLblPos val="outEnd"/>
              <c:showLegendKey val="0"/>
              <c:showVal val="1"/>
              <c:showCatName val="0"/>
              <c:showSerName val="0"/>
              <c:showPercent val="0"/>
              <c:showBubbleSize val="0"/>
              <c:extLst>
                <c:ext xmlns:c16="http://schemas.microsoft.com/office/drawing/2014/chart" uri="{C3380CC4-5D6E-409C-BE32-E72D297353CC}">
                  <c16:uniqueId val="{00000002-9898-4371-A9E4-B533EE1B1C1E}"/>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'S01.C01'!$C$27:$C$36</c:f>
              <c:strCache>
                <c:ptCount val="10"/>
                <c:pt idx="0">
                  <c:v>2016</c:v>
                </c:pt>
                <c:pt idx="1">
                  <c:v>2017</c:v>
                </c:pt>
                <c:pt idx="2">
                  <c:v>2018</c:v>
                </c:pt>
                <c:pt idx="3">
                  <c:v>2019</c:v>
                </c:pt>
                <c:pt idx="4">
                  <c:v>2020</c:v>
                </c:pt>
                <c:pt idx="5">
                  <c:v>2021</c:v>
                </c:pt>
                <c:pt idx="6">
                  <c:v>2022</c:v>
                </c:pt>
                <c:pt idx="7">
                  <c:v>2023</c:v>
                </c:pt>
                <c:pt idx="8">
                  <c:v>2024</c:v>
                </c:pt>
                <c:pt idx="9">
                  <c:v>2025
(Ene-Set)
(Jan-Sept.)</c:v>
                </c:pt>
              </c:strCache>
            </c:strRef>
          </c:cat>
          <c:val>
            <c:numRef>
              <c:f>'S01.C01'!$Q$27:$Q$36</c:f>
              <c:numCache>
                <c:formatCode>#,##0</c:formatCode>
                <c:ptCount val="10"/>
                <c:pt idx="0">
                  <c:v>2352.9595047380653</c:v>
                </c:pt>
                <c:pt idx="1">
                  <c:v>2440.1811105834286</c:v>
                </c:pt>
                <c:pt idx="2">
                  <c:v>2416.8811002070697</c:v>
                </c:pt>
                <c:pt idx="3">
                  <c:v>2437.9253739027731</c:v>
                </c:pt>
                <c:pt idx="4">
                  <c:v>2150.1259121219628</c:v>
                </c:pt>
                <c:pt idx="5">
                  <c:v>2326.0353089323735</c:v>
                </c:pt>
                <c:pt idx="6">
                  <c:v>2445.2708303173977</c:v>
                </c:pt>
                <c:pt idx="7">
                  <c:v>2755.2443167853276</c:v>
                </c:pt>
                <c:pt idx="8">
                  <c:v>2736.2371072517244</c:v>
                </c:pt>
                <c:pt idx="9">
                  <c:v>2048.3947591561223</c:v>
                </c:pt>
              </c:numCache>
            </c:numRef>
          </c:val>
          <c:extLst>
            <c:ext xmlns:c16="http://schemas.microsoft.com/office/drawing/2014/chart" uri="{C3380CC4-5D6E-409C-BE32-E72D297353CC}">
              <c16:uniqueId val="{00000003-9898-4371-A9E4-B533EE1B1C1E}"/>
            </c:ext>
          </c:extLst>
        </c:ser>
        <c:dLbls>
          <c:dLblPos val="outEnd"/>
          <c:showLegendKey val="0"/>
          <c:showVal val="1"/>
          <c:showCatName val="0"/>
          <c:showSerName val="0"/>
          <c:showPercent val="0"/>
          <c:showBubbleSize val="0"/>
        </c:dLbls>
        <c:gapWidth val="150"/>
        <c:axId val="173291776"/>
        <c:axId val="173301760"/>
      </c:barChart>
      <c:catAx>
        <c:axId val="173291776"/>
        <c:scaling>
          <c:orientation val="minMax"/>
        </c:scaling>
        <c:delete val="0"/>
        <c:axPos val="b"/>
        <c:numFmt formatCode="General" sourceLinked="0"/>
        <c:majorTickMark val="out"/>
        <c:minorTickMark val="none"/>
        <c:tickLblPos val="nextTo"/>
        <c:crossAx val="173301760"/>
        <c:crosses val="autoZero"/>
        <c:auto val="1"/>
        <c:lblAlgn val="ctr"/>
        <c:lblOffset val="100"/>
        <c:noMultiLvlLbl val="0"/>
      </c:catAx>
      <c:valAx>
        <c:axId val="173301760"/>
        <c:scaling>
          <c:orientation val="minMax"/>
        </c:scaling>
        <c:delete val="0"/>
        <c:axPos val="l"/>
        <c:numFmt formatCode="#,##0" sourceLinked="1"/>
        <c:majorTickMark val="out"/>
        <c:minorTickMark val="none"/>
        <c:tickLblPos val="nextTo"/>
        <c:crossAx val="173291776"/>
        <c:crosses val="autoZero"/>
        <c:crossBetween val="between"/>
        <c:majorUnit val="1000"/>
      </c:valAx>
    </c:plotArea>
    <c:plotVisOnly val="1"/>
    <c:dispBlanksAs val="gap"/>
    <c:showDLblsOverMax val="0"/>
  </c:chart>
  <c:spPr>
    <a:ln>
      <a:noFill/>
    </a:ln>
  </c:spPr>
  <c:txPr>
    <a:bodyPr/>
    <a:lstStyle/>
    <a:p>
      <a:pPr>
        <a:defRPr>
          <a:latin typeface="+mj-lt"/>
        </a:defRPr>
      </a:pPr>
      <a:endParaRPr lang="es-PE"/>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63207</xdr:colOff>
      <xdr:row>64</xdr:row>
      <xdr:rowOff>19050</xdr:rowOff>
    </xdr:from>
    <xdr:to>
      <xdr:col>15</xdr:col>
      <xdr:colOff>542924</xdr:colOff>
      <xdr:row>71</xdr:row>
      <xdr:rowOff>1</xdr:rowOff>
    </xdr:to>
    <xdr:graphicFrame macro="">
      <xdr:nvGraphicFramePr>
        <xdr:cNvPr id="2" name="2 Gráfico">
          <a:extLst>
            <a:ext uri="{FF2B5EF4-FFF2-40B4-BE49-F238E27FC236}">
              <a16:creationId xmlns:a16="http://schemas.microsoft.com/office/drawing/2014/main" id="{7A05BD03-B28A-43AA-BB20-4FA32B326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D1A5-1E2C-4C4B-962C-18DF0D6A85A6}">
  <sheetPr>
    <tabColor rgb="FFC00000"/>
    <pageSetUpPr fitToPage="1"/>
  </sheetPr>
  <dimension ref="C3:AJ73"/>
  <sheetViews>
    <sheetView showGridLines="0" tabSelected="1" view="pageBreakPreview" zoomScaleNormal="100" zoomScaleSheetLayoutView="100" workbookViewId="0"/>
  </sheetViews>
  <sheetFormatPr baseColWidth="10" defaultColWidth="11.42578125" defaultRowHeight="12.75" x14ac:dyDescent="0.25"/>
  <cols>
    <col min="1" max="2" width="2.7109375" style="2" customWidth="1"/>
    <col min="3" max="3" width="12.85546875" style="39" customWidth="1"/>
    <col min="4" max="4" width="12.42578125" style="2" customWidth="1"/>
    <col min="5" max="5" width="13.28515625" style="2" bestFit="1" customWidth="1"/>
    <col min="6" max="16" width="12.42578125" style="2" customWidth="1"/>
    <col min="17" max="17" width="2.42578125" style="8" customWidth="1"/>
    <col min="18" max="18" width="11.42578125" style="2"/>
    <col min="19" max="19" width="12.42578125" style="2" bestFit="1" customWidth="1"/>
    <col min="20" max="20" width="14.42578125" style="2" bestFit="1" customWidth="1"/>
    <col min="21" max="22" width="12.42578125" style="2" bestFit="1" customWidth="1"/>
    <col min="23" max="23" width="11.5703125" style="2" bestFit="1" customWidth="1"/>
    <col min="24" max="24" width="13.42578125" style="2" bestFit="1" customWidth="1"/>
    <col min="25" max="26" width="11.5703125" style="2" bestFit="1" customWidth="1"/>
    <col min="27" max="27" width="11.42578125" style="2"/>
    <col min="28" max="28" width="11.5703125" style="2" bestFit="1" customWidth="1"/>
    <col min="29" max="29" width="13.42578125" style="2" bestFit="1" customWidth="1"/>
    <col min="30" max="32" width="11.5703125" style="2" bestFit="1" customWidth="1"/>
    <col min="33" max="33" width="12.42578125" style="2" bestFit="1" customWidth="1"/>
    <col min="34" max="35" width="11.5703125" style="2" bestFit="1" customWidth="1"/>
    <col min="36" max="16384" width="11.42578125" style="2"/>
  </cols>
  <sheetData>
    <row r="3" spans="3:17" ht="15.75" customHeight="1" x14ac:dyDescent="0.25">
      <c r="C3" s="260" t="s">
        <v>0</v>
      </c>
      <c r="D3" s="260"/>
      <c r="E3" s="260"/>
      <c r="F3" s="260"/>
      <c r="G3" s="260"/>
      <c r="H3" s="260"/>
      <c r="I3" s="260"/>
      <c r="J3" s="260"/>
      <c r="K3" s="260"/>
      <c r="L3" s="260"/>
      <c r="M3" s="260"/>
      <c r="N3" s="260"/>
      <c r="O3" s="260"/>
      <c r="P3" s="260"/>
      <c r="Q3" s="1"/>
    </row>
    <row r="4" spans="3:17" ht="14.25" customHeight="1" x14ac:dyDescent="0.25">
      <c r="C4" s="261" t="s">
        <v>1</v>
      </c>
      <c r="D4" s="261"/>
      <c r="E4" s="261"/>
      <c r="F4" s="261"/>
      <c r="G4" s="261"/>
      <c r="H4" s="261"/>
      <c r="I4" s="261"/>
      <c r="J4" s="261"/>
      <c r="K4" s="261"/>
      <c r="L4" s="261"/>
      <c r="M4" s="261"/>
      <c r="N4" s="261"/>
      <c r="O4" s="261"/>
      <c r="P4" s="261"/>
      <c r="Q4" s="3"/>
    </row>
    <row r="5" spans="3:17" ht="9" customHeight="1" x14ac:dyDescent="0.25">
      <c r="C5" s="4"/>
      <c r="D5" s="5"/>
      <c r="E5" s="5"/>
      <c r="F5" s="5"/>
      <c r="G5" s="5"/>
      <c r="H5" s="6"/>
      <c r="I5" s="7"/>
      <c r="J5" s="6"/>
      <c r="K5" s="5"/>
      <c r="L5" s="5"/>
      <c r="M5" s="5"/>
      <c r="N5" s="5"/>
      <c r="O5" s="5"/>
      <c r="P5" s="5"/>
    </row>
    <row r="6" spans="3:17" ht="14.45" customHeight="1" x14ac:dyDescent="0.25">
      <c r="C6" s="262" t="s">
        <v>2</v>
      </c>
      <c r="D6" s="262"/>
      <c r="E6" s="262"/>
      <c r="F6" s="262"/>
      <c r="G6" s="262"/>
      <c r="H6" s="262"/>
      <c r="I6" s="262"/>
      <c r="J6" s="262"/>
      <c r="K6" s="262"/>
      <c r="L6" s="9"/>
      <c r="M6" s="9"/>
      <c r="N6" s="9"/>
      <c r="O6" s="9"/>
      <c r="P6" s="9"/>
    </row>
    <row r="7" spans="3:17" ht="14.45" customHeight="1" x14ac:dyDescent="0.25">
      <c r="C7" s="10" t="s">
        <v>3</v>
      </c>
      <c r="D7" s="9"/>
      <c r="E7" s="9"/>
      <c r="F7" s="9"/>
      <c r="G7" s="9"/>
      <c r="H7" s="9"/>
      <c r="I7" s="9"/>
      <c r="J7" s="9"/>
      <c r="K7" s="9"/>
      <c r="L7" s="9"/>
      <c r="M7" s="9"/>
      <c r="N7" s="9"/>
      <c r="O7" s="9"/>
      <c r="P7" s="9"/>
    </row>
    <row r="8" spans="3:17" x14ac:dyDescent="0.25">
      <c r="C8" s="5"/>
      <c r="D8" s="5"/>
      <c r="E8" s="5"/>
      <c r="F8" s="5"/>
      <c r="G8" s="5"/>
      <c r="H8" s="5"/>
      <c r="I8" s="5"/>
      <c r="J8" s="5"/>
      <c r="K8" s="5"/>
      <c r="L8" s="5"/>
      <c r="M8" s="5"/>
      <c r="N8" s="5"/>
      <c r="O8" s="5"/>
      <c r="P8" s="5"/>
    </row>
    <row r="9" spans="3:17" s="15" customFormat="1" ht="29.25" customHeight="1" x14ac:dyDescent="0.25">
      <c r="C9" s="11" t="s">
        <v>4</v>
      </c>
      <c r="D9" s="12" t="s">
        <v>5</v>
      </c>
      <c r="E9" s="12" t="s">
        <v>6</v>
      </c>
      <c r="F9" s="12" t="s">
        <v>7</v>
      </c>
      <c r="G9" s="12" t="s">
        <v>8</v>
      </c>
      <c r="H9" s="12" t="s">
        <v>9</v>
      </c>
      <c r="I9" s="12" t="s">
        <v>10</v>
      </c>
      <c r="J9" s="12" t="s">
        <v>11</v>
      </c>
      <c r="K9" s="12" t="s">
        <v>12</v>
      </c>
      <c r="L9" s="12" t="s">
        <v>13</v>
      </c>
      <c r="M9" s="12" t="s">
        <v>14</v>
      </c>
      <c r="N9" s="12" t="s">
        <v>15</v>
      </c>
      <c r="O9" s="12" t="s">
        <v>16</v>
      </c>
      <c r="P9" s="13" t="s">
        <v>17</v>
      </c>
      <c r="Q9" s="14"/>
    </row>
    <row r="10" spans="3:17" ht="24" x14ac:dyDescent="0.25">
      <c r="C10" s="16"/>
      <c r="D10" s="17" t="s">
        <v>18</v>
      </c>
      <c r="E10" s="17" t="s">
        <v>19</v>
      </c>
      <c r="F10" s="17" t="s">
        <v>18</v>
      </c>
      <c r="G10" s="17" t="s">
        <v>20</v>
      </c>
      <c r="H10" s="17" t="s">
        <v>18</v>
      </c>
      <c r="I10" s="17" t="s">
        <v>18</v>
      </c>
      <c r="J10" s="17" t="s">
        <v>18</v>
      </c>
      <c r="K10" s="17" t="s">
        <v>18</v>
      </c>
      <c r="L10" s="17" t="s">
        <v>18</v>
      </c>
      <c r="M10" s="17" t="s">
        <v>18</v>
      </c>
      <c r="N10" s="17" t="s">
        <v>18</v>
      </c>
      <c r="O10" s="17" t="s">
        <v>18</v>
      </c>
      <c r="P10" s="18" t="s">
        <v>18</v>
      </c>
    </row>
    <row r="11" spans="3:17" x14ac:dyDescent="0.25">
      <c r="C11" s="19">
        <v>2000</v>
      </c>
      <c r="D11" s="20">
        <v>553924</v>
      </c>
      <c r="E11" s="20">
        <v>132585078.00000001</v>
      </c>
      <c r="F11" s="20">
        <v>910303</v>
      </c>
      <c r="G11" s="20">
        <v>2437706</v>
      </c>
      <c r="H11" s="20">
        <v>270576</v>
      </c>
      <c r="I11" s="20">
        <v>2812784.7804642497</v>
      </c>
      <c r="J11" s="20">
        <v>37410</v>
      </c>
      <c r="K11" s="20">
        <v>7193</v>
      </c>
      <c r="L11" s="20" t="s">
        <v>21</v>
      </c>
      <c r="M11" s="20" t="s">
        <v>21</v>
      </c>
      <c r="N11" s="20" t="s">
        <v>21</v>
      </c>
      <c r="O11" s="20" t="s">
        <v>21</v>
      </c>
      <c r="P11" s="21" t="s">
        <v>21</v>
      </c>
    </row>
    <row r="12" spans="3:17" x14ac:dyDescent="0.25">
      <c r="C12" s="19">
        <v>2001</v>
      </c>
      <c r="D12" s="20">
        <v>722355.34555900015</v>
      </c>
      <c r="E12" s="20">
        <v>138522109.261338</v>
      </c>
      <c r="F12" s="20">
        <v>1056629.375614</v>
      </c>
      <c r="G12" s="20">
        <v>2571113.7884550001</v>
      </c>
      <c r="H12" s="20">
        <v>289546.06610700005</v>
      </c>
      <c r="I12" s="20">
        <v>3038401.494655</v>
      </c>
      <c r="J12" s="20">
        <v>38182.076774000001</v>
      </c>
      <c r="K12" s="20">
        <v>9499.2289039999996</v>
      </c>
      <c r="L12" s="20" t="s">
        <v>21</v>
      </c>
      <c r="M12" s="20" t="s">
        <v>21</v>
      </c>
      <c r="N12" s="20" t="s">
        <v>21</v>
      </c>
      <c r="O12" s="20" t="s">
        <v>21</v>
      </c>
      <c r="P12" s="21" t="s">
        <v>21</v>
      </c>
    </row>
    <row r="13" spans="3:17" x14ac:dyDescent="0.25">
      <c r="C13" s="19">
        <v>2002</v>
      </c>
      <c r="D13" s="20">
        <v>844552.87496099994</v>
      </c>
      <c r="E13" s="20">
        <v>157529918.53579301</v>
      </c>
      <c r="F13" s="20">
        <v>1232996.9204689998</v>
      </c>
      <c r="G13" s="20">
        <v>2869638.9847490001</v>
      </c>
      <c r="H13" s="20">
        <v>305650.71951300005</v>
      </c>
      <c r="I13" s="20">
        <v>3056055.2522</v>
      </c>
      <c r="J13" s="20">
        <v>38815.044966000001</v>
      </c>
      <c r="K13" s="20">
        <v>8612.8507310000005</v>
      </c>
      <c r="L13" s="20" t="s">
        <v>21</v>
      </c>
      <c r="M13" s="20" t="s">
        <v>21</v>
      </c>
      <c r="N13" s="20" t="s">
        <v>21</v>
      </c>
      <c r="O13" s="20" t="s">
        <v>21</v>
      </c>
      <c r="P13" s="21" t="s">
        <v>21</v>
      </c>
    </row>
    <row r="14" spans="3:17" x14ac:dyDescent="0.25">
      <c r="C14" s="19">
        <v>2003</v>
      </c>
      <c r="D14" s="20">
        <v>842605.07863000024</v>
      </c>
      <c r="E14" s="20">
        <v>172624629.84419996</v>
      </c>
      <c r="F14" s="20">
        <v>1373792.267121</v>
      </c>
      <c r="G14" s="20">
        <v>2923686.4022500003</v>
      </c>
      <c r="H14" s="20">
        <v>309163.88219000009</v>
      </c>
      <c r="I14" s="20">
        <v>3484900.3702520002</v>
      </c>
      <c r="J14" s="20">
        <v>40202.178839999993</v>
      </c>
      <c r="K14" s="20">
        <v>9589.5781260000003</v>
      </c>
      <c r="L14" s="20" t="s">
        <v>21</v>
      </c>
      <c r="M14" s="20" t="s">
        <v>21</v>
      </c>
      <c r="N14" s="20" t="s">
        <v>21</v>
      </c>
      <c r="O14" s="20" t="s">
        <v>21</v>
      </c>
      <c r="P14" s="21" t="s">
        <v>21</v>
      </c>
    </row>
    <row r="15" spans="3:17" x14ac:dyDescent="0.25">
      <c r="C15" s="19">
        <v>2004</v>
      </c>
      <c r="D15" s="20">
        <v>1035574.04973</v>
      </c>
      <c r="E15" s="20">
        <v>173223817.38585296</v>
      </c>
      <c r="F15" s="20">
        <v>1209005.7091610003</v>
      </c>
      <c r="G15" s="20">
        <v>3059961.8968920005</v>
      </c>
      <c r="H15" s="20">
        <v>306210.77793799998</v>
      </c>
      <c r="I15" s="20">
        <v>4247173.7726000007</v>
      </c>
      <c r="J15" s="20">
        <v>41613.363517999998</v>
      </c>
      <c r="K15" s="20">
        <v>14246.326868</v>
      </c>
      <c r="L15" s="20" t="s">
        <v>21</v>
      </c>
      <c r="M15" s="20" t="s">
        <v>21</v>
      </c>
      <c r="N15" s="20" t="s">
        <v>21</v>
      </c>
      <c r="O15" s="20" t="s">
        <v>21</v>
      </c>
      <c r="P15" s="21" t="s">
        <v>21</v>
      </c>
    </row>
    <row r="16" spans="3:17" x14ac:dyDescent="0.25">
      <c r="C16" s="19">
        <v>2005</v>
      </c>
      <c r="D16" s="20">
        <v>1009897.918423</v>
      </c>
      <c r="E16" s="20">
        <v>208001717.81876829</v>
      </c>
      <c r="F16" s="20">
        <v>1201670.9143999997</v>
      </c>
      <c r="G16" s="20">
        <v>3193145.5305729993</v>
      </c>
      <c r="H16" s="20">
        <v>319344.80289899989</v>
      </c>
      <c r="I16" s="20">
        <v>4564989.1370999999</v>
      </c>
      <c r="J16" s="20">
        <v>42144.586211000002</v>
      </c>
      <c r="K16" s="20">
        <v>17325.373315000004</v>
      </c>
      <c r="L16" s="20" t="s">
        <v>21</v>
      </c>
      <c r="M16" s="20" t="s">
        <v>21</v>
      </c>
      <c r="N16" s="20" t="s">
        <v>21</v>
      </c>
      <c r="O16" s="20" t="s">
        <v>21</v>
      </c>
      <c r="P16" s="21" t="s">
        <v>21</v>
      </c>
    </row>
    <row r="17" spans="3:36" x14ac:dyDescent="0.25">
      <c r="C17" s="19">
        <v>2006</v>
      </c>
      <c r="D17" s="20">
        <v>1048472.4635900002</v>
      </c>
      <c r="E17" s="20">
        <v>202825998.65453294</v>
      </c>
      <c r="F17" s="20">
        <v>1203364.0679980002</v>
      </c>
      <c r="G17" s="20">
        <v>3470661.2430209992</v>
      </c>
      <c r="H17" s="20">
        <v>313332.28608800005</v>
      </c>
      <c r="I17" s="20">
        <v>4784600.5820000004</v>
      </c>
      <c r="J17" s="20">
        <v>38469.547186000011</v>
      </c>
      <c r="K17" s="20">
        <v>17209.346067999999</v>
      </c>
      <c r="L17" s="20" t="s">
        <v>21</v>
      </c>
      <c r="M17" s="20" t="s">
        <v>21</v>
      </c>
      <c r="N17" s="20" t="s">
        <v>21</v>
      </c>
      <c r="O17" s="20" t="s">
        <v>21</v>
      </c>
      <c r="P17" s="21" t="s">
        <v>21</v>
      </c>
    </row>
    <row r="18" spans="3:36" x14ac:dyDescent="0.25">
      <c r="C18" s="19">
        <v>2007</v>
      </c>
      <c r="D18" s="20">
        <v>1190273.6039159999</v>
      </c>
      <c r="E18" s="20">
        <v>170127538.95581597</v>
      </c>
      <c r="F18" s="20">
        <v>1444361.4378260002</v>
      </c>
      <c r="G18" s="20">
        <v>3501461.9256330007</v>
      </c>
      <c r="H18" s="20">
        <v>329164.77903499996</v>
      </c>
      <c r="I18" s="20">
        <v>5103597.2635999992</v>
      </c>
      <c r="J18" s="20">
        <v>39018.915689000001</v>
      </c>
      <c r="K18" s="20">
        <v>16786.886077000003</v>
      </c>
      <c r="L18" s="20" t="s">
        <v>21</v>
      </c>
      <c r="M18" s="20" t="s">
        <v>21</v>
      </c>
      <c r="N18" s="20" t="s">
        <v>21</v>
      </c>
      <c r="O18" s="20" t="s">
        <v>21</v>
      </c>
      <c r="P18" s="21" t="s">
        <v>21</v>
      </c>
    </row>
    <row r="19" spans="3:36" x14ac:dyDescent="0.25">
      <c r="C19" s="19">
        <v>2008</v>
      </c>
      <c r="D19" s="20">
        <v>1267866.5800789997</v>
      </c>
      <c r="E19" s="20">
        <v>179870472.99560794</v>
      </c>
      <c r="F19" s="20">
        <v>1602597.0080210003</v>
      </c>
      <c r="G19" s="20">
        <v>3685931.0012759985</v>
      </c>
      <c r="H19" s="20">
        <v>345109.27027199999</v>
      </c>
      <c r="I19" s="20">
        <v>5160707.0164000001</v>
      </c>
      <c r="J19" s="20">
        <v>39037.065935000006</v>
      </c>
      <c r="K19" s="20">
        <v>16720.528117000002</v>
      </c>
      <c r="L19" s="20" t="s">
        <v>21</v>
      </c>
      <c r="M19" s="20" t="s">
        <v>21</v>
      </c>
      <c r="N19" s="20" t="s">
        <v>21</v>
      </c>
      <c r="O19" s="20" t="s">
        <v>21</v>
      </c>
      <c r="P19" s="21" t="s">
        <v>21</v>
      </c>
    </row>
    <row r="20" spans="3:36" x14ac:dyDescent="0.25">
      <c r="C20" s="19">
        <v>2009</v>
      </c>
      <c r="D20" s="20">
        <v>1276249.2028349997</v>
      </c>
      <c r="E20" s="20">
        <v>183994691.50778204</v>
      </c>
      <c r="F20" s="20">
        <v>1512931.0674320005</v>
      </c>
      <c r="G20" s="20">
        <v>3922708.3963299985</v>
      </c>
      <c r="H20" s="20">
        <v>302459.11290999997</v>
      </c>
      <c r="I20" s="20">
        <v>4418768.325600001</v>
      </c>
      <c r="J20" s="20">
        <v>37502.627191</v>
      </c>
      <c r="K20" s="20">
        <v>12297.103142</v>
      </c>
      <c r="L20" s="20" t="s">
        <v>21</v>
      </c>
      <c r="M20" s="20" t="s">
        <v>21</v>
      </c>
      <c r="N20" s="20" t="s">
        <v>21</v>
      </c>
      <c r="O20" s="20" t="s">
        <v>21</v>
      </c>
      <c r="P20" s="21" t="s">
        <v>21</v>
      </c>
    </row>
    <row r="21" spans="3:36" x14ac:dyDescent="0.25">
      <c r="C21" s="19">
        <v>2010</v>
      </c>
      <c r="D21" s="20">
        <v>1247184.0293920001</v>
      </c>
      <c r="E21" s="20">
        <v>164084388.90122896</v>
      </c>
      <c r="F21" s="20">
        <v>1470449.7064990005</v>
      </c>
      <c r="G21" s="20">
        <v>3640465.4641499999</v>
      </c>
      <c r="H21" s="20">
        <v>261989.60579399997</v>
      </c>
      <c r="I21" s="20">
        <v>6042644.2223000005</v>
      </c>
      <c r="J21" s="20">
        <v>33847.813441999999</v>
      </c>
      <c r="K21" s="20">
        <v>16963.268973000002</v>
      </c>
      <c r="L21" s="20" t="s">
        <v>21</v>
      </c>
      <c r="M21" s="20" t="s">
        <v>21</v>
      </c>
      <c r="N21" s="20" t="s">
        <v>21</v>
      </c>
      <c r="O21" s="20" t="s">
        <v>21</v>
      </c>
      <c r="P21" s="21" t="s">
        <v>21</v>
      </c>
    </row>
    <row r="22" spans="3:36" x14ac:dyDescent="0.25">
      <c r="C22" s="19">
        <v>2011</v>
      </c>
      <c r="D22" s="20">
        <v>1235345.068018001</v>
      </c>
      <c r="E22" s="20">
        <v>166186716.98165271</v>
      </c>
      <c r="F22" s="20">
        <v>1256382.6002109998</v>
      </c>
      <c r="G22" s="20">
        <v>3418862.1174220056</v>
      </c>
      <c r="H22" s="20">
        <v>230199.08238500016</v>
      </c>
      <c r="I22" s="20">
        <v>7010937.8915999997</v>
      </c>
      <c r="J22" s="20">
        <v>28881.790965999993</v>
      </c>
      <c r="K22" s="20">
        <v>19141.078052000001</v>
      </c>
      <c r="L22" s="20" t="s">
        <v>21</v>
      </c>
      <c r="M22" s="20" t="s">
        <v>21</v>
      </c>
      <c r="N22" s="20" t="s">
        <v>21</v>
      </c>
      <c r="O22" s="20" t="s">
        <v>21</v>
      </c>
      <c r="P22" s="21" t="s">
        <v>21</v>
      </c>
      <c r="Q22" s="22">
        <f t="shared" ref="Q22:Q36" si="0">D22/1000</f>
        <v>1235.345068018001</v>
      </c>
      <c r="AB22" s="23"/>
      <c r="AC22" s="23"/>
      <c r="AD22" s="23"/>
      <c r="AE22" s="23"/>
      <c r="AF22" s="23"/>
      <c r="AG22" s="23"/>
      <c r="AH22" s="23"/>
      <c r="AI22" s="23"/>
      <c r="AJ22" s="24"/>
    </row>
    <row r="23" spans="3:36" x14ac:dyDescent="0.25">
      <c r="C23" s="19">
        <v>2012</v>
      </c>
      <c r="D23" s="20">
        <v>1289916.9346156276</v>
      </c>
      <c r="E23" s="20">
        <v>153780960.26084191</v>
      </c>
      <c r="F23" s="20">
        <v>1281282.431485241</v>
      </c>
      <c r="G23" s="20">
        <v>3452004.3609873233</v>
      </c>
      <c r="H23" s="20">
        <v>249236.15747171015</v>
      </c>
      <c r="I23" s="20">
        <v>6684539.3918000003</v>
      </c>
      <c r="J23" s="20">
        <v>26104.854505400006</v>
      </c>
      <c r="K23" s="20">
        <v>16790.374244900002</v>
      </c>
      <c r="L23" s="20" t="s">
        <v>21</v>
      </c>
      <c r="M23" s="20" t="s">
        <v>21</v>
      </c>
      <c r="N23" s="20" t="s">
        <v>21</v>
      </c>
      <c r="O23" s="20" t="s">
        <v>21</v>
      </c>
      <c r="P23" s="21" t="s">
        <v>21</v>
      </c>
      <c r="Q23" s="22">
        <f t="shared" si="0"/>
        <v>1289.9169346156277</v>
      </c>
      <c r="R23" s="24"/>
      <c r="AB23" s="23"/>
      <c r="AC23" s="23"/>
      <c r="AD23" s="23"/>
      <c r="AE23" s="23"/>
      <c r="AF23" s="23"/>
      <c r="AG23" s="23"/>
      <c r="AH23" s="23"/>
      <c r="AI23" s="23"/>
    </row>
    <row r="24" spans="3:36" x14ac:dyDescent="0.25">
      <c r="C24" s="19">
        <v>2013</v>
      </c>
      <c r="D24" s="20">
        <v>1363452.9126998207</v>
      </c>
      <c r="E24" s="20">
        <v>143716837.41998193</v>
      </c>
      <c r="F24" s="20">
        <v>1351048.7423302194</v>
      </c>
      <c r="G24" s="20">
        <v>3648503.3400407191</v>
      </c>
      <c r="H24" s="20">
        <v>266312.71547875</v>
      </c>
      <c r="I24" s="20">
        <v>6680658.79</v>
      </c>
      <c r="J24" s="20">
        <v>23667.787451500008</v>
      </c>
      <c r="K24" s="20">
        <v>18139.597244000001</v>
      </c>
      <c r="L24" s="20" t="s">
        <v>21</v>
      </c>
      <c r="M24" s="20" t="s">
        <v>21</v>
      </c>
      <c r="N24" s="20" t="s">
        <v>21</v>
      </c>
      <c r="O24" s="20" t="s">
        <v>21</v>
      </c>
      <c r="P24" s="21" t="s">
        <v>21</v>
      </c>
      <c r="Q24" s="22">
        <f t="shared" si="0"/>
        <v>1363.4529126998207</v>
      </c>
      <c r="R24" s="24"/>
      <c r="AB24" s="23"/>
      <c r="AC24" s="23"/>
      <c r="AD24" s="23"/>
      <c r="AE24" s="23"/>
      <c r="AF24" s="23"/>
      <c r="AG24" s="23"/>
      <c r="AH24" s="23"/>
      <c r="AI24" s="23"/>
    </row>
    <row r="25" spans="3:36" x14ac:dyDescent="0.25">
      <c r="C25" s="19">
        <v>2014</v>
      </c>
      <c r="D25" s="20">
        <v>1377373.7760182077</v>
      </c>
      <c r="E25" s="20">
        <v>129946243.44281495</v>
      </c>
      <c r="F25" s="20">
        <v>1315221.0230463955</v>
      </c>
      <c r="G25" s="20">
        <v>3738279.9180184668</v>
      </c>
      <c r="H25" s="20">
        <v>277116.52714844397</v>
      </c>
      <c r="I25" s="20">
        <v>7192591.9308000002</v>
      </c>
      <c r="J25" s="20">
        <v>23105.261867800007</v>
      </c>
      <c r="K25" s="20">
        <v>17017.692464999996</v>
      </c>
      <c r="L25" s="20" t="s">
        <v>21</v>
      </c>
      <c r="M25" s="20" t="s">
        <v>21</v>
      </c>
      <c r="N25" s="20" t="s">
        <v>21</v>
      </c>
      <c r="O25" s="20" t="s">
        <v>21</v>
      </c>
      <c r="P25" s="21" t="s">
        <v>21</v>
      </c>
      <c r="Q25" s="22">
        <f t="shared" si="0"/>
        <v>1377.3737760182078</v>
      </c>
      <c r="R25" s="24"/>
      <c r="AB25" s="23"/>
      <c r="AC25" s="23"/>
      <c r="AD25" s="23"/>
      <c r="AE25" s="23"/>
      <c r="AF25" s="23"/>
      <c r="AG25" s="23"/>
      <c r="AH25" s="23"/>
      <c r="AI25" s="23"/>
    </row>
    <row r="26" spans="3:36" x14ac:dyDescent="0.25">
      <c r="C26" s="19">
        <v>2015</v>
      </c>
      <c r="D26" s="20">
        <v>1699939.7432781935</v>
      </c>
      <c r="E26" s="20">
        <v>137378305.7952458</v>
      </c>
      <c r="F26" s="20">
        <v>1415823.5863843861</v>
      </c>
      <c r="G26" s="20">
        <v>4071094.9244271382</v>
      </c>
      <c r="H26" s="20">
        <v>314011.10750861233</v>
      </c>
      <c r="I26" s="20">
        <v>7320806.8477000007</v>
      </c>
      <c r="J26" s="20">
        <v>19510.729779199999</v>
      </c>
      <c r="K26" s="20">
        <v>20153.237616000009</v>
      </c>
      <c r="L26" s="20" t="s">
        <v>21</v>
      </c>
      <c r="M26" s="20" t="s">
        <v>21</v>
      </c>
      <c r="N26" s="20" t="s">
        <v>21</v>
      </c>
      <c r="O26" s="20" t="s">
        <v>21</v>
      </c>
      <c r="P26" s="21" t="s">
        <v>21</v>
      </c>
      <c r="Q26" s="22">
        <f t="shared" si="0"/>
        <v>1699.9397432781934</v>
      </c>
      <c r="R26" s="24"/>
      <c r="AB26" s="23"/>
      <c r="AC26" s="23"/>
      <c r="AD26" s="23"/>
      <c r="AE26" s="23"/>
      <c r="AF26" s="23"/>
      <c r="AG26" s="23"/>
      <c r="AH26" s="23"/>
      <c r="AI26" s="23"/>
    </row>
    <row r="27" spans="3:36" x14ac:dyDescent="0.25">
      <c r="C27" s="19">
        <v>2016</v>
      </c>
      <c r="D27" s="20">
        <v>2352959.5047380654</v>
      </c>
      <c r="E27" s="20">
        <v>142230636.69316867</v>
      </c>
      <c r="F27" s="20">
        <v>1329178.0227656392</v>
      </c>
      <c r="G27" s="20">
        <v>4329179.7629066529</v>
      </c>
      <c r="H27" s="20">
        <v>312806.40109176951</v>
      </c>
      <c r="I27" s="20">
        <v>7663123.9877000004</v>
      </c>
      <c r="J27" s="20">
        <v>18789.0047614</v>
      </c>
      <c r="K27" s="20">
        <v>25756.505005499999</v>
      </c>
      <c r="L27" s="20">
        <v>23251.82108854</v>
      </c>
      <c r="M27" s="20">
        <v>187.59719447999996</v>
      </c>
      <c r="N27" s="20" t="s">
        <v>21</v>
      </c>
      <c r="O27" s="20">
        <v>1194.0643193499998</v>
      </c>
      <c r="P27" s="21" t="s">
        <v>21</v>
      </c>
      <c r="Q27" s="22">
        <f t="shared" si="0"/>
        <v>2352.9595047380653</v>
      </c>
      <c r="R27" s="24"/>
      <c r="AB27" s="23"/>
      <c r="AC27" s="23"/>
      <c r="AD27" s="23"/>
      <c r="AE27" s="23"/>
      <c r="AF27" s="23"/>
      <c r="AG27" s="23"/>
      <c r="AH27" s="23"/>
      <c r="AI27" s="23"/>
    </row>
    <row r="28" spans="3:36" x14ac:dyDescent="0.25">
      <c r="C28" s="19">
        <v>2017</v>
      </c>
      <c r="D28" s="20">
        <v>2440181.1105834288</v>
      </c>
      <c r="E28" s="20">
        <v>138425832.76156646</v>
      </c>
      <c r="F28" s="20">
        <v>1466521.468671351</v>
      </c>
      <c r="G28" s="20">
        <v>4318324.2784375055</v>
      </c>
      <c r="H28" s="20">
        <v>305279.59941443987</v>
      </c>
      <c r="I28" s="20">
        <v>8668091.618999999</v>
      </c>
      <c r="J28" s="20">
        <v>17790.363566100001</v>
      </c>
      <c r="K28" s="20">
        <v>28141.125214199987</v>
      </c>
      <c r="L28" s="20">
        <v>22403.407244680002</v>
      </c>
      <c r="M28" s="20">
        <v>123.17674860000001</v>
      </c>
      <c r="N28" s="20" t="s">
        <v>21</v>
      </c>
      <c r="O28" s="20">
        <v>1133.2781170000001</v>
      </c>
      <c r="P28" s="21" t="s">
        <v>21</v>
      </c>
      <c r="Q28" s="22">
        <f t="shared" si="0"/>
        <v>2440.1811105834286</v>
      </c>
      <c r="R28" s="24"/>
      <c r="AB28" s="23"/>
      <c r="AC28" s="23"/>
      <c r="AD28" s="23"/>
      <c r="AE28" s="23"/>
      <c r="AF28" s="23"/>
      <c r="AG28" s="23"/>
      <c r="AH28" s="23"/>
      <c r="AI28" s="23"/>
    </row>
    <row r="29" spans="3:36" ht="12" customHeight="1" x14ac:dyDescent="0.25">
      <c r="C29" s="19">
        <v>2018</v>
      </c>
      <c r="D29" s="20">
        <v>2416881.1002070699</v>
      </c>
      <c r="E29" s="20">
        <v>125933914.4370804</v>
      </c>
      <c r="F29" s="20">
        <v>1471845.936649523</v>
      </c>
      <c r="G29" s="20">
        <v>3999990.1319625694</v>
      </c>
      <c r="H29" s="20">
        <v>288796.22529555805</v>
      </c>
      <c r="I29" s="20">
        <v>9096993.8719999995</v>
      </c>
      <c r="J29" s="20">
        <v>18601.344508400005</v>
      </c>
      <c r="K29" s="20">
        <v>27604.218841510006</v>
      </c>
      <c r="L29" s="20">
        <v>20407.598393799999</v>
      </c>
      <c r="M29" s="20">
        <v>145.236144</v>
      </c>
      <c r="N29" s="20" t="s">
        <v>21</v>
      </c>
      <c r="O29" s="20">
        <v>20879.636489500001</v>
      </c>
      <c r="P29" s="21" t="s">
        <v>21</v>
      </c>
      <c r="Q29" s="22">
        <f t="shared" si="0"/>
        <v>2416.8811002070697</v>
      </c>
      <c r="R29" s="24"/>
      <c r="AB29" s="23"/>
      <c r="AC29" s="23"/>
      <c r="AD29" s="23"/>
      <c r="AE29" s="23"/>
      <c r="AF29" s="23"/>
      <c r="AG29" s="23"/>
      <c r="AH29" s="23"/>
      <c r="AI29" s="23"/>
    </row>
    <row r="30" spans="3:36" x14ac:dyDescent="0.25">
      <c r="C30" s="19">
        <v>2019</v>
      </c>
      <c r="D30" s="20">
        <v>2437925.373902773</v>
      </c>
      <c r="E30" s="20">
        <v>113586028.97131993</v>
      </c>
      <c r="F30" s="20">
        <v>1382753.4838439696</v>
      </c>
      <c r="G30" s="20">
        <v>3706760.2491151234</v>
      </c>
      <c r="H30" s="20">
        <v>307020.88310454384</v>
      </c>
      <c r="I30" s="20">
        <v>9666411.8718999997</v>
      </c>
      <c r="J30" s="20">
        <v>19853.168399999995</v>
      </c>
      <c r="K30" s="20">
        <v>30441.359039579998</v>
      </c>
      <c r="L30" s="20">
        <v>24914.734069159997</v>
      </c>
      <c r="M30" s="20">
        <v>72.514848099999995</v>
      </c>
      <c r="N30" s="20" t="s">
        <v>21</v>
      </c>
      <c r="O30" s="20">
        <v>18814.2028421</v>
      </c>
      <c r="P30" s="21" t="s">
        <v>21</v>
      </c>
      <c r="Q30" s="22">
        <f t="shared" si="0"/>
        <v>2437.9253739027731</v>
      </c>
      <c r="R30" s="24"/>
      <c r="AB30" s="23"/>
      <c r="AC30" s="23"/>
      <c r="AD30" s="23"/>
      <c r="AE30" s="23"/>
      <c r="AF30" s="23"/>
      <c r="AG30" s="23"/>
      <c r="AH30" s="23"/>
      <c r="AI30" s="23"/>
    </row>
    <row r="31" spans="3:36" x14ac:dyDescent="0.25">
      <c r="C31" s="19">
        <v>2020</v>
      </c>
      <c r="D31" s="20">
        <v>2150125.9121219628</v>
      </c>
      <c r="E31" s="20">
        <v>85368457.367976174</v>
      </c>
      <c r="F31" s="20">
        <v>1334570.4777680759</v>
      </c>
      <c r="G31" s="20">
        <v>2721461.1368655483</v>
      </c>
      <c r="H31" s="20">
        <v>241547.91303967001</v>
      </c>
      <c r="I31" s="20">
        <v>8893971.5276180003</v>
      </c>
      <c r="J31" s="20">
        <v>20646.581029499997</v>
      </c>
      <c r="K31" s="20">
        <v>32184.625879069805</v>
      </c>
      <c r="L31" s="20">
        <v>19013.894022044497</v>
      </c>
      <c r="M31" s="20">
        <v>73.906293489500015</v>
      </c>
      <c r="N31" s="20">
        <v>235.52044689999997</v>
      </c>
      <c r="O31" s="20">
        <v>10119.873510295998</v>
      </c>
      <c r="P31" s="21" t="s">
        <v>21</v>
      </c>
      <c r="Q31" s="22">
        <f t="shared" si="0"/>
        <v>2150.1259121219628</v>
      </c>
      <c r="R31" s="24"/>
      <c r="AB31" s="23"/>
      <c r="AC31" s="23"/>
      <c r="AD31" s="23"/>
      <c r="AE31" s="23"/>
      <c r="AF31" s="23"/>
      <c r="AG31" s="23"/>
      <c r="AH31" s="23"/>
      <c r="AI31" s="23"/>
    </row>
    <row r="32" spans="3:36" x14ac:dyDescent="0.25">
      <c r="C32" s="19">
        <v>2021</v>
      </c>
      <c r="D32" s="20">
        <v>2326035.3089323733</v>
      </c>
      <c r="E32" s="20">
        <v>97492951.121057257</v>
      </c>
      <c r="F32" s="20">
        <v>1533134.9989912319</v>
      </c>
      <c r="G32" s="20">
        <v>3333632.4494976597</v>
      </c>
      <c r="H32" s="20">
        <v>264426.50705023162</v>
      </c>
      <c r="I32" s="20">
        <v>12149273.526027001</v>
      </c>
      <c r="J32" s="20">
        <v>26995.267701000004</v>
      </c>
      <c r="K32" s="20">
        <v>34148.029036760017</v>
      </c>
      <c r="L32" s="20">
        <v>21876.501141209999</v>
      </c>
      <c r="M32" s="20">
        <v>247.486251065</v>
      </c>
      <c r="N32" s="20">
        <v>278.81457949999998</v>
      </c>
      <c r="O32" s="20">
        <v>11390.682832689996</v>
      </c>
      <c r="P32" s="21" t="s">
        <v>21</v>
      </c>
      <c r="Q32" s="22">
        <f t="shared" si="0"/>
        <v>2326.0353089323735</v>
      </c>
      <c r="R32" s="24"/>
      <c r="AB32" s="23"/>
      <c r="AC32" s="23"/>
      <c r="AD32" s="23"/>
      <c r="AE32" s="23"/>
      <c r="AF32" s="23"/>
      <c r="AG32" s="23"/>
      <c r="AH32" s="23"/>
      <c r="AI32" s="23"/>
    </row>
    <row r="33" spans="3:35" x14ac:dyDescent="0.25">
      <c r="C33" s="19">
        <v>2022</v>
      </c>
      <c r="D33" s="20">
        <v>2445270.8303173976</v>
      </c>
      <c r="E33" s="20">
        <v>96965977.163885579</v>
      </c>
      <c r="F33" s="20">
        <v>1369649.1117797941</v>
      </c>
      <c r="G33" s="20">
        <v>3084038.7076613051</v>
      </c>
      <c r="H33" s="20">
        <v>255442.99715858512</v>
      </c>
      <c r="I33" s="20">
        <v>12936826.381839</v>
      </c>
      <c r="J33" s="20">
        <v>28231.359913</v>
      </c>
      <c r="K33" s="20">
        <v>31587.568951759989</v>
      </c>
      <c r="L33" s="20">
        <v>25378.500620530005</v>
      </c>
      <c r="M33" s="20">
        <v>251.24793746000006</v>
      </c>
      <c r="N33" s="20">
        <v>263.99886950000001</v>
      </c>
      <c r="O33" s="20">
        <v>1169.1241914</v>
      </c>
      <c r="P33" s="21" t="s">
        <v>21</v>
      </c>
      <c r="Q33" s="22">
        <f t="shared" si="0"/>
        <v>2445.2708303173977</v>
      </c>
      <c r="R33" s="24"/>
      <c r="AB33" s="23"/>
      <c r="AC33" s="23"/>
      <c r="AD33" s="23"/>
      <c r="AE33" s="23"/>
      <c r="AF33" s="23"/>
      <c r="AG33" s="23"/>
      <c r="AH33" s="23"/>
      <c r="AI33" s="23"/>
    </row>
    <row r="34" spans="3:35" x14ac:dyDescent="0.25">
      <c r="C34" s="19">
        <v>2023</v>
      </c>
      <c r="D34" s="20">
        <v>2755244.3167853276</v>
      </c>
      <c r="E34" s="20">
        <v>100985631.43873213</v>
      </c>
      <c r="F34" s="20">
        <v>1469127.1631768667</v>
      </c>
      <c r="G34" s="20">
        <v>3041393.6459926581</v>
      </c>
      <c r="H34" s="20">
        <v>273335.49825696991</v>
      </c>
      <c r="I34" s="20">
        <v>12986023.244491</v>
      </c>
      <c r="J34" s="20">
        <v>26230.046980000003</v>
      </c>
      <c r="K34" s="20">
        <v>33475.6190292315</v>
      </c>
      <c r="L34" s="20">
        <v>31161.763995300007</v>
      </c>
      <c r="M34" s="20">
        <v>303.74941249999995</v>
      </c>
      <c r="N34" s="20">
        <v>331.35815600000001</v>
      </c>
      <c r="O34" s="20">
        <v>1326.7171017999999</v>
      </c>
      <c r="P34" s="21">
        <v>22.705695600000002</v>
      </c>
      <c r="Q34" s="22">
        <f t="shared" si="0"/>
        <v>2755.2443167853276</v>
      </c>
      <c r="R34" s="24"/>
      <c r="AB34" s="23"/>
      <c r="AC34" s="23"/>
      <c r="AD34" s="23"/>
      <c r="AE34" s="23"/>
      <c r="AF34" s="23"/>
      <c r="AG34" s="23"/>
      <c r="AH34" s="23"/>
      <c r="AI34" s="23"/>
    </row>
    <row r="35" spans="3:35" x14ac:dyDescent="0.25">
      <c r="C35" s="16">
        <v>2024</v>
      </c>
      <c r="D35" s="216">
        <v>2736237.1072517242</v>
      </c>
      <c r="E35" s="217">
        <v>109601479.84250277</v>
      </c>
      <c r="F35" s="216">
        <v>1270646.954794979</v>
      </c>
      <c r="G35" s="216">
        <v>3512301.3933015401</v>
      </c>
      <c r="H35" s="216">
        <v>291319.62661629292</v>
      </c>
      <c r="I35" s="216">
        <v>13309265.480335999</v>
      </c>
      <c r="J35" s="216">
        <v>32317.234399999998</v>
      </c>
      <c r="K35" s="216">
        <v>41941.797900007798</v>
      </c>
      <c r="L35" s="216">
        <v>32027.784417279996</v>
      </c>
      <c r="M35" s="216">
        <v>265.34277630000003</v>
      </c>
      <c r="N35" s="216">
        <v>317.31784800000003</v>
      </c>
      <c r="O35" s="216">
        <v>24159.249493900003</v>
      </c>
      <c r="P35" s="223">
        <v>40.573911600000002</v>
      </c>
      <c r="Q35" s="22">
        <f t="shared" si="0"/>
        <v>2736.2371072517244</v>
      </c>
      <c r="R35" s="24"/>
      <c r="AB35" s="23"/>
      <c r="AC35" s="23"/>
      <c r="AD35" s="23"/>
      <c r="AE35" s="23"/>
      <c r="AF35" s="23"/>
      <c r="AG35" s="23"/>
      <c r="AH35" s="23"/>
      <c r="AI35" s="23"/>
    </row>
    <row r="36" spans="3:35" ht="38.25" x14ac:dyDescent="0.25">
      <c r="C36" s="25" t="s">
        <v>138</v>
      </c>
      <c r="D36" s="26">
        <f>SUM(D37:D45)</f>
        <v>2048394.7591561223</v>
      </c>
      <c r="E36" s="26">
        <f t="shared" ref="E36:P36" si="1">SUM(E37:E45)</f>
        <v>80475617.210009888</v>
      </c>
      <c r="F36" s="26">
        <f t="shared" si="1"/>
        <v>1117876.1039818041</v>
      </c>
      <c r="G36" s="26">
        <f t="shared" si="1"/>
        <v>2778167.8780398718</v>
      </c>
      <c r="H36" s="26">
        <f t="shared" si="1"/>
        <v>233191.01744515685</v>
      </c>
      <c r="I36" s="26">
        <f t="shared" si="1"/>
        <v>8364305.5359899998</v>
      </c>
      <c r="J36" s="26">
        <f t="shared" si="1"/>
        <v>25422.809540000002</v>
      </c>
      <c r="K36" s="26">
        <f t="shared" si="1"/>
        <v>28641.025696766101</v>
      </c>
      <c r="L36" s="26">
        <f t="shared" si="1"/>
        <v>20287.814356199997</v>
      </c>
      <c r="M36" s="26">
        <f t="shared" si="1"/>
        <v>204.13281080000002</v>
      </c>
      <c r="N36" s="26">
        <f t="shared" si="1"/>
        <v>239.59685400000001</v>
      </c>
      <c r="O36" s="26">
        <f t="shared" si="1"/>
        <v>28104.971208800001</v>
      </c>
      <c r="P36" s="224">
        <f t="shared" si="1"/>
        <v>27.005279999999999</v>
      </c>
      <c r="Q36" s="22">
        <f t="shared" si="0"/>
        <v>2048.3947591561223</v>
      </c>
      <c r="R36" s="24"/>
      <c r="AB36" s="23"/>
      <c r="AC36" s="23"/>
      <c r="AD36" s="23"/>
      <c r="AE36" s="23"/>
      <c r="AF36" s="23"/>
      <c r="AG36" s="23"/>
      <c r="AH36" s="23"/>
      <c r="AI36" s="23"/>
    </row>
    <row r="37" spans="3:35" x14ac:dyDescent="0.25">
      <c r="C37" s="27" t="s">
        <v>22</v>
      </c>
      <c r="D37" s="218">
        <v>219671.15839866945</v>
      </c>
      <c r="E37" s="218">
        <v>8493157.6215080488</v>
      </c>
      <c r="F37" s="218">
        <v>91855.694164931963</v>
      </c>
      <c r="G37" s="218">
        <v>273535.95251020364</v>
      </c>
      <c r="H37" s="218">
        <v>21568.800301891904</v>
      </c>
      <c r="I37" s="218">
        <v>1161378.8055939998</v>
      </c>
      <c r="J37" s="218">
        <v>2537.2527399999999</v>
      </c>
      <c r="K37" s="218">
        <v>3231.3934248973001</v>
      </c>
      <c r="L37" s="218">
        <v>2338.8900573999999</v>
      </c>
      <c r="M37" s="219">
        <v>20.011532799999998</v>
      </c>
      <c r="N37" s="219">
        <v>30.094110000000001</v>
      </c>
      <c r="O37" s="218">
        <v>2581.9835498000002</v>
      </c>
      <c r="P37" s="225">
        <v>2.2356600000000002</v>
      </c>
      <c r="Q37" s="28">
        <v>11138766.849174995</v>
      </c>
      <c r="T37" s="29"/>
      <c r="U37" s="29"/>
      <c r="V37" s="29"/>
      <c r="W37" s="29"/>
      <c r="X37" s="29"/>
      <c r="Y37" s="29"/>
      <c r="Z37" s="29"/>
      <c r="AA37" s="29"/>
      <c r="AB37" s="23"/>
      <c r="AC37" s="23"/>
      <c r="AD37" s="23"/>
      <c r="AE37" s="23"/>
      <c r="AF37" s="23"/>
      <c r="AG37" s="23"/>
      <c r="AH37" s="23"/>
      <c r="AI37" s="23"/>
    </row>
    <row r="38" spans="3:35" x14ac:dyDescent="0.25">
      <c r="C38" s="30" t="s">
        <v>23</v>
      </c>
      <c r="D38" s="218">
        <v>217002.48869369697</v>
      </c>
      <c r="E38" s="218">
        <v>8061946.9538022997</v>
      </c>
      <c r="F38" s="218">
        <v>109459.79120289112</v>
      </c>
      <c r="G38" s="218">
        <v>298940.56814474677</v>
      </c>
      <c r="H38" s="218">
        <v>23230.586675680905</v>
      </c>
      <c r="I38" s="218">
        <v>1122169.9234620002</v>
      </c>
      <c r="J38" s="218">
        <v>2597.7712999999999</v>
      </c>
      <c r="K38" s="218">
        <v>3448.2970789000001</v>
      </c>
      <c r="L38" s="218">
        <v>2295.3407548999994</v>
      </c>
      <c r="M38" s="219">
        <v>16.554153000000003</v>
      </c>
      <c r="N38" s="219">
        <v>26.565791999999998</v>
      </c>
      <c r="O38" s="218">
        <v>3577.7138660000001</v>
      </c>
      <c r="P38" s="225">
        <v>2.8617279999999998</v>
      </c>
      <c r="Q38" s="28"/>
      <c r="T38" s="29"/>
      <c r="U38" s="29"/>
      <c r="V38" s="29"/>
      <c r="W38" s="29"/>
      <c r="X38" s="29"/>
      <c r="Y38" s="29"/>
      <c r="Z38" s="29"/>
      <c r="AA38" s="29"/>
      <c r="AB38" s="23"/>
      <c r="AC38" s="23"/>
      <c r="AD38" s="23"/>
      <c r="AE38" s="23"/>
      <c r="AF38" s="23"/>
      <c r="AG38" s="23"/>
      <c r="AH38" s="23"/>
      <c r="AI38" s="23"/>
    </row>
    <row r="39" spans="3:35" x14ac:dyDescent="0.25">
      <c r="C39" s="30" t="s">
        <v>24</v>
      </c>
      <c r="D39" s="218">
        <v>229827.04957684444</v>
      </c>
      <c r="E39" s="218">
        <v>8869739.5269127954</v>
      </c>
      <c r="F39" s="218">
        <v>119229.05424405822</v>
      </c>
      <c r="G39" s="218">
        <v>288382.90878245531</v>
      </c>
      <c r="H39" s="218">
        <v>25091.882432795606</v>
      </c>
      <c r="I39" s="218">
        <v>1218023.8837799998</v>
      </c>
      <c r="J39" s="218">
        <v>2922.6831999999999</v>
      </c>
      <c r="K39" s="218">
        <v>4034.7399693068</v>
      </c>
      <c r="L39" s="218">
        <v>1854.5507202000001</v>
      </c>
      <c r="M39" s="219">
        <v>25.131314000000003</v>
      </c>
      <c r="N39" s="219">
        <v>28.990872000000003</v>
      </c>
      <c r="O39" s="218">
        <v>2962.1689506000002</v>
      </c>
      <c r="P39" s="225">
        <v>2.6791360000000002</v>
      </c>
      <c r="Q39" s="28"/>
      <c r="T39" s="29"/>
      <c r="U39" s="29"/>
      <c r="V39" s="29"/>
      <c r="W39" s="29"/>
      <c r="X39" s="29"/>
      <c r="Y39" s="29"/>
      <c r="Z39" s="29"/>
      <c r="AA39" s="29"/>
      <c r="AB39" s="23"/>
      <c r="AC39" s="23"/>
      <c r="AD39" s="23"/>
      <c r="AE39" s="23"/>
      <c r="AF39" s="23"/>
      <c r="AG39" s="23"/>
      <c r="AH39" s="23"/>
      <c r="AI39" s="23"/>
    </row>
    <row r="40" spans="3:35" x14ac:dyDescent="0.25">
      <c r="C40" s="31" t="s">
        <v>25</v>
      </c>
      <c r="D40" s="218">
        <v>220273.34907759307</v>
      </c>
      <c r="E40" s="218">
        <v>8942116.0312154479</v>
      </c>
      <c r="F40" s="218">
        <v>137649.17032455638</v>
      </c>
      <c r="G40" s="218">
        <v>311942.82481418626</v>
      </c>
      <c r="H40" s="218">
        <v>28510.480416305996</v>
      </c>
      <c r="I40" s="218">
        <v>1091388.6164500001</v>
      </c>
      <c r="J40" s="218">
        <v>2723.0601999999999</v>
      </c>
      <c r="K40" s="218">
        <v>3212.9077212199995</v>
      </c>
      <c r="L40" s="218">
        <v>2378.2725716999998</v>
      </c>
      <c r="M40" s="219">
        <v>22.589572999999998</v>
      </c>
      <c r="N40" s="219">
        <v>27.547941999999999</v>
      </c>
      <c r="O40" s="218">
        <v>1961.2639583999999</v>
      </c>
      <c r="P40" s="225">
        <v>2.5161519999999999</v>
      </c>
      <c r="Q40" s="28"/>
      <c r="T40" s="29"/>
      <c r="U40" s="29"/>
      <c r="V40" s="29"/>
      <c r="W40" s="29"/>
      <c r="X40" s="29"/>
      <c r="Y40" s="29"/>
      <c r="Z40" s="29"/>
      <c r="AA40" s="29"/>
      <c r="AB40" s="23"/>
      <c r="AC40" s="23"/>
      <c r="AD40" s="23"/>
      <c r="AE40" s="23"/>
      <c r="AF40" s="23"/>
      <c r="AG40" s="23"/>
      <c r="AH40" s="23"/>
      <c r="AI40" s="23"/>
    </row>
    <row r="41" spans="3:35" ht="13.5" customHeight="1" x14ac:dyDescent="0.25">
      <c r="C41" s="99" t="s">
        <v>126</v>
      </c>
      <c r="D41" s="218">
        <v>220911.28287911677</v>
      </c>
      <c r="E41" s="218">
        <v>8818003.3277026098</v>
      </c>
      <c r="F41" s="218">
        <v>120959.41946630899</v>
      </c>
      <c r="G41" s="218">
        <v>314185.44019206456</v>
      </c>
      <c r="H41" s="218">
        <v>26061.362419922007</v>
      </c>
      <c r="I41" s="218">
        <v>441193.98143799999</v>
      </c>
      <c r="J41" s="218">
        <v>2871.1295</v>
      </c>
      <c r="K41" s="218">
        <v>2855.7800881120002</v>
      </c>
      <c r="L41" s="218">
        <v>2487.8129531</v>
      </c>
      <c r="M41" s="219">
        <v>22.439415</v>
      </c>
      <c r="N41" s="219">
        <v>27.668381</v>
      </c>
      <c r="O41" s="218">
        <v>3843.0657880000003</v>
      </c>
      <c r="P41" s="225">
        <v>3.6912739999999999</v>
      </c>
      <c r="Q41" s="28"/>
      <c r="T41" s="29"/>
      <c r="U41" s="29"/>
      <c r="V41" s="29"/>
      <c r="W41" s="29"/>
      <c r="X41" s="29"/>
      <c r="Y41" s="29"/>
      <c r="Z41" s="29"/>
      <c r="AA41" s="29"/>
      <c r="AB41" s="23"/>
      <c r="AC41" s="23"/>
      <c r="AD41" s="23"/>
      <c r="AE41" s="23"/>
      <c r="AF41" s="23"/>
      <c r="AG41" s="23"/>
      <c r="AH41" s="23"/>
      <c r="AI41" s="23"/>
    </row>
    <row r="42" spans="3:35" ht="13.5" customHeight="1" x14ac:dyDescent="0.25">
      <c r="C42" s="31" t="s">
        <v>127</v>
      </c>
      <c r="D42" s="218">
        <v>228931.7259096911</v>
      </c>
      <c r="E42" s="218">
        <v>9016247.4928372651</v>
      </c>
      <c r="F42" s="218">
        <v>136087.19853966002</v>
      </c>
      <c r="G42" s="218">
        <v>310452.50278650981</v>
      </c>
      <c r="H42" s="218">
        <v>27426.236327063001</v>
      </c>
      <c r="I42" s="218">
        <v>17858.91534</v>
      </c>
      <c r="J42" s="218">
        <v>2794.1680000000001</v>
      </c>
      <c r="K42" s="218">
        <v>2874.2517345399997</v>
      </c>
      <c r="L42" s="218">
        <v>2331.0077547000001</v>
      </c>
      <c r="M42" s="219">
        <v>20.607745000000001</v>
      </c>
      <c r="N42" s="219">
        <v>25.639190000000003</v>
      </c>
      <c r="O42" s="218">
        <v>2300.5616680000003</v>
      </c>
      <c r="P42" s="225">
        <v>3.5141680000000002</v>
      </c>
      <c r="Q42" s="28"/>
      <c r="T42" s="29"/>
      <c r="U42" s="29"/>
      <c r="V42" s="29"/>
      <c r="W42" s="29"/>
      <c r="X42" s="29"/>
      <c r="Y42" s="29"/>
      <c r="Z42" s="29"/>
      <c r="AA42" s="29"/>
      <c r="AB42" s="23"/>
      <c r="AC42" s="23"/>
      <c r="AD42" s="23"/>
      <c r="AE42" s="23"/>
      <c r="AF42" s="23"/>
      <c r="AG42" s="23"/>
      <c r="AH42" s="23"/>
      <c r="AI42" s="23"/>
    </row>
    <row r="43" spans="3:35" ht="13.5" customHeight="1" x14ac:dyDescent="0.25">
      <c r="C43" s="31" t="s">
        <v>130</v>
      </c>
      <c r="D43" s="218">
        <v>228042.99873290653</v>
      </c>
      <c r="E43" s="218">
        <v>9193521.2398264445</v>
      </c>
      <c r="F43" s="218">
        <v>128389.14793335561</v>
      </c>
      <c r="G43" s="218">
        <v>305306.09163942956</v>
      </c>
      <c r="H43" s="218">
        <v>26466.226680664819</v>
      </c>
      <c r="I43" s="218">
        <v>1040961.796982</v>
      </c>
      <c r="J43" s="218">
        <v>3033.0752000000002</v>
      </c>
      <c r="K43" s="218">
        <v>3136.8209697599991</v>
      </c>
      <c r="L43" s="218">
        <v>2570.4628945999998</v>
      </c>
      <c r="M43" s="219">
        <v>24.526831000000001</v>
      </c>
      <c r="N43" s="219">
        <v>27.761948999999998</v>
      </c>
      <c r="O43" s="218">
        <v>3634.8462650000001</v>
      </c>
      <c r="P43" s="225">
        <v>3.8380540000000001</v>
      </c>
      <c r="Q43" s="28"/>
      <c r="T43" s="29"/>
      <c r="U43" s="29"/>
      <c r="V43" s="29"/>
      <c r="W43" s="29"/>
      <c r="X43" s="29"/>
      <c r="Y43" s="29"/>
      <c r="Z43" s="29"/>
      <c r="AA43" s="29"/>
      <c r="AB43" s="23"/>
      <c r="AC43" s="23"/>
      <c r="AD43" s="23"/>
      <c r="AE43" s="23"/>
      <c r="AF43" s="23"/>
      <c r="AG43" s="23"/>
      <c r="AH43" s="23"/>
      <c r="AI43" s="23"/>
    </row>
    <row r="44" spans="3:35" ht="13.5" customHeight="1" x14ac:dyDescent="0.25">
      <c r="C44" s="31" t="s">
        <v>131</v>
      </c>
      <c r="D44" s="218">
        <v>242739.66001355689</v>
      </c>
      <c r="E44" s="218">
        <v>9766729.3344747387</v>
      </c>
      <c r="F44" s="218">
        <v>146692.12300226261</v>
      </c>
      <c r="G44" s="218">
        <v>348675.45174598723</v>
      </c>
      <c r="H44" s="218">
        <v>27044.400187529594</v>
      </c>
      <c r="I44" s="218">
        <v>1148061.4364120001</v>
      </c>
      <c r="J44" s="218">
        <v>2934.8496</v>
      </c>
      <c r="K44" s="218">
        <v>2874.9100077799999</v>
      </c>
      <c r="L44" s="218">
        <v>2570.0481631999996</v>
      </c>
      <c r="M44" s="219">
        <v>28.906147000000001</v>
      </c>
      <c r="N44" s="219">
        <v>24.351747</v>
      </c>
      <c r="O44" s="218">
        <v>3892.888876</v>
      </c>
      <c r="P44" s="225">
        <v>2.8652799999999998</v>
      </c>
      <c r="Q44" s="28"/>
      <c r="T44" s="29"/>
      <c r="U44" s="29"/>
      <c r="V44" s="29"/>
      <c r="W44" s="29"/>
      <c r="X44" s="29"/>
      <c r="Y44" s="29"/>
      <c r="Z44" s="29"/>
      <c r="AA44" s="29"/>
      <c r="AB44" s="23"/>
      <c r="AC44" s="23"/>
      <c r="AD44" s="23"/>
      <c r="AE44" s="23"/>
      <c r="AF44" s="23"/>
      <c r="AG44" s="23"/>
      <c r="AH44" s="23"/>
      <c r="AI44" s="23"/>
    </row>
    <row r="45" spans="3:35" ht="13.5" customHeight="1" thickBot="1" x14ac:dyDescent="0.3">
      <c r="C45" s="235" t="s">
        <v>137</v>
      </c>
      <c r="D45" s="220">
        <v>240995.04587404698</v>
      </c>
      <c r="E45" s="220">
        <v>9314155.6817302406</v>
      </c>
      <c r="F45" s="220">
        <v>127554.50510377903</v>
      </c>
      <c r="G45" s="220">
        <v>326746.13742428838</v>
      </c>
      <c r="H45" s="220">
        <v>27791.042003302999</v>
      </c>
      <c r="I45" s="220">
        <v>1123268.1765320001</v>
      </c>
      <c r="J45" s="220">
        <v>3008.8197999999998</v>
      </c>
      <c r="K45" s="220">
        <v>2971.9247022499994</v>
      </c>
      <c r="L45" s="220">
        <v>1461.4284863999999</v>
      </c>
      <c r="M45" s="221">
        <v>23.366099999999996</v>
      </c>
      <c r="N45" s="221">
        <v>20.976871000000003</v>
      </c>
      <c r="O45" s="220">
        <v>3350.4782869999999</v>
      </c>
      <c r="P45" s="222">
        <v>2.8038280000000002</v>
      </c>
      <c r="Q45" s="28"/>
      <c r="T45" s="29"/>
      <c r="U45" s="29"/>
      <c r="V45" s="29"/>
      <c r="W45" s="29"/>
      <c r="X45" s="29"/>
      <c r="Y45" s="29"/>
      <c r="Z45" s="29"/>
      <c r="AA45" s="29"/>
      <c r="AB45" s="23"/>
      <c r="AC45" s="23"/>
      <c r="AD45" s="23"/>
      <c r="AE45" s="23"/>
      <c r="AF45" s="23"/>
      <c r="AG45" s="23"/>
      <c r="AH45" s="23"/>
      <c r="AI45" s="23"/>
    </row>
    <row r="46" spans="3:35" x14ac:dyDescent="0.25">
      <c r="C46" s="226" t="s">
        <v>144</v>
      </c>
      <c r="D46" s="36"/>
      <c r="E46" s="36"/>
      <c r="F46" s="37"/>
      <c r="G46" s="36"/>
      <c r="H46" s="36"/>
      <c r="I46" s="36"/>
      <c r="J46" s="36"/>
      <c r="K46" s="36"/>
      <c r="L46" s="36"/>
      <c r="M46" s="36"/>
      <c r="N46" s="36"/>
      <c r="O46" s="36"/>
      <c r="P46" s="38"/>
      <c r="R46" s="24"/>
      <c r="S46" s="39"/>
    </row>
    <row r="47" spans="3:35" ht="25.5" x14ac:dyDescent="0.25">
      <c r="C47" s="40" t="s">
        <v>132</v>
      </c>
      <c r="D47" s="227">
        <v>232423.20436398502</v>
      </c>
      <c r="E47" s="227">
        <v>9412853.9730716236</v>
      </c>
      <c r="F47" s="227">
        <v>101659.53069821803</v>
      </c>
      <c r="G47" s="227">
        <v>293506.62278495223</v>
      </c>
      <c r="H47" s="227">
        <v>23405.947515974996</v>
      </c>
      <c r="I47" s="227">
        <v>1126462.3889200001</v>
      </c>
      <c r="J47" s="227">
        <v>2654.3024</v>
      </c>
      <c r="K47" s="227">
        <v>4087.3148483800005</v>
      </c>
      <c r="L47" s="227">
        <v>2879.1874470999996</v>
      </c>
      <c r="M47" s="227">
        <v>20.286814</v>
      </c>
      <c r="N47" s="227">
        <v>28.185550999999997</v>
      </c>
      <c r="O47" s="227">
        <v>3255.1303392000004</v>
      </c>
      <c r="P47" s="228">
        <v>3.5447256</v>
      </c>
      <c r="R47" s="24"/>
      <c r="S47" s="39"/>
    </row>
    <row r="48" spans="3:35" ht="24" x14ac:dyDescent="0.25">
      <c r="C48" s="41" t="s">
        <v>134</v>
      </c>
      <c r="D48" s="216">
        <v>240995.04587404698</v>
      </c>
      <c r="E48" s="216">
        <v>9314155.6817302406</v>
      </c>
      <c r="F48" s="216">
        <v>127554.50510377903</v>
      </c>
      <c r="G48" s="216">
        <v>326746.13742428838</v>
      </c>
      <c r="H48" s="216">
        <v>27791.042003302999</v>
      </c>
      <c r="I48" s="216">
        <v>1123268.1765320001</v>
      </c>
      <c r="J48" s="216">
        <v>3008.8197999999998</v>
      </c>
      <c r="K48" s="216">
        <v>2971.9247022499994</v>
      </c>
      <c r="L48" s="229">
        <v>1461.4284863999999</v>
      </c>
      <c r="M48" s="229">
        <v>23.366099999999996</v>
      </c>
      <c r="N48" s="229">
        <v>20.976871000000003</v>
      </c>
      <c r="O48" s="229">
        <v>3350.4782869999999</v>
      </c>
      <c r="P48" s="230">
        <v>2.8038280000000002</v>
      </c>
      <c r="Q48" s="42"/>
      <c r="R48" s="24"/>
      <c r="S48" s="23"/>
      <c r="T48" s="23"/>
      <c r="U48" s="23"/>
      <c r="V48" s="23"/>
      <c r="W48" s="23"/>
      <c r="X48" s="23"/>
      <c r="Y48" s="23"/>
      <c r="Z48" s="23"/>
    </row>
    <row r="49" spans="3:35" x14ac:dyDescent="0.25">
      <c r="C49" s="43" t="s">
        <v>26</v>
      </c>
      <c r="D49" s="44">
        <f t="shared" ref="D49:P49" si="2">+D48/D47-1</f>
        <v>3.6880317236475557E-2</v>
      </c>
      <c r="E49" s="44">
        <f>+E48/E47-1</f>
        <v>-1.0485479921789942E-2</v>
      </c>
      <c r="F49" s="45">
        <f>+F48/F47-1</f>
        <v>0.25472254522236248</v>
      </c>
      <c r="G49" s="45">
        <f>+G48/G47-1</f>
        <v>0.11324962388903304</v>
      </c>
      <c r="H49" s="45">
        <f t="shared" si="2"/>
        <v>0.18734958216645969</v>
      </c>
      <c r="I49" s="44">
        <f t="shared" si="2"/>
        <v>-2.8356138823795174E-3</v>
      </c>
      <c r="J49" s="44">
        <f t="shared" si="2"/>
        <v>0.13356330461819255</v>
      </c>
      <c r="K49" s="44">
        <f t="shared" si="2"/>
        <v>-0.27289068435040764</v>
      </c>
      <c r="L49" s="44">
        <f t="shared" si="2"/>
        <v>-0.49241634549636815</v>
      </c>
      <c r="M49" s="44">
        <f t="shared" si="2"/>
        <v>0.15178756013635253</v>
      </c>
      <c r="N49" s="44">
        <f t="shared" si="2"/>
        <v>-0.25575799458382042</v>
      </c>
      <c r="O49" s="44">
        <f t="shared" si="2"/>
        <v>2.9291591384765558E-2</v>
      </c>
      <c r="P49" s="46">
        <f t="shared" si="2"/>
        <v>-0.209014091245878</v>
      </c>
      <c r="R49" s="24"/>
      <c r="S49" s="23"/>
      <c r="T49" s="23"/>
      <c r="U49" s="23"/>
      <c r="V49" s="23"/>
      <c r="W49" s="23"/>
      <c r="X49" s="23"/>
      <c r="Y49" s="23"/>
      <c r="Z49" s="23"/>
    </row>
    <row r="50" spans="3:35" x14ac:dyDescent="0.25">
      <c r="C50" s="34"/>
      <c r="D50" s="32"/>
      <c r="E50" s="32"/>
      <c r="F50" s="32"/>
      <c r="G50" s="32"/>
      <c r="H50" s="32"/>
      <c r="I50" s="32"/>
      <c r="J50" s="32"/>
      <c r="K50" s="32"/>
      <c r="L50" s="32"/>
      <c r="M50" s="32"/>
      <c r="N50" s="32"/>
      <c r="O50" s="32"/>
      <c r="P50" s="33"/>
      <c r="Q50" s="28"/>
      <c r="T50" s="29"/>
      <c r="U50" s="29"/>
      <c r="V50" s="29"/>
      <c r="W50" s="29"/>
      <c r="X50" s="29"/>
      <c r="Y50" s="29"/>
      <c r="Z50" s="29"/>
      <c r="AA50" s="29"/>
      <c r="AB50" s="23"/>
      <c r="AC50" s="23"/>
      <c r="AD50" s="23"/>
      <c r="AE50" s="23"/>
      <c r="AF50" s="23"/>
      <c r="AG50" s="23"/>
      <c r="AH50" s="23"/>
      <c r="AI50" s="23"/>
    </row>
    <row r="51" spans="3:35" x14ac:dyDescent="0.25">
      <c r="C51" s="35" t="s">
        <v>145</v>
      </c>
      <c r="D51" s="36"/>
      <c r="E51" s="36"/>
      <c r="F51" s="37"/>
      <c r="G51" s="36"/>
      <c r="H51" s="36"/>
      <c r="I51" s="36"/>
      <c r="J51" s="36"/>
      <c r="K51" s="36"/>
      <c r="L51" s="36"/>
      <c r="M51" s="36"/>
      <c r="N51" s="36"/>
      <c r="O51" s="36"/>
      <c r="P51" s="38"/>
      <c r="R51" s="24"/>
      <c r="S51" s="23"/>
      <c r="T51" s="23"/>
      <c r="U51" s="23"/>
      <c r="V51" s="23"/>
      <c r="W51" s="23"/>
      <c r="X51" s="23"/>
      <c r="Y51" s="23"/>
      <c r="Z51" s="23"/>
    </row>
    <row r="52" spans="3:35" ht="24" x14ac:dyDescent="0.25">
      <c r="C52" s="47" t="s">
        <v>135</v>
      </c>
      <c r="D52" s="227">
        <v>1993626.380634649</v>
      </c>
      <c r="E52" s="227">
        <v>80378494.511708722</v>
      </c>
      <c r="F52" s="227">
        <v>951471.08639740106</v>
      </c>
      <c r="G52" s="227">
        <v>2566295.8822278017</v>
      </c>
      <c r="H52" s="227">
        <v>216970.95239294996</v>
      </c>
      <c r="I52" s="227">
        <v>10050688.138025999</v>
      </c>
      <c r="J52" s="227">
        <v>24631.510699999999</v>
      </c>
      <c r="K52" s="227">
        <v>32069.420752135</v>
      </c>
      <c r="L52" s="227">
        <v>23853.491662279997</v>
      </c>
      <c r="M52" s="227">
        <v>198.43115710000001</v>
      </c>
      <c r="N52" s="227">
        <v>232.546975</v>
      </c>
      <c r="O52" s="227">
        <v>13486.971326300001</v>
      </c>
      <c r="P52" s="231">
        <v>32.392392400000006</v>
      </c>
      <c r="R52" s="24"/>
      <c r="S52" s="23"/>
      <c r="T52" s="23"/>
      <c r="U52" s="23"/>
      <c r="V52" s="23"/>
      <c r="W52" s="23"/>
      <c r="X52" s="23"/>
      <c r="Y52" s="23"/>
      <c r="Z52" s="23"/>
    </row>
    <row r="53" spans="3:35" ht="24" x14ac:dyDescent="0.25">
      <c r="C53" s="47" t="s">
        <v>136</v>
      </c>
      <c r="D53" s="227">
        <v>2048394.7591561223</v>
      </c>
      <c r="E53" s="227">
        <v>80475617.210009888</v>
      </c>
      <c r="F53" s="227">
        <v>1117876.1039818041</v>
      </c>
      <c r="G53" s="227">
        <v>2778167.8780398718</v>
      </c>
      <c r="H53" s="227">
        <v>233191.01744515685</v>
      </c>
      <c r="I53" s="227">
        <v>8364305.5359899998</v>
      </c>
      <c r="J53" s="227">
        <v>25422.809540000002</v>
      </c>
      <c r="K53" s="227">
        <v>28641.025696766101</v>
      </c>
      <c r="L53" s="227">
        <v>20287.814356199997</v>
      </c>
      <c r="M53" s="227">
        <v>204.13281080000002</v>
      </c>
      <c r="N53" s="227">
        <v>239.59685400000001</v>
      </c>
      <c r="O53" s="227">
        <v>28104.971208800001</v>
      </c>
      <c r="P53" s="231">
        <v>27.005279999999999</v>
      </c>
      <c r="R53" s="24"/>
      <c r="S53" s="23"/>
      <c r="T53" s="23"/>
      <c r="U53" s="23"/>
      <c r="V53" s="23"/>
      <c r="W53" s="23"/>
      <c r="X53" s="23"/>
      <c r="Y53" s="23"/>
      <c r="Z53" s="23"/>
    </row>
    <row r="54" spans="3:35" x14ac:dyDescent="0.25">
      <c r="C54" s="48" t="s">
        <v>26</v>
      </c>
      <c r="D54" s="49">
        <f t="shared" ref="D54:P54" si="3">+D53/D52-1</f>
        <v>2.7471736456476048E-2</v>
      </c>
      <c r="E54" s="50">
        <f t="shared" si="3"/>
        <v>1.2083169620329404E-3</v>
      </c>
      <c r="F54" s="49">
        <f t="shared" si="3"/>
        <v>0.17489235349701482</v>
      </c>
      <c r="G54" s="49">
        <f t="shared" si="3"/>
        <v>8.2559457496438116E-2</v>
      </c>
      <c r="H54" s="49">
        <f t="shared" si="3"/>
        <v>7.4756850506104477E-2</v>
      </c>
      <c r="I54" s="50">
        <f t="shared" si="3"/>
        <v>-0.16778777521269428</v>
      </c>
      <c r="J54" s="50">
        <f t="shared" si="3"/>
        <v>3.21254692672992E-2</v>
      </c>
      <c r="K54" s="50">
        <f t="shared" si="3"/>
        <v>-0.10690542501116596</v>
      </c>
      <c r="L54" s="50">
        <f t="shared" si="3"/>
        <v>-0.14948240519933931</v>
      </c>
      <c r="M54" s="50">
        <f>+M53/M52-1</f>
        <v>2.8733661504209529E-2</v>
      </c>
      <c r="N54" s="49">
        <f>+N53/N52-1</f>
        <v>3.0315935092253943E-2</v>
      </c>
      <c r="O54" s="49">
        <f>+O53/O52-1</f>
        <v>1.0838608260399027</v>
      </c>
      <c r="P54" s="51">
        <f t="shared" si="3"/>
        <v>-0.16630795075204152</v>
      </c>
      <c r="R54" s="24"/>
      <c r="S54" s="23"/>
      <c r="T54" s="23"/>
      <c r="U54" s="23"/>
      <c r="V54" s="23"/>
      <c r="W54" s="23"/>
      <c r="X54" s="23"/>
      <c r="Y54" s="23"/>
      <c r="Z54" s="23"/>
    </row>
    <row r="55" spans="3:35" x14ac:dyDescent="0.25">
      <c r="C55" s="34"/>
      <c r="D55" s="32"/>
      <c r="E55" s="32"/>
      <c r="F55" s="32"/>
      <c r="G55" s="32"/>
      <c r="H55" s="32"/>
      <c r="I55" s="32"/>
      <c r="J55" s="32"/>
      <c r="K55" s="32"/>
      <c r="L55" s="32"/>
      <c r="M55" s="32"/>
      <c r="N55" s="32"/>
      <c r="O55" s="32"/>
      <c r="P55" s="33"/>
      <c r="Q55" s="28"/>
      <c r="T55" s="29"/>
      <c r="U55" s="29"/>
      <c r="V55" s="29"/>
      <c r="W55" s="29"/>
      <c r="X55" s="29"/>
      <c r="Y55" s="29"/>
      <c r="Z55" s="29"/>
      <c r="AA55" s="29"/>
      <c r="AB55" s="23"/>
      <c r="AC55" s="23"/>
      <c r="AD55" s="23"/>
      <c r="AE55" s="23"/>
      <c r="AF55" s="23"/>
      <c r="AG55" s="23"/>
      <c r="AH55" s="23"/>
      <c r="AI55" s="23"/>
    </row>
    <row r="56" spans="3:35" x14ac:dyDescent="0.25">
      <c r="C56" s="35" t="s">
        <v>27</v>
      </c>
      <c r="D56" s="36"/>
      <c r="E56" s="36"/>
      <c r="F56" s="37"/>
      <c r="G56" s="36"/>
      <c r="H56" s="36"/>
      <c r="I56" s="36"/>
      <c r="J56" s="36"/>
      <c r="K56" s="36"/>
      <c r="L56" s="36"/>
      <c r="M56" s="36"/>
      <c r="N56" s="36"/>
      <c r="O56" s="36"/>
      <c r="P56" s="38"/>
      <c r="Q56" s="28"/>
      <c r="T56" s="29"/>
      <c r="U56" s="29"/>
      <c r="V56" s="29"/>
      <c r="W56" s="29"/>
      <c r="X56" s="29"/>
      <c r="Y56" s="29"/>
      <c r="Z56" s="29"/>
      <c r="AA56" s="29"/>
      <c r="AB56" s="23"/>
      <c r="AC56" s="23"/>
      <c r="AD56" s="23"/>
      <c r="AE56" s="23"/>
      <c r="AF56" s="23"/>
      <c r="AG56" s="23"/>
      <c r="AH56" s="23"/>
      <c r="AI56" s="23"/>
    </row>
    <row r="57" spans="3:35" ht="24" x14ac:dyDescent="0.25">
      <c r="C57" s="52" t="s">
        <v>129</v>
      </c>
      <c r="D57" s="232">
        <v>242739.66001355689</v>
      </c>
      <c r="E57" s="232">
        <v>9766729.3344747387</v>
      </c>
      <c r="F57" s="232">
        <v>146692.12300226261</v>
      </c>
      <c r="G57" s="232">
        <v>348675.45174598723</v>
      </c>
      <c r="H57" s="232">
        <v>27044.400187529594</v>
      </c>
      <c r="I57" s="232">
        <v>1148061.4364120001</v>
      </c>
      <c r="J57" s="232">
        <v>2934.8496</v>
      </c>
      <c r="K57" s="232">
        <v>2874.9100077799999</v>
      </c>
      <c r="L57" s="232">
        <v>2570.0481631999996</v>
      </c>
      <c r="M57" s="232">
        <v>28.906147000000001</v>
      </c>
      <c r="N57" s="232">
        <v>24.351747</v>
      </c>
      <c r="O57" s="232">
        <v>3892.888876</v>
      </c>
      <c r="P57" s="233">
        <v>2.8652799999999998</v>
      </c>
      <c r="Q57" s="28"/>
      <c r="T57" s="29"/>
      <c r="U57" s="29"/>
      <c r="V57" s="29"/>
      <c r="W57" s="29"/>
      <c r="X57" s="29"/>
      <c r="Y57" s="29"/>
      <c r="Z57" s="29"/>
      <c r="AA57" s="29"/>
      <c r="AB57" s="23"/>
      <c r="AC57" s="23"/>
      <c r="AD57" s="23"/>
      <c r="AE57" s="23"/>
      <c r="AF57" s="23"/>
      <c r="AG57" s="23"/>
      <c r="AH57" s="23"/>
      <c r="AI57" s="23"/>
    </row>
    <row r="58" spans="3:35" ht="24" x14ac:dyDescent="0.25">
      <c r="C58" s="54" t="s">
        <v>134</v>
      </c>
      <c r="D58" s="229">
        <v>240995.04587404698</v>
      </c>
      <c r="E58" s="229">
        <v>9314155.6817302406</v>
      </c>
      <c r="F58" s="229">
        <v>127554.50510377903</v>
      </c>
      <c r="G58" s="229">
        <v>326746.13742428838</v>
      </c>
      <c r="H58" s="229">
        <v>27791.042003302999</v>
      </c>
      <c r="I58" s="229">
        <v>1123268.1765320001</v>
      </c>
      <c r="J58" s="229">
        <v>3008.8197999999998</v>
      </c>
      <c r="K58" s="229">
        <v>2971.9247022499994</v>
      </c>
      <c r="L58" s="229">
        <v>1461.4284863999999</v>
      </c>
      <c r="M58" s="229">
        <v>23.366099999999996</v>
      </c>
      <c r="N58" s="229">
        <v>20.976871000000003</v>
      </c>
      <c r="O58" s="229">
        <v>3350.4782869999999</v>
      </c>
      <c r="P58" s="234">
        <v>2.8038280000000002</v>
      </c>
      <c r="Q58" s="28"/>
      <c r="T58" s="29"/>
      <c r="U58" s="29"/>
      <c r="V58" s="29"/>
      <c r="W58" s="29"/>
      <c r="X58" s="29"/>
      <c r="Y58" s="29"/>
      <c r="Z58" s="29"/>
      <c r="AA58" s="29"/>
      <c r="AB58" s="23"/>
      <c r="AC58" s="23"/>
      <c r="AD58" s="23"/>
      <c r="AE58" s="23"/>
      <c r="AF58" s="23"/>
      <c r="AG58" s="23"/>
      <c r="AH58" s="23"/>
      <c r="AI58" s="23"/>
    </row>
    <row r="59" spans="3:35" x14ac:dyDescent="0.25">
      <c r="C59" s="55" t="s">
        <v>26</v>
      </c>
      <c r="D59" s="50">
        <f t="shared" ref="D59:M59" si="4">+D58/D57-1</f>
        <v>-7.1871821004135805E-3</v>
      </c>
      <c r="E59" s="50">
        <f t="shared" si="4"/>
        <v>-4.633830192744226E-2</v>
      </c>
      <c r="F59" s="50">
        <f t="shared" si="4"/>
        <v>-0.13046111479474876</v>
      </c>
      <c r="G59" s="50">
        <f t="shared" si="4"/>
        <v>-6.2893198279053264E-2</v>
      </c>
      <c r="H59" s="50">
        <f t="shared" si="4"/>
        <v>2.7608000569289359E-2</v>
      </c>
      <c r="I59" s="50">
        <f t="shared" si="4"/>
        <v>-2.1595760552227561E-2</v>
      </c>
      <c r="J59" s="50">
        <f t="shared" si="4"/>
        <v>2.5204085415484245E-2</v>
      </c>
      <c r="K59" s="50">
        <f t="shared" si="4"/>
        <v>3.3745297838005728E-2</v>
      </c>
      <c r="L59" s="50">
        <f t="shared" si="4"/>
        <v>-0.43136144009832222</v>
      </c>
      <c r="M59" s="50">
        <f t="shared" si="4"/>
        <v>-0.1916563629182404</v>
      </c>
      <c r="N59" s="204">
        <f>+N58/N57-1</f>
        <v>-0.13858866059999708</v>
      </c>
      <c r="O59" s="204">
        <f>+O58/O57-1</f>
        <v>-0.13933369440468968</v>
      </c>
      <c r="P59" s="51">
        <f>+P58/P57-1</f>
        <v>-2.1447118606209403E-2</v>
      </c>
      <c r="Q59" s="28"/>
      <c r="T59" s="29"/>
      <c r="U59" s="29"/>
      <c r="V59" s="29"/>
      <c r="W59" s="29"/>
      <c r="X59" s="29"/>
      <c r="Y59" s="29"/>
      <c r="Z59" s="29"/>
      <c r="AA59" s="29"/>
      <c r="AB59" s="23"/>
      <c r="AC59" s="23"/>
      <c r="AD59" s="23"/>
      <c r="AE59" s="23"/>
      <c r="AF59" s="23"/>
      <c r="AG59" s="23"/>
      <c r="AH59" s="23"/>
      <c r="AI59" s="23"/>
    </row>
    <row r="60" spans="3:35" x14ac:dyDescent="0.25">
      <c r="C60" s="56"/>
      <c r="D60" s="57"/>
      <c r="E60" s="58"/>
      <c r="F60" s="57"/>
      <c r="G60" s="57"/>
      <c r="H60" s="57"/>
      <c r="I60" s="57"/>
      <c r="J60" s="57"/>
      <c r="K60" s="57"/>
      <c r="L60" s="57"/>
      <c r="M60" s="57"/>
      <c r="N60" s="57"/>
      <c r="O60" s="57"/>
      <c r="P60" s="59"/>
      <c r="R60" s="24"/>
      <c r="S60" s="23"/>
      <c r="T60" s="23"/>
      <c r="U60" s="23"/>
      <c r="V60" s="23"/>
      <c r="W60" s="23"/>
      <c r="X60" s="23"/>
      <c r="Y60" s="23"/>
      <c r="Z60" s="23"/>
    </row>
    <row r="61" spans="3:35" s="61" customFormat="1" ht="77.25" customHeight="1" x14ac:dyDescent="0.25">
      <c r="C61" s="263" t="s">
        <v>143</v>
      </c>
      <c r="D61" s="264"/>
      <c r="E61" s="264"/>
      <c r="F61" s="264"/>
      <c r="G61" s="264"/>
      <c r="H61" s="264"/>
      <c r="I61" s="264"/>
      <c r="J61" s="264"/>
      <c r="K61" s="264"/>
      <c r="L61" s="264"/>
      <c r="M61" s="264"/>
      <c r="N61" s="264"/>
      <c r="O61" s="264"/>
      <c r="P61" s="265"/>
      <c r="Q61" s="60"/>
    </row>
    <row r="62" spans="3:35" s="61" customFormat="1" ht="41.25" customHeight="1" x14ac:dyDescent="0.25">
      <c r="C62" s="266" t="s">
        <v>28</v>
      </c>
      <c r="D62" s="267"/>
      <c r="E62" s="267"/>
      <c r="F62" s="267"/>
      <c r="G62" s="267"/>
      <c r="H62" s="267"/>
      <c r="I62" s="267"/>
      <c r="J62" s="267"/>
      <c r="K62" s="267"/>
      <c r="L62" s="267"/>
      <c r="M62" s="267"/>
      <c r="N62" s="267"/>
      <c r="O62" s="267"/>
      <c r="P62" s="268"/>
      <c r="Q62" s="60"/>
    </row>
    <row r="63" spans="3:35" s="61" customFormat="1" ht="15" x14ac:dyDescent="0.25">
      <c r="Q63" s="60"/>
    </row>
    <row r="64" spans="3:35" ht="36.6" customHeight="1" x14ac:dyDescent="0.25">
      <c r="C64" s="269" t="s">
        <v>29</v>
      </c>
      <c r="D64" s="269"/>
      <c r="E64" s="269"/>
      <c r="F64" s="269"/>
      <c r="G64" s="269"/>
      <c r="H64" s="269"/>
      <c r="I64" s="269"/>
      <c r="J64" s="269"/>
      <c r="K64" s="269"/>
      <c r="L64" s="269"/>
      <c r="M64" s="269"/>
      <c r="N64" s="269"/>
      <c r="O64" s="269"/>
      <c r="P64" s="269"/>
    </row>
    <row r="65" spans="3:36" ht="36.75" customHeight="1" x14ac:dyDescent="0.25"/>
    <row r="66" spans="3:36" ht="36.75" customHeight="1" x14ac:dyDescent="0.25"/>
    <row r="67" spans="3:36" ht="36.75" customHeight="1" x14ac:dyDescent="0.25"/>
    <row r="68" spans="3:36" s="8" customFormat="1" ht="36.75" customHeight="1" x14ac:dyDescent="0.25">
      <c r="C68" s="39"/>
      <c r="D68" s="2"/>
      <c r="E68" s="2"/>
      <c r="F68" s="2"/>
      <c r="G68" s="2"/>
      <c r="H68" s="2"/>
      <c r="I68" s="2"/>
      <c r="J68" s="2"/>
      <c r="K68" s="2"/>
      <c r="L68" s="2"/>
      <c r="M68" s="2"/>
      <c r="N68" s="2"/>
      <c r="O68" s="2"/>
      <c r="P68" s="2"/>
      <c r="R68" s="2"/>
      <c r="S68" s="2"/>
      <c r="T68" s="2"/>
      <c r="U68" s="2"/>
      <c r="V68" s="2"/>
      <c r="W68" s="2"/>
      <c r="X68" s="2"/>
      <c r="Y68" s="2"/>
      <c r="Z68" s="2"/>
      <c r="AA68" s="2"/>
      <c r="AB68" s="2"/>
      <c r="AC68" s="2"/>
      <c r="AD68" s="2"/>
      <c r="AE68" s="2"/>
      <c r="AF68" s="2"/>
      <c r="AG68" s="2"/>
      <c r="AH68" s="2"/>
      <c r="AI68" s="2"/>
      <c r="AJ68" s="2"/>
    </row>
    <row r="69" spans="3:36" s="8" customFormat="1" ht="36.75" customHeight="1" x14ac:dyDescent="0.25">
      <c r="C69" s="39"/>
      <c r="D69" s="2"/>
      <c r="E69" s="2"/>
      <c r="F69" s="2"/>
      <c r="G69" s="2"/>
      <c r="H69" s="2"/>
      <c r="I69" s="2"/>
      <c r="J69" s="2"/>
      <c r="K69" s="2"/>
      <c r="L69" s="2"/>
      <c r="M69" s="2"/>
      <c r="N69" s="2"/>
      <c r="O69" s="2"/>
      <c r="P69" s="2"/>
      <c r="R69" s="2"/>
      <c r="S69" s="2"/>
      <c r="T69" s="2"/>
      <c r="U69" s="2"/>
      <c r="V69" s="2"/>
      <c r="W69" s="2"/>
      <c r="X69" s="2"/>
      <c r="Y69" s="2"/>
      <c r="Z69" s="2"/>
      <c r="AA69" s="2"/>
      <c r="AB69" s="2"/>
      <c r="AC69" s="2"/>
      <c r="AD69" s="2"/>
      <c r="AE69" s="2"/>
      <c r="AF69" s="2"/>
      <c r="AG69" s="2"/>
      <c r="AH69" s="2"/>
      <c r="AI69" s="2"/>
      <c r="AJ69" s="2"/>
    </row>
    <row r="70" spans="3:36" ht="36.75" customHeight="1" x14ac:dyDescent="0.25"/>
    <row r="71" spans="3:36" s="8" customFormat="1" ht="36.75" customHeight="1" x14ac:dyDescent="0.25">
      <c r="C71" s="2"/>
      <c r="D71" s="2"/>
      <c r="E71" s="2"/>
      <c r="F71" s="2"/>
      <c r="G71" s="2"/>
      <c r="H71" s="2"/>
      <c r="I71" s="2"/>
      <c r="J71" s="2"/>
      <c r="K71" s="2"/>
      <c r="L71" s="2"/>
      <c r="M71" s="2"/>
      <c r="N71" s="2"/>
      <c r="O71" s="2"/>
      <c r="P71" s="2"/>
      <c r="R71" s="2"/>
      <c r="S71" s="2"/>
      <c r="T71" s="2"/>
      <c r="U71" s="2"/>
      <c r="V71" s="2"/>
      <c r="W71" s="2"/>
      <c r="X71" s="2"/>
      <c r="Y71" s="2"/>
      <c r="Z71" s="2"/>
      <c r="AA71" s="2"/>
      <c r="AB71" s="2"/>
      <c r="AC71" s="2"/>
      <c r="AD71" s="2"/>
      <c r="AE71" s="2"/>
      <c r="AF71" s="2"/>
      <c r="AG71" s="2"/>
      <c r="AH71" s="2"/>
      <c r="AI71" s="2"/>
      <c r="AJ71" s="2"/>
    </row>
    <row r="72" spans="3:36" s="8" customFormat="1" x14ac:dyDescent="0.25">
      <c r="C72" s="39"/>
      <c r="D72" s="2"/>
      <c r="E72" s="2"/>
      <c r="F72" s="2"/>
      <c r="G72" s="2"/>
      <c r="H72" s="2"/>
      <c r="I72" s="2"/>
      <c r="J72" s="2"/>
      <c r="K72" s="62"/>
      <c r="L72" s="62"/>
      <c r="M72" s="62"/>
      <c r="N72" s="62"/>
      <c r="O72" s="62"/>
      <c r="P72" s="62"/>
      <c r="R72" s="2"/>
      <c r="S72" s="2"/>
      <c r="T72" s="2"/>
      <c r="U72" s="2"/>
      <c r="V72" s="2"/>
      <c r="W72" s="2"/>
      <c r="X72" s="2"/>
      <c r="Y72" s="2"/>
      <c r="Z72" s="2"/>
      <c r="AA72" s="2"/>
      <c r="AB72" s="2"/>
      <c r="AC72" s="2"/>
      <c r="AD72" s="2"/>
      <c r="AE72" s="2"/>
      <c r="AF72" s="2"/>
      <c r="AG72" s="2"/>
      <c r="AH72" s="2"/>
      <c r="AI72" s="2"/>
      <c r="AJ72" s="2"/>
    </row>
    <row r="73" spans="3:36" s="8" customFormat="1" ht="67.5" customHeight="1" x14ac:dyDescent="0.25">
      <c r="C73" s="257" t="s">
        <v>133</v>
      </c>
      <c r="D73" s="258"/>
      <c r="E73" s="258"/>
      <c r="F73" s="258"/>
      <c r="G73" s="258"/>
      <c r="H73" s="258"/>
      <c r="I73" s="258"/>
      <c r="J73" s="258"/>
      <c r="K73" s="258"/>
      <c r="L73" s="258"/>
      <c r="M73" s="258"/>
      <c r="N73" s="258"/>
      <c r="O73" s="258"/>
      <c r="P73" s="259"/>
      <c r="R73" s="2"/>
      <c r="S73" s="2"/>
      <c r="T73" s="2"/>
      <c r="U73" s="2"/>
      <c r="V73" s="2"/>
      <c r="W73" s="2"/>
      <c r="X73" s="2"/>
      <c r="Y73" s="2"/>
      <c r="Z73" s="2"/>
      <c r="AA73" s="2"/>
      <c r="AB73" s="2"/>
      <c r="AC73" s="2"/>
      <c r="AD73" s="2"/>
      <c r="AE73" s="2"/>
      <c r="AF73" s="2"/>
      <c r="AG73" s="2"/>
      <c r="AH73" s="2"/>
      <c r="AI73" s="2"/>
      <c r="AJ73" s="2"/>
    </row>
  </sheetData>
  <mergeCells count="7">
    <mergeCell ref="C73:P73"/>
    <mergeCell ref="C3:P3"/>
    <mergeCell ref="C4:P4"/>
    <mergeCell ref="C6:K6"/>
    <mergeCell ref="C61:P61"/>
    <mergeCell ref="C62:P62"/>
    <mergeCell ref="C64:P64"/>
  </mergeCells>
  <conditionalFormatting sqref="F49:H49 M49 O49 D54 F54:H54 N54:O54 D60:P60">
    <cfRule type="cellIs" dxfId="0" priority="1" operator="lessThan">
      <formula>0</formula>
    </cfRule>
  </conditionalFormatting>
  <printOptions horizontalCentered="1" verticalCentered="1"/>
  <pageMargins left="0.25" right="0.25" top="0.75" bottom="0.75" header="0.3" footer="0.3"/>
  <pageSetup paperSize="8" scale="7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B6B2-9BC8-4C6D-A6E3-63F662DE15D2}">
  <sheetPr>
    <tabColor rgb="FFC00000"/>
  </sheetPr>
  <dimension ref="B1:Q109"/>
  <sheetViews>
    <sheetView showGridLines="0" view="pageBreakPreview" zoomScaleNormal="100" zoomScaleSheetLayoutView="100" workbookViewId="0">
      <selection activeCell="G16" sqref="G16"/>
    </sheetView>
  </sheetViews>
  <sheetFormatPr baseColWidth="10" defaultColWidth="11.5703125" defaultRowHeight="15" x14ac:dyDescent="0.25"/>
  <cols>
    <col min="1" max="2" width="3.7109375" style="61" customWidth="1"/>
    <col min="3" max="3" width="50.140625" style="61" customWidth="1"/>
    <col min="4" max="5" width="11.85546875" style="61" customWidth="1"/>
    <col min="6" max="6" width="14" style="63" customWidth="1"/>
    <col min="7" max="8" width="12.42578125" style="61" customWidth="1"/>
    <col min="9" max="9" width="12" style="61" customWidth="1"/>
    <col min="10" max="10" width="10.85546875" style="64" customWidth="1"/>
    <col min="11" max="11" width="3.7109375" style="61" customWidth="1"/>
    <col min="12" max="16384" width="11.5703125" style="61"/>
  </cols>
  <sheetData>
    <row r="1" spans="2:17" ht="10.5" customHeight="1" x14ac:dyDescent="0.25"/>
    <row r="2" spans="2:17" ht="10.5" customHeight="1" x14ac:dyDescent="0.25"/>
    <row r="3" spans="2:17" ht="15.75" x14ac:dyDescent="0.25">
      <c r="C3" s="260" t="s">
        <v>0</v>
      </c>
      <c r="D3" s="260"/>
      <c r="E3" s="260"/>
      <c r="F3" s="260"/>
      <c r="G3" s="260"/>
      <c r="H3" s="260"/>
      <c r="I3" s="260"/>
      <c r="J3" s="260"/>
      <c r="K3" s="4"/>
      <c r="L3" s="4"/>
      <c r="M3" s="4"/>
      <c r="N3" s="4"/>
      <c r="O3" s="4"/>
      <c r="P3" s="4"/>
      <c r="Q3" s="4"/>
    </row>
    <row r="4" spans="2:17" x14ac:dyDescent="0.25">
      <c r="B4" s="261" t="s">
        <v>1</v>
      </c>
      <c r="C4" s="270"/>
      <c r="D4" s="270"/>
      <c r="E4" s="270"/>
      <c r="F4" s="270"/>
      <c r="G4" s="270"/>
      <c r="H4" s="270"/>
      <c r="I4" s="270"/>
      <c r="J4" s="270"/>
      <c r="K4" s="270"/>
      <c r="L4" s="4"/>
      <c r="M4" s="4"/>
      <c r="N4" s="4"/>
      <c r="O4" s="4"/>
      <c r="P4" s="4"/>
      <c r="Q4" s="4"/>
    </row>
    <row r="5" spans="2:17" x14ac:dyDescent="0.25">
      <c r="C5" s="4"/>
      <c r="D5" s="4"/>
      <c r="E5" s="4"/>
      <c r="F5" s="3"/>
      <c r="G5" s="4"/>
      <c r="H5" s="4"/>
      <c r="I5" s="4"/>
      <c r="J5" s="3"/>
      <c r="K5" s="4"/>
      <c r="L5" s="4"/>
      <c r="M5" s="4"/>
      <c r="N5" s="4"/>
      <c r="O5" s="4"/>
      <c r="P5" s="4"/>
      <c r="Q5" s="4"/>
    </row>
    <row r="6" spans="2:17" ht="15.75" x14ac:dyDescent="0.25">
      <c r="C6" s="65" t="s">
        <v>30</v>
      </c>
      <c r="D6" s="66"/>
      <c r="E6" s="66"/>
      <c r="F6" s="67"/>
    </row>
    <row r="7" spans="2:17" x14ac:dyDescent="0.25">
      <c r="C7" s="68" t="s">
        <v>31</v>
      </c>
      <c r="D7" s="69"/>
      <c r="E7" s="69"/>
      <c r="F7" s="70"/>
    </row>
    <row r="8" spans="2:17" ht="27" customHeight="1" x14ac:dyDescent="0.25">
      <c r="C8" s="71"/>
      <c r="D8" s="271" t="s">
        <v>139</v>
      </c>
      <c r="E8" s="272"/>
      <c r="F8" s="273"/>
      <c r="G8" s="271" t="s">
        <v>140</v>
      </c>
      <c r="H8" s="272"/>
      <c r="I8" s="272"/>
      <c r="J8" s="273"/>
    </row>
    <row r="9" spans="2:17" ht="25.5" customHeight="1" x14ac:dyDescent="0.25">
      <c r="C9" s="72" t="s">
        <v>32</v>
      </c>
      <c r="D9" s="105">
        <v>2024</v>
      </c>
      <c r="E9" s="104">
        <v>2025</v>
      </c>
      <c r="F9" s="152" t="s">
        <v>26</v>
      </c>
      <c r="G9" s="105">
        <v>2024</v>
      </c>
      <c r="H9" s="104">
        <v>2025</v>
      </c>
      <c r="I9" s="152" t="s">
        <v>26</v>
      </c>
      <c r="J9" s="153" t="s">
        <v>33</v>
      </c>
    </row>
    <row r="10" spans="2:17" s="73" customFormat="1" ht="6.75" customHeight="1" x14ac:dyDescent="0.25">
      <c r="D10" s="154"/>
      <c r="E10" s="154"/>
      <c r="F10" s="154"/>
      <c r="G10" s="154"/>
      <c r="H10" s="154"/>
      <c r="I10" s="154"/>
      <c r="J10" s="154"/>
    </row>
    <row r="11" spans="2:17" x14ac:dyDescent="0.25">
      <c r="C11" s="74" t="s">
        <v>34</v>
      </c>
      <c r="D11" s="115">
        <f>SUM(D12:D22)</f>
        <v>232423.20436398505</v>
      </c>
      <c r="E11" s="106">
        <f>SUM(E12:E22)</f>
        <v>240995.04587404701</v>
      </c>
      <c r="F11" s="116">
        <f t="shared" ref="F11:F74" si="0">(E11-D11)/D11</f>
        <v>3.6880317236475564E-2</v>
      </c>
      <c r="G11" s="115">
        <f>SUM(G12:G22)</f>
        <v>1993626.3806346492</v>
      </c>
      <c r="H11" s="106">
        <f>SUM(H12:H22)</f>
        <v>2048394.7591561221</v>
      </c>
      <c r="I11" s="116">
        <f t="shared" ref="I11:I74" si="1">(H11-G11)/G11</f>
        <v>2.7471736456475861E-2</v>
      </c>
      <c r="J11" s="117">
        <f>SUM(J12:J22)</f>
        <v>1.0000000000000002</v>
      </c>
    </row>
    <row r="12" spans="2:17" x14ac:dyDescent="0.25">
      <c r="B12" s="238"/>
      <c r="C12" s="239" t="s">
        <v>36</v>
      </c>
      <c r="D12" s="236">
        <v>32553.125</v>
      </c>
      <c r="E12" s="236">
        <v>34793.097320000001</v>
      </c>
      <c r="F12" s="118">
        <f t="shared" si="0"/>
        <v>6.8809747758471748E-2</v>
      </c>
      <c r="G12" s="236">
        <v>215306.81886</v>
      </c>
      <c r="H12" s="236">
        <v>313505.84663500002</v>
      </c>
      <c r="I12" s="119">
        <f t="shared" si="1"/>
        <v>0.4560887959561209</v>
      </c>
      <c r="J12" s="120">
        <f>(H12/$H$11)</f>
        <v>0.15304952584635353</v>
      </c>
    </row>
    <row r="13" spans="2:17" x14ac:dyDescent="0.25">
      <c r="B13" s="238"/>
      <c r="C13" s="240" t="s">
        <v>78</v>
      </c>
      <c r="D13" s="236">
        <v>35782.684370399998</v>
      </c>
      <c r="E13" s="236">
        <v>39393.474592500002</v>
      </c>
      <c r="F13" s="121">
        <f t="shared" si="0"/>
        <v>0.100908869349302</v>
      </c>
      <c r="G13" s="236">
        <v>338812.87402569997</v>
      </c>
      <c r="H13" s="236">
        <v>309714.98587949999</v>
      </c>
      <c r="I13" s="119">
        <f t="shared" si="1"/>
        <v>-8.588188459448215E-2</v>
      </c>
      <c r="J13" s="133">
        <f t="shared" ref="J13:J22" si="2">(H13/$H$11)</f>
        <v>0.15119887633724144</v>
      </c>
    </row>
    <row r="14" spans="2:17" x14ac:dyDescent="0.25">
      <c r="B14" s="238"/>
      <c r="C14" s="240" t="s">
        <v>35</v>
      </c>
      <c r="D14" s="236">
        <v>34615.642407780004</v>
      </c>
      <c r="E14" s="236">
        <v>31398.902250931998</v>
      </c>
      <c r="F14" s="121">
        <f t="shared" si="0"/>
        <v>-9.2927356914370887E-2</v>
      </c>
      <c r="G14" s="236">
        <v>316242.57106153999</v>
      </c>
      <c r="H14" s="236">
        <v>308439.43070653104</v>
      </c>
      <c r="I14" s="119">
        <f t="shared" si="1"/>
        <v>-2.4674541219469388E-2</v>
      </c>
      <c r="J14" s="133">
        <f t="shared" si="2"/>
        <v>0.15057616669240012</v>
      </c>
    </row>
    <row r="15" spans="2:17" x14ac:dyDescent="0.25">
      <c r="B15" s="238"/>
      <c r="C15" s="240" t="s">
        <v>37</v>
      </c>
      <c r="D15" s="236">
        <v>35101.680126800005</v>
      </c>
      <c r="E15" s="236">
        <v>44641.5198944</v>
      </c>
      <c r="F15" s="121">
        <f t="shared" si="0"/>
        <v>0.27177729764326469</v>
      </c>
      <c r="G15" s="236">
        <v>338422.24069130002</v>
      </c>
      <c r="H15" s="236">
        <v>274628.61791400996</v>
      </c>
      <c r="I15" s="119">
        <f t="shared" si="1"/>
        <v>-0.18850304473777463</v>
      </c>
      <c r="J15" s="122">
        <f t="shared" si="2"/>
        <v>0.1340701623485645</v>
      </c>
    </row>
    <row r="16" spans="2:17" x14ac:dyDescent="0.25">
      <c r="B16" s="238"/>
      <c r="C16" s="240" t="s">
        <v>38</v>
      </c>
      <c r="D16" s="236">
        <v>23000.407261439999</v>
      </c>
      <c r="E16" s="236">
        <v>28043.573805</v>
      </c>
      <c r="F16" s="121">
        <f t="shared" si="0"/>
        <v>0.21926422807368415</v>
      </c>
      <c r="G16" s="236">
        <v>216081.42799948331</v>
      </c>
      <c r="H16" s="236">
        <v>239925.62192003531</v>
      </c>
      <c r="I16" s="119">
        <f t="shared" si="1"/>
        <v>0.1103481874463039</v>
      </c>
      <c r="J16" s="122">
        <f t="shared" si="2"/>
        <v>0.11712860563013623</v>
      </c>
    </row>
    <row r="17" spans="2:10" x14ac:dyDescent="0.25">
      <c r="B17" s="238"/>
      <c r="C17" s="240" t="s">
        <v>39</v>
      </c>
      <c r="D17" s="236">
        <v>19992.17193</v>
      </c>
      <c r="E17" s="236">
        <v>14305.247864999999</v>
      </c>
      <c r="F17" s="121">
        <f t="shared" si="0"/>
        <v>-0.28445754092712033</v>
      </c>
      <c r="G17" s="236">
        <v>139150.01551000003</v>
      </c>
      <c r="H17" s="236">
        <v>176701.24201099999</v>
      </c>
      <c r="I17" s="119">
        <f t="shared" si="1"/>
        <v>0.26986146112431691</v>
      </c>
      <c r="J17" s="122">
        <f t="shared" si="2"/>
        <v>8.6263275777856252E-2</v>
      </c>
    </row>
    <row r="18" spans="2:10" x14ac:dyDescent="0.25">
      <c r="B18" s="238"/>
      <c r="C18" s="240" t="s">
        <v>67</v>
      </c>
      <c r="D18" s="236">
        <v>10800.5848446</v>
      </c>
      <c r="E18" s="236">
        <v>10924.601141300001</v>
      </c>
      <c r="F18" s="121">
        <f t="shared" si="0"/>
        <v>1.1482368638769249E-2</v>
      </c>
      <c r="G18" s="236">
        <v>86445.125572130011</v>
      </c>
      <c r="H18" s="236">
        <v>102132.77771221998</v>
      </c>
      <c r="I18" s="119">
        <f t="shared" si="1"/>
        <v>0.18147526579737747</v>
      </c>
      <c r="J18" s="122">
        <f t="shared" si="2"/>
        <v>4.9859909695480598E-2</v>
      </c>
    </row>
    <row r="19" spans="2:10" x14ac:dyDescent="0.25">
      <c r="B19" s="238"/>
      <c r="C19" s="240" t="s">
        <v>40</v>
      </c>
      <c r="D19" s="236">
        <v>11101.5294173</v>
      </c>
      <c r="E19" s="236">
        <v>13056.82346</v>
      </c>
      <c r="F19" s="121">
        <f t="shared" si="0"/>
        <v>0.17612834855465762</v>
      </c>
      <c r="G19" s="236">
        <v>105336.0449333</v>
      </c>
      <c r="H19" s="236">
        <v>90438.687623999998</v>
      </c>
      <c r="I19" s="119">
        <f t="shared" si="1"/>
        <v>-0.1414269666070449</v>
      </c>
      <c r="J19" s="122">
        <f t="shared" si="2"/>
        <v>4.4151005180885182E-2</v>
      </c>
    </row>
    <row r="20" spans="2:10" x14ac:dyDescent="0.25">
      <c r="B20" s="238"/>
      <c r="C20" s="240" t="s">
        <v>41</v>
      </c>
      <c r="D20" s="236">
        <v>8614.1743411200005</v>
      </c>
      <c r="E20" s="236">
        <v>6040.0264490999998</v>
      </c>
      <c r="F20" s="121">
        <f t="shared" si="0"/>
        <v>-0.29882700187901168</v>
      </c>
      <c r="G20" s="236">
        <v>65013.2457335</v>
      </c>
      <c r="H20" s="236">
        <v>60117.019578000007</v>
      </c>
      <c r="I20" s="119">
        <f t="shared" si="1"/>
        <v>-7.5311209281419822E-2</v>
      </c>
      <c r="J20" s="122">
        <f t="shared" si="2"/>
        <v>2.9348356467562158E-2</v>
      </c>
    </row>
    <row r="21" spans="2:10" x14ac:dyDescent="0.25">
      <c r="B21" s="238"/>
      <c r="C21" s="240" t="s">
        <v>42</v>
      </c>
      <c r="D21" s="236">
        <v>4878.659052</v>
      </c>
      <c r="E21" s="236">
        <v>2956.5376949000001</v>
      </c>
      <c r="F21" s="121">
        <f t="shared" si="0"/>
        <v>-0.39398558837843539</v>
      </c>
      <c r="G21" s="236">
        <v>42428.264372099999</v>
      </c>
      <c r="H21" s="236">
        <v>37956.545932699999</v>
      </c>
      <c r="I21" s="119">
        <f t="shared" si="1"/>
        <v>-0.10539480003665939</v>
      </c>
      <c r="J21" s="122">
        <f t="shared" si="2"/>
        <v>1.852989799111621E-2</v>
      </c>
    </row>
    <row r="22" spans="2:10" x14ac:dyDescent="0.2">
      <c r="B22" s="238"/>
      <c r="C22" s="241" t="s">
        <v>148</v>
      </c>
      <c r="D22" s="236">
        <v>15982.545612545</v>
      </c>
      <c r="E22" s="236">
        <v>15441.241400914996</v>
      </c>
      <c r="F22" s="123">
        <f t="shared" si="0"/>
        <v>-3.3868460303665526E-2</v>
      </c>
      <c r="G22" s="236">
        <v>130387.75187559602</v>
      </c>
      <c r="H22" s="236">
        <v>134833.9832431261</v>
      </c>
      <c r="I22" s="119">
        <f t="shared" si="1"/>
        <v>3.4100069244021231E-2</v>
      </c>
      <c r="J22" s="124">
        <f t="shared" si="2"/>
        <v>6.5824218032403917E-2</v>
      </c>
    </row>
    <row r="23" spans="2:10" x14ac:dyDescent="0.25">
      <c r="B23" s="238"/>
      <c r="C23" s="237" t="s">
        <v>43</v>
      </c>
      <c r="D23" s="115">
        <f>SUM(D24:D34)</f>
        <v>9412853.9730716236</v>
      </c>
      <c r="E23" s="106">
        <f>SUM(E24:E34)</f>
        <v>9314155.6817302406</v>
      </c>
      <c r="F23" s="116">
        <f t="shared" si="0"/>
        <v>-1.0485479921789923E-2</v>
      </c>
      <c r="G23" s="115">
        <f>SUM(G24:G34)</f>
        <v>80378494.511708647</v>
      </c>
      <c r="H23" s="106">
        <f>SUM(H24:H34)</f>
        <v>80475617.210009873</v>
      </c>
      <c r="I23" s="116">
        <f t="shared" si="1"/>
        <v>1.2083169620336462E-3</v>
      </c>
      <c r="J23" s="117">
        <f>SUM(J24:J34)</f>
        <v>1</v>
      </c>
    </row>
    <row r="24" spans="2:10" x14ac:dyDescent="0.25">
      <c r="B24" s="238"/>
      <c r="C24" s="242" t="s">
        <v>44</v>
      </c>
      <c r="D24" s="236">
        <v>1086951.7490999999</v>
      </c>
      <c r="E24" s="236">
        <v>1669515.7745000001</v>
      </c>
      <c r="F24" s="118">
        <f t="shared" si="0"/>
        <v>0.53596125668169292</v>
      </c>
      <c r="G24" s="236">
        <v>8152498.3727000002</v>
      </c>
      <c r="H24" s="236">
        <v>12081363.021199999</v>
      </c>
      <c r="I24" s="118">
        <f t="shared" si="1"/>
        <v>0.48192154955301281</v>
      </c>
      <c r="J24" s="120">
        <f>(H24/$H$23)</f>
        <v>0.15012451522642403</v>
      </c>
    </row>
    <row r="25" spans="2:10" x14ac:dyDescent="0.25">
      <c r="B25" s="238"/>
      <c r="C25" s="243" t="s">
        <v>45</v>
      </c>
      <c r="D25" s="236">
        <v>652332.80036999995</v>
      </c>
      <c r="E25" s="236">
        <v>714458.91795000003</v>
      </c>
      <c r="F25" s="121">
        <f t="shared" si="0"/>
        <v>9.5236844666959031E-2</v>
      </c>
      <c r="G25" s="236">
        <v>6678266.176</v>
      </c>
      <c r="H25" s="236">
        <v>6458480.6353399986</v>
      </c>
      <c r="I25" s="121">
        <f t="shared" si="1"/>
        <v>-3.2910569130930267E-2</v>
      </c>
      <c r="J25" s="122">
        <f t="shared" ref="J25:J34" si="3">(H25/$H$23)</f>
        <v>8.0253881352483333E-2</v>
      </c>
    </row>
    <row r="26" spans="2:10" x14ac:dyDescent="0.25">
      <c r="B26" s="238"/>
      <c r="C26" s="243" t="s">
        <v>49</v>
      </c>
      <c r="D26" s="236">
        <v>593496.30000000005</v>
      </c>
      <c r="E26" s="236">
        <v>553911.80500000005</v>
      </c>
      <c r="F26" s="121">
        <f t="shared" si="0"/>
        <v>-6.6697121784920974E-2</v>
      </c>
      <c r="G26" s="236">
        <v>5625288.0341130793</v>
      </c>
      <c r="H26" s="236">
        <v>4569387.591</v>
      </c>
      <c r="I26" s="121">
        <f t="shared" si="1"/>
        <v>-0.18770602264450262</v>
      </c>
      <c r="J26" s="122">
        <f t="shared" si="3"/>
        <v>5.6779776899078468E-2</v>
      </c>
    </row>
    <row r="27" spans="2:10" x14ac:dyDescent="0.25">
      <c r="B27" s="238"/>
      <c r="C27" s="243" t="s">
        <v>48</v>
      </c>
      <c r="D27" s="236">
        <v>442153.40399999998</v>
      </c>
      <c r="E27" s="236">
        <v>431227.34100000001</v>
      </c>
      <c r="F27" s="121">
        <f t="shared" si="0"/>
        <v>-2.4711023145261066E-2</v>
      </c>
      <c r="G27" s="236">
        <v>4267762.9649999999</v>
      </c>
      <c r="H27" s="236">
        <v>4097879.0189999999</v>
      </c>
      <c r="I27" s="121">
        <f t="shared" si="1"/>
        <v>-3.980632181150201E-2</v>
      </c>
      <c r="J27" s="122">
        <f t="shared" si="3"/>
        <v>5.0920752907133833E-2</v>
      </c>
    </row>
    <row r="28" spans="2:10" x14ac:dyDescent="0.25">
      <c r="B28" s="238"/>
      <c r="C28" s="243" t="s">
        <v>47</v>
      </c>
      <c r="D28" s="236">
        <v>459544.99017999996</v>
      </c>
      <c r="E28" s="236">
        <v>346331.4694</v>
      </c>
      <c r="F28" s="121">
        <f t="shared" si="0"/>
        <v>-0.24636003699149275</v>
      </c>
      <c r="G28" s="236">
        <v>4708098.2005799999</v>
      </c>
      <c r="H28" s="236">
        <v>3961011.9319899995</v>
      </c>
      <c r="I28" s="121">
        <f t="shared" si="1"/>
        <v>-0.15868111427624118</v>
      </c>
      <c r="J28" s="122">
        <f t="shared" si="3"/>
        <v>4.9220025509755433E-2</v>
      </c>
    </row>
    <row r="29" spans="2:10" x14ac:dyDescent="0.25">
      <c r="B29" s="238"/>
      <c r="C29" s="243" t="s">
        <v>50</v>
      </c>
      <c r="D29" s="236">
        <v>377897.13</v>
      </c>
      <c r="E29" s="236">
        <v>306553.59999999998</v>
      </c>
      <c r="F29" s="121">
        <f t="shared" si="0"/>
        <v>-0.18879087544274292</v>
      </c>
      <c r="G29" s="236">
        <v>3423925.8861599998</v>
      </c>
      <c r="H29" s="236">
        <v>3246372.72</v>
      </c>
      <c r="I29" s="121">
        <f t="shared" si="1"/>
        <v>-5.1856603227802028E-2</v>
      </c>
      <c r="J29" s="122">
        <f t="shared" si="3"/>
        <v>4.0339830032346785E-2</v>
      </c>
    </row>
    <row r="30" spans="2:10" x14ac:dyDescent="0.25">
      <c r="B30" s="238"/>
      <c r="C30" s="243" t="s">
        <v>52</v>
      </c>
      <c r="D30" s="236">
        <v>379213.35817600001</v>
      </c>
      <c r="E30" s="236">
        <v>373605.03569699998</v>
      </c>
      <c r="F30" s="121">
        <f t="shared" si="0"/>
        <v>-1.4789358966613979E-2</v>
      </c>
      <c r="G30" s="236">
        <v>3155227.1324599995</v>
      </c>
      <c r="H30" s="236">
        <v>3130491.7004420003</v>
      </c>
      <c r="I30" s="121">
        <f t="shared" si="1"/>
        <v>-7.8395091635492017E-3</v>
      </c>
      <c r="J30" s="122">
        <f t="shared" si="3"/>
        <v>3.889987811180922E-2</v>
      </c>
    </row>
    <row r="31" spans="2:10" x14ac:dyDescent="0.25">
      <c r="B31" s="238"/>
      <c r="C31" s="243" t="s">
        <v>53</v>
      </c>
      <c r="D31" s="236">
        <v>305156.49040000001</v>
      </c>
      <c r="E31" s="236">
        <v>213761.5558</v>
      </c>
      <c r="F31" s="121">
        <f t="shared" si="0"/>
        <v>-0.29950185388552364</v>
      </c>
      <c r="G31" s="236">
        <v>1881726.6338000002</v>
      </c>
      <c r="H31" s="236">
        <v>2699882.2344000004</v>
      </c>
      <c r="I31" s="121">
        <f t="shared" si="1"/>
        <v>0.43478982860958865</v>
      </c>
      <c r="J31" s="122">
        <f t="shared" si="3"/>
        <v>3.3549071482786692E-2</v>
      </c>
    </row>
    <row r="32" spans="2:10" x14ac:dyDescent="0.25">
      <c r="B32" s="238"/>
      <c r="C32" s="243" t="s">
        <v>51</v>
      </c>
      <c r="D32" s="236">
        <v>247639.64847707</v>
      </c>
      <c r="E32" s="236">
        <v>303826.38932431903</v>
      </c>
      <c r="F32" s="121">
        <f t="shared" si="0"/>
        <v>0.22688911566780706</v>
      </c>
      <c r="G32" s="236">
        <v>2252357.3534186939</v>
      </c>
      <c r="H32" s="236">
        <v>2628154.8750447943</v>
      </c>
      <c r="I32" s="121">
        <f t="shared" si="1"/>
        <v>0.16684631373245631</v>
      </c>
      <c r="J32" s="122">
        <f t="shared" si="3"/>
        <v>3.2657778419845337E-2</v>
      </c>
    </row>
    <row r="33" spans="2:10" x14ac:dyDescent="0.25">
      <c r="B33" s="238"/>
      <c r="C33" s="243" t="s">
        <v>54</v>
      </c>
      <c r="D33" s="236">
        <v>328694.42928223999</v>
      </c>
      <c r="E33" s="236">
        <v>328817.48974316003</v>
      </c>
      <c r="F33" s="254">
        <f t="shared" si="0"/>
        <v>3.743916840597559E-4</v>
      </c>
      <c r="G33" s="236">
        <v>2767579.2623833814</v>
      </c>
      <c r="H33" s="236">
        <v>2468465.6731361751</v>
      </c>
      <c r="I33" s="121">
        <f t="shared" si="1"/>
        <v>-0.10807769566448329</v>
      </c>
      <c r="J33" s="122">
        <f t="shared" si="3"/>
        <v>3.067346059234868E-2</v>
      </c>
    </row>
    <row r="34" spans="2:10" x14ac:dyDescent="0.2">
      <c r="B34" s="238"/>
      <c r="C34" s="244" t="s">
        <v>149</v>
      </c>
      <c r="D34" s="236">
        <v>4539773.6730863145</v>
      </c>
      <c r="E34" s="236">
        <v>4072146.303315762</v>
      </c>
      <c r="F34" s="125">
        <f t="shared" si="0"/>
        <v>-0.1030067583639343</v>
      </c>
      <c r="G34" s="236">
        <v>37465764.495093495</v>
      </c>
      <c r="H34" s="236">
        <v>35134127.80845692</v>
      </c>
      <c r="I34" s="125">
        <f t="shared" si="1"/>
        <v>-6.2233794453651813E-2</v>
      </c>
      <c r="J34" s="124">
        <f t="shared" si="3"/>
        <v>0.43658102946598837</v>
      </c>
    </row>
    <row r="35" spans="2:10" x14ac:dyDescent="0.25">
      <c r="C35" s="77" t="s">
        <v>55</v>
      </c>
      <c r="D35" s="115">
        <f>SUM(D36:D46)</f>
        <v>101659.53069821799</v>
      </c>
      <c r="E35" s="106">
        <f>SUM(E36:E46)</f>
        <v>127554.505103779</v>
      </c>
      <c r="F35" s="116">
        <f t="shared" si="0"/>
        <v>0.25472254522236276</v>
      </c>
      <c r="G35" s="115">
        <f>SUM(G36:G46)</f>
        <v>951471.08639740106</v>
      </c>
      <c r="H35" s="106">
        <f>SUM(H36:H46)</f>
        <v>1117876.1039818041</v>
      </c>
      <c r="I35" s="116">
        <f t="shared" si="1"/>
        <v>0.17489235349701487</v>
      </c>
      <c r="J35" s="117">
        <f>SUM(J36:J46)</f>
        <v>0.99999999999999989</v>
      </c>
    </row>
    <row r="36" spans="2:10" x14ac:dyDescent="0.25">
      <c r="B36" s="238"/>
      <c r="C36" s="242" t="s">
        <v>37</v>
      </c>
      <c r="D36" s="236">
        <v>23597.336541599998</v>
      </c>
      <c r="E36" s="236">
        <v>41311.9602677</v>
      </c>
      <c r="F36" s="118">
        <f t="shared" si="0"/>
        <v>0.75070437271048374</v>
      </c>
      <c r="G36" s="236">
        <v>228353.0848593</v>
      </c>
      <c r="H36" s="236">
        <v>403264.94397245004</v>
      </c>
      <c r="I36" s="128">
        <f t="shared" si="1"/>
        <v>0.76597108035970773</v>
      </c>
      <c r="J36" s="129">
        <f>(H36/$H$35)</f>
        <v>0.36074207377369083</v>
      </c>
    </row>
    <row r="37" spans="2:10" x14ac:dyDescent="0.25">
      <c r="B37" s="238"/>
      <c r="C37" s="243" t="s">
        <v>56</v>
      </c>
      <c r="D37" s="236">
        <v>15442.892026188001</v>
      </c>
      <c r="E37" s="236">
        <v>13838.99903381</v>
      </c>
      <c r="F37" s="121">
        <f t="shared" si="0"/>
        <v>-0.10385962614114801</v>
      </c>
      <c r="G37" s="236">
        <v>117170.26354640799</v>
      </c>
      <c r="H37" s="236">
        <v>123952.73893073501</v>
      </c>
      <c r="I37" s="130">
        <f t="shared" si="1"/>
        <v>5.7885637354060056E-2</v>
      </c>
      <c r="J37" s="131">
        <f t="shared" ref="J37:J46" si="4">(H37/$H$35)</f>
        <v>0.11088235850934033</v>
      </c>
    </row>
    <row r="38" spans="2:10" x14ac:dyDescent="0.25">
      <c r="B38" s="238"/>
      <c r="C38" s="243" t="s">
        <v>57</v>
      </c>
      <c r="D38" s="236">
        <v>6367.5064000000002</v>
      </c>
      <c r="E38" s="236">
        <v>8674.3535000000011</v>
      </c>
      <c r="F38" s="121">
        <f t="shared" si="0"/>
        <v>0.36228422165386448</v>
      </c>
      <c r="G38" s="236">
        <v>77060.678700000004</v>
      </c>
      <c r="H38" s="236">
        <v>66824.781100000007</v>
      </c>
      <c r="I38" s="130">
        <f t="shared" si="1"/>
        <v>-0.13282906110714018</v>
      </c>
      <c r="J38" s="131">
        <f t="shared" si="4"/>
        <v>5.9778342932615122E-2</v>
      </c>
    </row>
    <row r="39" spans="2:10" x14ac:dyDescent="0.25">
      <c r="B39" s="238"/>
      <c r="C39" s="243" t="s">
        <v>59</v>
      </c>
      <c r="D39" s="236">
        <v>8828.0591759999988</v>
      </c>
      <c r="E39" s="236">
        <v>7599.352562</v>
      </c>
      <c r="F39" s="121">
        <f t="shared" si="0"/>
        <v>-0.13918196395198235</v>
      </c>
      <c r="G39" s="236">
        <v>77857.998330999981</v>
      </c>
      <c r="H39" s="236">
        <v>50917.226795000002</v>
      </c>
      <c r="I39" s="130">
        <f t="shared" si="1"/>
        <v>-0.34602445623461692</v>
      </c>
      <c r="J39" s="131">
        <f t="shared" si="4"/>
        <v>4.5548184287718521E-2</v>
      </c>
    </row>
    <row r="40" spans="2:10" x14ac:dyDescent="0.25">
      <c r="B40" s="238"/>
      <c r="C40" s="243" t="s">
        <v>58</v>
      </c>
      <c r="D40" s="236">
        <v>4346.7126490000001</v>
      </c>
      <c r="E40" s="236">
        <v>4619.993281</v>
      </c>
      <c r="F40" s="130">
        <f t="shared" si="0"/>
        <v>6.2870645949616805E-2</v>
      </c>
      <c r="G40" s="236">
        <v>40301.953503000004</v>
      </c>
      <c r="H40" s="236">
        <v>42343.06051000001</v>
      </c>
      <c r="I40" s="130">
        <f t="shared" si="1"/>
        <v>5.0645361566606685E-2</v>
      </c>
      <c r="J40" s="131">
        <f t="shared" si="4"/>
        <v>3.7878133685098646E-2</v>
      </c>
    </row>
    <row r="41" spans="2:10" x14ac:dyDescent="0.25">
      <c r="B41" s="238"/>
      <c r="C41" s="243" t="s">
        <v>61</v>
      </c>
      <c r="D41" s="236">
        <v>3845.2401510999998</v>
      </c>
      <c r="E41" s="236">
        <v>4303.9717672999996</v>
      </c>
      <c r="F41" s="130">
        <f t="shared" si="0"/>
        <v>0.11929856086329779</v>
      </c>
      <c r="G41" s="236">
        <v>39888.232280599994</v>
      </c>
      <c r="H41" s="236">
        <v>37744.870846409998</v>
      </c>
      <c r="I41" s="130">
        <f t="shared" si="1"/>
        <v>-5.3734179522225631E-2</v>
      </c>
      <c r="J41" s="131">
        <f t="shared" si="4"/>
        <v>3.3764806951293753E-2</v>
      </c>
    </row>
    <row r="42" spans="2:10" x14ac:dyDescent="0.25">
      <c r="B42" s="238"/>
      <c r="C42" s="243" t="s">
        <v>60</v>
      </c>
      <c r="D42" s="236">
        <v>4586.0904081509998</v>
      </c>
      <c r="E42" s="236">
        <v>3871.2694067400002</v>
      </c>
      <c r="F42" s="130">
        <f t="shared" si="0"/>
        <v>-0.15586718485543288</v>
      </c>
      <c r="G42" s="236">
        <v>37034.173348206998</v>
      </c>
      <c r="H42" s="236">
        <v>37400.605491356997</v>
      </c>
      <c r="I42" s="130">
        <f t="shared" si="1"/>
        <v>9.8944328986282082E-3</v>
      </c>
      <c r="J42" s="131">
        <f t="shared" si="4"/>
        <v>3.3456843167269074E-2</v>
      </c>
    </row>
    <row r="43" spans="2:10" x14ac:dyDescent="0.25">
      <c r="B43" s="238"/>
      <c r="C43" s="243" t="s">
        <v>39</v>
      </c>
      <c r="D43" s="236">
        <v>3054.1543150000002</v>
      </c>
      <c r="E43" s="236">
        <v>2275.5300299999999</v>
      </c>
      <c r="F43" s="130">
        <f t="shared" si="0"/>
        <v>-0.25493940537840842</v>
      </c>
      <c r="G43" s="236">
        <v>43701.564752999999</v>
      </c>
      <c r="H43" s="236">
        <v>35237.384236999998</v>
      </c>
      <c r="I43" s="130">
        <f t="shared" si="1"/>
        <v>-0.19368140623429178</v>
      </c>
      <c r="J43" s="131">
        <f t="shared" si="4"/>
        <v>3.152172598688411E-2</v>
      </c>
    </row>
    <row r="44" spans="2:10" x14ac:dyDescent="0.25">
      <c r="B44" s="238"/>
      <c r="C44" s="243" t="s">
        <v>63</v>
      </c>
      <c r="D44" s="236">
        <v>3697.0258782000001</v>
      </c>
      <c r="E44" s="236">
        <v>5169.8174505799998</v>
      </c>
      <c r="F44" s="130">
        <f t="shared" si="0"/>
        <v>0.39837199438189197</v>
      </c>
      <c r="G44" s="236">
        <v>36077.72972874</v>
      </c>
      <c r="H44" s="236">
        <v>34643.96581419</v>
      </c>
      <c r="I44" s="130">
        <f t="shared" si="1"/>
        <v>-3.9740968329496751E-2</v>
      </c>
      <c r="J44" s="131">
        <f t="shared" si="4"/>
        <v>3.0990881449912366E-2</v>
      </c>
    </row>
    <row r="45" spans="2:10" x14ac:dyDescent="0.25">
      <c r="B45" s="238"/>
      <c r="C45" s="243" t="s">
        <v>150</v>
      </c>
      <c r="D45" s="236">
        <v>2031.4096241</v>
      </c>
      <c r="E45" s="236">
        <v>5475.5267248</v>
      </c>
      <c r="F45" s="130">
        <f t="shared" si="0"/>
        <v>1.6954321077541854</v>
      </c>
      <c r="G45" s="236">
        <v>20598.6803612</v>
      </c>
      <c r="H45" s="236">
        <v>30241.547595200005</v>
      </c>
      <c r="I45" s="130">
        <f t="shared" si="1"/>
        <v>0.46813033965823664</v>
      </c>
      <c r="J45" s="131">
        <f t="shared" si="4"/>
        <v>2.7052682750334785E-2</v>
      </c>
    </row>
    <row r="46" spans="2:10" x14ac:dyDescent="0.2">
      <c r="B46" s="238"/>
      <c r="C46" s="247" t="s">
        <v>151</v>
      </c>
      <c r="D46" s="236">
        <v>25863.103528878997</v>
      </c>
      <c r="E46" s="236">
        <v>30413.731079849</v>
      </c>
      <c r="F46" s="125">
        <f>(E46-D46)/D46</f>
        <v>0.17595056006672699</v>
      </c>
      <c r="G46" s="246">
        <v>233426.72698594598</v>
      </c>
      <c r="H46" s="246">
        <v>255304.97868946189</v>
      </c>
      <c r="I46" s="123">
        <f t="shared" si="1"/>
        <v>9.3726421074451963E-2</v>
      </c>
      <c r="J46" s="132">
        <f t="shared" si="4"/>
        <v>0.22838396650584236</v>
      </c>
    </row>
    <row r="47" spans="2:10" x14ac:dyDescent="0.25">
      <c r="B47" s="238"/>
      <c r="C47" s="248" t="s">
        <v>64</v>
      </c>
      <c r="D47" s="106">
        <f>SUM(D48:D58)</f>
        <v>293506.62278495211</v>
      </c>
      <c r="E47" s="106">
        <f>SUM(E48:E58)</f>
        <v>326746.1374242882</v>
      </c>
      <c r="F47" s="245">
        <f t="shared" si="0"/>
        <v>0.11324962388903294</v>
      </c>
      <c r="G47" s="115">
        <f>SUM(G48:G58)</f>
        <v>2566295.8822278008</v>
      </c>
      <c r="H47" s="106">
        <f>SUM(H48:H58)</f>
        <v>2778167.8780398709</v>
      </c>
      <c r="I47" s="116">
        <f t="shared" si="1"/>
        <v>8.2559457496438046E-2</v>
      </c>
      <c r="J47" s="117">
        <f>SUM(J48:J58)</f>
        <v>1</v>
      </c>
    </row>
    <row r="48" spans="2:10" x14ac:dyDescent="0.25">
      <c r="B48" s="238"/>
      <c r="C48" s="239" t="s">
        <v>37</v>
      </c>
      <c r="D48" s="236">
        <v>29707.845806800698</v>
      </c>
      <c r="E48" s="236">
        <v>65245.022258380297</v>
      </c>
      <c r="F48" s="118">
        <f t="shared" si="0"/>
        <v>1.1962219234167577</v>
      </c>
      <c r="G48" s="236">
        <v>264290.852817518</v>
      </c>
      <c r="H48" s="236">
        <v>425622.58735271747</v>
      </c>
      <c r="I48" s="121">
        <f t="shared" si="1"/>
        <v>0.6104325322473132</v>
      </c>
      <c r="J48" s="120">
        <f>(H48/$H$47)</f>
        <v>0.15320261626990461</v>
      </c>
    </row>
    <row r="49" spans="2:10" x14ac:dyDescent="0.25">
      <c r="B49" s="238"/>
      <c r="C49" s="240" t="s">
        <v>65</v>
      </c>
      <c r="D49" s="236">
        <v>38152.471374161003</v>
      </c>
      <c r="E49" s="236">
        <v>38193.815517099298</v>
      </c>
      <c r="F49" s="121">
        <f t="shared" si="0"/>
        <v>1.0836556964510366E-3</v>
      </c>
      <c r="G49" s="236">
        <v>278588.32810718025</v>
      </c>
      <c r="H49" s="236">
        <v>304651.63913810666</v>
      </c>
      <c r="I49" s="121">
        <f t="shared" si="1"/>
        <v>9.3554928191030229E-2</v>
      </c>
      <c r="J49" s="122">
        <f t="shared" ref="J49:J58" si="5">(H49/$H$47)</f>
        <v>0.10965918998136745</v>
      </c>
    </row>
    <row r="50" spans="2:10" x14ac:dyDescent="0.25">
      <c r="B50" s="238"/>
      <c r="C50" s="240" t="s">
        <v>39</v>
      </c>
      <c r="D50" s="236">
        <v>19636.144522003699</v>
      </c>
      <c r="E50" s="236">
        <v>11985.4522405265</v>
      </c>
      <c r="F50" s="121">
        <f t="shared" si="0"/>
        <v>-0.38962293605570347</v>
      </c>
      <c r="G50" s="236">
        <v>188985.92576026963</v>
      </c>
      <c r="H50" s="236">
        <v>168553.73945988031</v>
      </c>
      <c r="I50" s="121">
        <f t="shared" si="1"/>
        <v>-0.10811485679789583</v>
      </c>
      <c r="J50" s="122">
        <f t="shared" si="5"/>
        <v>6.06708258317359E-2</v>
      </c>
    </row>
    <row r="51" spans="2:10" x14ac:dyDescent="0.25">
      <c r="B51" s="238"/>
      <c r="C51" s="240" t="s">
        <v>56</v>
      </c>
      <c r="D51" s="236">
        <v>21110.946409482902</v>
      </c>
      <c r="E51" s="236">
        <v>16250.543599943001</v>
      </c>
      <c r="F51" s="121">
        <f t="shared" si="0"/>
        <v>-0.23023140295390257</v>
      </c>
      <c r="G51" s="236">
        <v>156674.76251659152</v>
      </c>
      <c r="H51" s="236">
        <v>157610.17189945609</v>
      </c>
      <c r="I51" s="121">
        <f t="shared" si="1"/>
        <v>5.9703896648033092E-3</v>
      </c>
      <c r="J51" s="122">
        <f t="shared" si="5"/>
        <v>5.6731694706173605E-2</v>
      </c>
    </row>
    <row r="52" spans="2:10" x14ac:dyDescent="0.25">
      <c r="B52" s="238"/>
      <c r="C52" s="240" t="s">
        <v>50</v>
      </c>
      <c r="D52" s="236">
        <v>15506.820329878101</v>
      </c>
      <c r="E52" s="236">
        <v>11669.5467609637</v>
      </c>
      <c r="F52" s="121">
        <f t="shared" si="0"/>
        <v>-0.2474571502915302</v>
      </c>
      <c r="G52" s="236">
        <v>145665.8650409274</v>
      </c>
      <c r="H52" s="236">
        <v>133499.8079185492</v>
      </c>
      <c r="I52" s="121">
        <f t="shared" si="1"/>
        <v>-8.3520302570268837E-2</v>
      </c>
      <c r="J52" s="133">
        <f t="shared" si="5"/>
        <v>4.8053182449413256E-2</v>
      </c>
    </row>
    <row r="53" spans="2:10" x14ac:dyDescent="0.25">
      <c r="B53" s="238"/>
      <c r="C53" s="240" t="s">
        <v>35</v>
      </c>
      <c r="D53" s="236">
        <v>15122.8035326468</v>
      </c>
      <c r="E53" s="236">
        <v>13494.85033487</v>
      </c>
      <c r="F53" s="121">
        <f t="shared" si="0"/>
        <v>-0.10764890215378438</v>
      </c>
      <c r="G53" s="236">
        <v>135671.3699530655</v>
      </c>
      <c r="H53" s="236">
        <v>132108.00220411469</v>
      </c>
      <c r="I53" s="121">
        <f t="shared" si="1"/>
        <v>-2.6264699399611961E-2</v>
      </c>
      <c r="J53" s="133">
        <f t="shared" si="5"/>
        <v>4.7552202747849472E-2</v>
      </c>
    </row>
    <row r="54" spans="2:10" x14ac:dyDescent="0.25">
      <c r="B54" s="238"/>
      <c r="C54" s="240" t="s">
        <v>36</v>
      </c>
      <c r="D54" s="236">
        <v>11597.9033234453</v>
      </c>
      <c r="E54" s="236">
        <v>15492.511863677801</v>
      </c>
      <c r="F54" s="121">
        <f t="shared" si="0"/>
        <v>0.33580281121670524</v>
      </c>
      <c r="G54" s="236">
        <v>79906.940229834086</v>
      </c>
      <c r="H54" s="236">
        <v>115840.38329684631</v>
      </c>
      <c r="I54" s="121">
        <f t="shared" si="1"/>
        <v>0.44969114026463625</v>
      </c>
      <c r="J54" s="122">
        <f t="shared" si="5"/>
        <v>4.1696682267659504E-2</v>
      </c>
    </row>
    <row r="55" spans="2:10" x14ac:dyDescent="0.25">
      <c r="B55" s="238"/>
      <c r="C55" s="240" t="s">
        <v>58</v>
      </c>
      <c r="D55" s="236">
        <v>12447.648942161</v>
      </c>
      <c r="E55" s="236">
        <v>12638.9086161716</v>
      </c>
      <c r="F55" s="121">
        <f t="shared" si="0"/>
        <v>1.5365124361982209E-2</v>
      </c>
      <c r="G55" s="236">
        <v>102841.65830160001</v>
      </c>
      <c r="H55" s="236">
        <v>105767.94643367082</v>
      </c>
      <c r="I55" s="121">
        <f t="shared" si="1"/>
        <v>2.8454307139709784E-2</v>
      </c>
      <c r="J55" s="122">
        <f t="shared" si="5"/>
        <v>3.8071114157541525E-2</v>
      </c>
    </row>
    <row r="56" spans="2:10" x14ac:dyDescent="0.25">
      <c r="B56" s="238"/>
      <c r="C56" s="240" t="s">
        <v>66</v>
      </c>
      <c r="D56" s="236">
        <v>10974.9954582638</v>
      </c>
      <c r="E56" s="236">
        <v>11682.5331297825</v>
      </c>
      <c r="F56" s="121">
        <f t="shared" si="0"/>
        <v>6.4468151646108196E-2</v>
      </c>
      <c r="G56" s="236">
        <v>102435.55617663301</v>
      </c>
      <c r="H56" s="236">
        <v>102247.5241989537</v>
      </c>
      <c r="I56" s="121">
        <f t="shared" si="1"/>
        <v>-1.8356124054725123E-3</v>
      </c>
      <c r="J56" s="122">
        <f t="shared" si="5"/>
        <v>3.6803940110017461E-2</v>
      </c>
    </row>
    <row r="57" spans="2:10" x14ac:dyDescent="0.25">
      <c r="B57" s="238"/>
      <c r="C57" s="240" t="s">
        <v>57</v>
      </c>
      <c r="D57" s="236">
        <v>10454.620383846601</v>
      </c>
      <c r="E57" s="236">
        <v>11809.856411197599</v>
      </c>
      <c r="F57" s="121">
        <f t="shared" si="0"/>
        <v>0.12963034310121571</v>
      </c>
      <c r="G57" s="236">
        <v>104796.58340564559</v>
      </c>
      <c r="H57" s="236">
        <v>88340.613415926899</v>
      </c>
      <c r="I57" s="121">
        <f t="shared" si="1"/>
        <v>-0.15702773368117437</v>
      </c>
      <c r="J57" s="122">
        <f t="shared" si="5"/>
        <v>3.1798155221006798E-2</v>
      </c>
    </row>
    <row r="58" spans="2:10" x14ac:dyDescent="0.2">
      <c r="B58" s="238"/>
      <c r="C58" s="241" t="s">
        <v>152</v>
      </c>
      <c r="D58" s="236">
        <v>108794.42270226222</v>
      </c>
      <c r="E58" s="236">
        <v>118283.09669167589</v>
      </c>
      <c r="F58" s="125">
        <f t="shared" si="0"/>
        <v>8.7216547996962407E-2</v>
      </c>
      <c r="G58" s="236">
        <v>1006438.039918536</v>
      </c>
      <c r="H58" s="236">
        <v>1043925.4627216485</v>
      </c>
      <c r="I58" s="123">
        <f t="shared" si="1"/>
        <v>3.7247621131398095E-2</v>
      </c>
      <c r="J58" s="124">
        <f t="shared" si="5"/>
        <v>0.37576039625733038</v>
      </c>
    </row>
    <row r="59" spans="2:10" x14ac:dyDescent="0.25">
      <c r="C59" s="77" t="s">
        <v>68</v>
      </c>
      <c r="D59" s="115">
        <f>SUM(D60:D70)</f>
        <v>23405.947515975</v>
      </c>
      <c r="E59" s="106">
        <f>SUM(E60:E70)</f>
        <v>27791.042003302999</v>
      </c>
      <c r="F59" s="116">
        <f t="shared" si="0"/>
        <v>0.18734958216645958</v>
      </c>
      <c r="G59" s="115">
        <f>SUM(G60:G70)</f>
        <v>216970.95239295001</v>
      </c>
      <c r="H59" s="106">
        <f>SUM(H60:H70)</f>
        <v>233191.01744515685</v>
      </c>
      <c r="I59" s="116">
        <f t="shared" si="1"/>
        <v>7.4756850506104269E-2</v>
      </c>
      <c r="J59" s="117">
        <f>SUM(J60:J70)</f>
        <v>1</v>
      </c>
    </row>
    <row r="60" spans="2:10" x14ac:dyDescent="0.25">
      <c r="B60" s="238"/>
      <c r="C60" s="242" t="s">
        <v>56</v>
      </c>
      <c r="D60" s="236">
        <v>2221.5473118640002</v>
      </c>
      <c r="E60" s="236">
        <v>2067.3674735049999</v>
      </c>
      <c r="F60" s="118">
        <f t="shared" si="0"/>
        <v>-6.9402005321072796E-2</v>
      </c>
      <c r="G60" s="236">
        <v>19736.401992553998</v>
      </c>
      <c r="H60" s="236">
        <v>21250.895879577005</v>
      </c>
      <c r="I60" s="118">
        <f t="shared" si="1"/>
        <v>7.6736068083452291E-2</v>
      </c>
      <c r="J60" s="120">
        <f>(H60/$H$59)</f>
        <v>9.113085106108304E-2</v>
      </c>
    </row>
    <row r="61" spans="2:10" x14ac:dyDescent="0.25">
      <c r="B61" s="238"/>
      <c r="C61" s="243" t="s">
        <v>58</v>
      </c>
      <c r="D61" s="236">
        <v>2451.7681659999998</v>
      </c>
      <c r="E61" s="236">
        <v>2512.4995490000001</v>
      </c>
      <c r="F61" s="121">
        <f t="shared" si="0"/>
        <v>2.4770442753191485E-2</v>
      </c>
      <c r="G61" s="236">
        <v>20758.688072999998</v>
      </c>
      <c r="H61" s="236">
        <v>21064.187236999998</v>
      </c>
      <c r="I61" s="121">
        <f t="shared" si="1"/>
        <v>1.4716689365227825E-2</v>
      </c>
      <c r="J61" s="122">
        <f t="shared" ref="J61:J70" si="6">(H61/$H$59)</f>
        <v>9.0330182816557206E-2</v>
      </c>
    </row>
    <row r="62" spans="2:10" x14ac:dyDescent="0.25">
      <c r="B62" s="238"/>
      <c r="C62" s="243" t="s">
        <v>60</v>
      </c>
      <c r="D62" s="236">
        <v>1880.6773399380002</v>
      </c>
      <c r="E62" s="236">
        <v>2121.8123142539998</v>
      </c>
      <c r="F62" s="121">
        <f t="shared" si="0"/>
        <v>0.12821708923442929</v>
      </c>
      <c r="G62" s="236">
        <v>14955.191076765001</v>
      </c>
      <c r="H62" s="236">
        <v>18945.111845309002</v>
      </c>
      <c r="I62" s="121">
        <f t="shared" si="1"/>
        <v>0.26679169447342643</v>
      </c>
      <c r="J62" s="122">
        <f t="shared" si="6"/>
        <v>8.1242888567800944E-2</v>
      </c>
    </row>
    <row r="63" spans="2:10" x14ac:dyDescent="0.25">
      <c r="B63" s="238"/>
      <c r="C63" s="243" t="s">
        <v>69</v>
      </c>
      <c r="D63" s="236">
        <v>1818.2307269999999</v>
      </c>
      <c r="E63" s="236">
        <v>1969.4139261</v>
      </c>
      <c r="F63" s="121">
        <f t="shared" si="0"/>
        <v>8.3148522822208443E-2</v>
      </c>
      <c r="G63" s="236">
        <v>14947.373571500002</v>
      </c>
      <c r="H63" s="236">
        <v>16664.504135000003</v>
      </c>
      <c r="I63" s="121">
        <f t="shared" si="1"/>
        <v>0.11487841360799568</v>
      </c>
      <c r="J63" s="122">
        <f t="shared" si="6"/>
        <v>7.1462890455972441E-2</v>
      </c>
    </row>
    <row r="64" spans="2:10" x14ac:dyDescent="0.25">
      <c r="B64" s="238"/>
      <c r="C64" s="243" t="s">
        <v>65</v>
      </c>
      <c r="D64" s="236">
        <v>1809.1888352000001</v>
      </c>
      <c r="E64" s="236">
        <v>2065.2525191</v>
      </c>
      <c r="F64" s="121">
        <f t="shared" si="0"/>
        <v>0.14153507854899672</v>
      </c>
      <c r="G64" s="236">
        <v>16687.606266979998</v>
      </c>
      <c r="H64" s="236">
        <v>16082.503796199999</v>
      </c>
      <c r="I64" s="121">
        <f t="shared" si="1"/>
        <v>-3.626059130945123E-2</v>
      </c>
      <c r="J64" s="122">
        <f t="shared" si="6"/>
        <v>6.89670810325375E-2</v>
      </c>
    </row>
    <row r="65" spans="2:10" x14ac:dyDescent="0.25">
      <c r="B65" s="238"/>
      <c r="C65" s="243" t="s">
        <v>71</v>
      </c>
      <c r="D65" s="236">
        <v>1533.925013</v>
      </c>
      <c r="E65" s="236">
        <v>1106.5871120000002</v>
      </c>
      <c r="F65" s="121">
        <f t="shared" si="0"/>
        <v>-0.27859112888721105</v>
      </c>
      <c r="G65" s="236">
        <v>13821.112286999998</v>
      </c>
      <c r="H65" s="236">
        <v>12030.514779000001</v>
      </c>
      <c r="I65" s="121">
        <f t="shared" si="1"/>
        <v>-0.12955523917450662</v>
      </c>
      <c r="J65" s="122">
        <f t="shared" si="6"/>
        <v>5.1590815593183834E-2</v>
      </c>
    </row>
    <row r="66" spans="2:10" x14ac:dyDescent="0.25">
      <c r="B66" s="238"/>
      <c r="C66" s="243" t="s">
        <v>70</v>
      </c>
      <c r="D66" s="236">
        <v>960.66504450000002</v>
      </c>
      <c r="E66" s="236">
        <v>1131.0395904</v>
      </c>
      <c r="F66" s="121">
        <f t="shared" si="0"/>
        <v>0.17735062483581385</v>
      </c>
      <c r="G66" s="236">
        <v>10003.4108798</v>
      </c>
      <c r="H66" s="236">
        <v>11900.886011799999</v>
      </c>
      <c r="I66" s="121">
        <f t="shared" si="1"/>
        <v>0.18968281467190282</v>
      </c>
      <c r="J66" s="133">
        <f t="shared" si="6"/>
        <v>5.1034924681860508E-2</v>
      </c>
    </row>
    <row r="67" spans="2:10" x14ac:dyDescent="0.25">
      <c r="B67" s="238"/>
      <c r="C67" s="243" t="s">
        <v>66</v>
      </c>
      <c r="D67" s="236">
        <v>1203.116212353</v>
      </c>
      <c r="E67" s="236">
        <v>1430.8631177340001</v>
      </c>
      <c r="F67" s="121">
        <f t="shared" si="0"/>
        <v>0.18929751178033166</v>
      </c>
      <c r="G67" s="236">
        <v>7615.793438361</v>
      </c>
      <c r="H67" s="236">
        <v>11835.048383939</v>
      </c>
      <c r="I67" s="121">
        <f t="shared" si="1"/>
        <v>0.55401383713028185</v>
      </c>
      <c r="J67" s="133">
        <f t="shared" si="6"/>
        <v>5.0752591217294349E-2</v>
      </c>
    </row>
    <row r="68" spans="2:10" x14ac:dyDescent="0.25">
      <c r="B68" s="238"/>
      <c r="C68" s="243" t="s">
        <v>87</v>
      </c>
      <c r="D68" s="236">
        <v>1166.168236</v>
      </c>
      <c r="E68" s="236">
        <v>1391.3433789999999</v>
      </c>
      <c r="F68" s="121">
        <f t="shared" si="0"/>
        <v>0.19308975844888296</v>
      </c>
      <c r="G68" s="236">
        <v>9383.9844620000003</v>
      </c>
      <c r="H68" s="236">
        <v>9661.7708079999993</v>
      </c>
      <c r="I68" s="121">
        <f t="shared" si="1"/>
        <v>2.9602174548016526E-2</v>
      </c>
      <c r="J68" s="133">
        <f t="shared" si="6"/>
        <v>4.1432860124092509E-2</v>
      </c>
    </row>
    <row r="69" spans="2:10" x14ac:dyDescent="0.25">
      <c r="B69" s="238"/>
      <c r="C69" s="243" t="s">
        <v>62</v>
      </c>
      <c r="D69" s="236">
        <v>1017.678835</v>
      </c>
      <c r="E69" s="236">
        <v>557.62300229999994</v>
      </c>
      <c r="F69" s="121">
        <f t="shared" si="0"/>
        <v>-0.45206387013050153</v>
      </c>
      <c r="G69" s="236">
        <v>11313.1797054</v>
      </c>
      <c r="H69" s="236">
        <v>9641.4886731000006</v>
      </c>
      <c r="I69" s="121">
        <f t="shared" si="1"/>
        <v>-0.14776491453610241</v>
      </c>
      <c r="J69" s="133">
        <f t="shared" si="6"/>
        <v>4.1345883639654087E-2</v>
      </c>
    </row>
    <row r="70" spans="2:10" x14ac:dyDescent="0.2">
      <c r="B70" s="238"/>
      <c r="C70" s="244" t="s">
        <v>153</v>
      </c>
      <c r="D70" s="236">
        <v>7342.9817951200002</v>
      </c>
      <c r="E70" s="236">
        <v>11437.240019909997</v>
      </c>
      <c r="F70" s="130">
        <f t="shared" si="0"/>
        <v>0.55757433955657631</v>
      </c>
      <c r="G70" s="236">
        <v>77748.210639590019</v>
      </c>
      <c r="H70" s="236">
        <v>84114.105896231806</v>
      </c>
      <c r="I70" s="123">
        <f t="shared" si="1"/>
        <v>8.1878350694803273E-2</v>
      </c>
      <c r="J70" s="124">
        <f t="shared" si="6"/>
        <v>0.36070903080996347</v>
      </c>
    </row>
    <row r="71" spans="2:10" x14ac:dyDescent="0.25">
      <c r="C71" s="77" t="s">
        <v>73</v>
      </c>
      <c r="D71" s="115">
        <f>SUM(D72:D73)</f>
        <v>1126462.3889200001</v>
      </c>
      <c r="E71" s="106">
        <f>SUM(E72:E73)</f>
        <v>1123268.1765320001</v>
      </c>
      <c r="F71" s="116">
        <f t="shared" si="0"/>
        <v>-2.8356138823795512E-3</v>
      </c>
      <c r="G71" s="106">
        <f>SUM(G72:G73)</f>
        <v>10050688.138025999</v>
      </c>
      <c r="H71" s="106">
        <f>SUM(H72:H73)</f>
        <v>8364305.5359899988</v>
      </c>
      <c r="I71" s="116">
        <f t="shared" si="1"/>
        <v>-0.16778777521269439</v>
      </c>
      <c r="J71" s="117">
        <f>SUM(J72:J73)</f>
        <v>1</v>
      </c>
    </row>
    <row r="72" spans="2:10" x14ac:dyDescent="0.25">
      <c r="B72" s="238"/>
      <c r="C72" s="242" t="s">
        <v>74</v>
      </c>
      <c r="D72" s="236">
        <v>1106782.0526000001</v>
      </c>
      <c r="E72" s="236">
        <v>1102158.6268</v>
      </c>
      <c r="F72" s="118">
        <f t="shared" si="0"/>
        <v>-4.1773588477866542E-3</v>
      </c>
      <c r="G72" s="236">
        <v>9896983.0094999988</v>
      </c>
      <c r="H72" s="236">
        <v>8189246.6785799991</v>
      </c>
      <c r="I72" s="118">
        <f t="shared" si="1"/>
        <v>-0.17255120366284993</v>
      </c>
      <c r="J72" s="120">
        <f>(H72/$H$71)</f>
        <v>0.97907072420337171</v>
      </c>
    </row>
    <row r="73" spans="2:10" x14ac:dyDescent="0.25">
      <c r="B73" s="238"/>
      <c r="C73" s="249" t="s">
        <v>59</v>
      </c>
      <c r="D73" s="236">
        <v>19680.336319999999</v>
      </c>
      <c r="E73" s="236">
        <v>21109.549731999999</v>
      </c>
      <c r="F73" s="123">
        <f t="shared" si="0"/>
        <v>7.2621391665322971E-2</v>
      </c>
      <c r="G73" s="236">
        <v>153705.12852600001</v>
      </c>
      <c r="H73" s="236">
        <v>175058.85741</v>
      </c>
      <c r="I73" s="123">
        <f t="shared" si="1"/>
        <v>0.13892658682750386</v>
      </c>
      <c r="J73" s="124">
        <f>(H73/$H$71)</f>
        <v>2.0929275796628351E-2</v>
      </c>
    </row>
    <row r="74" spans="2:10" x14ac:dyDescent="0.25">
      <c r="B74" s="238"/>
      <c r="C74" s="248" t="s">
        <v>75</v>
      </c>
      <c r="D74" s="106">
        <f>D75</f>
        <v>2654.3024</v>
      </c>
      <c r="E74" s="106">
        <f>E75</f>
        <v>3008.8197999999998</v>
      </c>
      <c r="F74" s="116">
        <f t="shared" si="0"/>
        <v>0.1335633046181926</v>
      </c>
      <c r="G74" s="115">
        <f>G75</f>
        <v>24631.510699999999</v>
      </c>
      <c r="H74" s="106">
        <f>H75</f>
        <v>25422.809540000002</v>
      </c>
      <c r="I74" s="116">
        <f t="shared" si="1"/>
        <v>3.212546926729927E-2</v>
      </c>
      <c r="J74" s="117">
        <f>SUM(J75)</f>
        <v>1</v>
      </c>
    </row>
    <row r="75" spans="2:10" x14ac:dyDescent="0.25">
      <c r="C75" s="78" t="s">
        <v>76</v>
      </c>
      <c r="D75" s="236">
        <v>2654.3024</v>
      </c>
      <c r="E75" s="236">
        <v>3008.8197999999998</v>
      </c>
      <c r="F75" s="119">
        <f t="shared" ref="F75:F88" si="7">(E75-D75)/D75</f>
        <v>0.1335633046181926</v>
      </c>
      <c r="G75" s="236">
        <v>24631.510699999999</v>
      </c>
      <c r="H75" s="236">
        <v>25422.809540000002</v>
      </c>
      <c r="I75" s="137">
        <f t="shared" ref="I75:I89" si="8">(H75-G75)/G75</f>
        <v>3.212546926729927E-2</v>
      </c>
      <c r="J75" s="138">
        <f>(H75/$H$74)</f>
        <v>1</v>
      </c>
    </row>
    <row r="76" spans="2:10" x14ac:dyDescent="0.25">
      <c r="C76" s="77" t="s">
        <v>77</v>
      </c>
      <c r="D76" s="115">
        <f>SUM(D77:D81)</f>
        <v>4087.3148483800005</v>
      </c>
      <c r="E76" s="106">
        <f>SUM(E77:E81)</f>
        <v>2971.9247022499994</v>
      </c>
      <c r="F76" s="116">
        <f t="shared" si="7"/>
        <v>-0.27289068435040764</v>
      </c>
      <c r="G76" s="115">
        <f>SUM(G77:G81)</f>
        <v>32069.420752135004</v>
      </c>
      <c r="H76" s="106">
        <f>SUM(H77:H81)</f>
        <v>28641.025696766097</v>
      </c>
      <c r="I76" s="116">
        <f t="shared" si="8"/>
        <v>-0.10690542501116622</v>
      </c>
      <c r="J76" s="117">
        <f>SUM(J77:J81)</f>
        <v>1</v>
      </c>
    </row>
    <row r="77" spans="2:10" x14ac:dyDescent="0.25">
      <c r="B77" s="238"/>
      <c r="C77" s="239" t="s">
        <v>35</v>
      </c>
      <c r="D77" s="108">
        <v>1269.2055617000001</v>
      </c>
      <c r="E77" s="108">
        <v>1207.2704979999999</v>
      </c>
      <c r="F77" s="118">
        <f t="shared" si="7"/>
        <v>-4.8798292072596283E-2</v>
      </c>
      <c r="G77" s="107">
        <v>10209.804658400002</v>
      </c>
      <c r="H77" s="108">
        <v>10873.265414400001</v>
      </c>
      <c r="I77" s="118">
        <f t="shared" si="8"/>
        <v>6.4982708112259882E-2</v>
      </c>
      <c r="J77" s="120">
        <f>(H77/$H$76)</f>
        <v>0.37963952581585503</v>
      </c>
    </row>
    <row r="78" spans="2:10" x14ac:dyDescent="0.25">
      <c r="B78" s="238"/>
      <c r="C78" s="240" t="s">
        <v>78</v>
      </c>
      <c r="D78" s="110">
        <v>994.06069400000001</v>
      </c>
      <c r="E78" s="110">
        <v>904.06650749999994</v>
      </c>
      <c r="F78" s="121">
        <f t="shared" si="7"/>
        <v>-9.0531883056227211E-2</v>
      </c>
      <c r="G78" s="109">
        <v>6811.3079360000002</v>
      </c>
      <c r="H78" s="110">
        <v>7338.9472722</v>
      </c>
      <c r="I78" s="121">
        <f t="shared" si="8"/>
        <v>7.7465200686530802E-2</v>
      </c>
      <c r="J78" s="122">
        <f t="shared" ref="J78:J81" si="9">(H78/$H$76)</f>
        <v>0.25623898214750918</v>
      </c>
    </row>
    <row r="79" spans="2:10" x14ac:dyDescent="0.25">
      <c r="B79" s="238"/>
      <c r="C79" s="240" t="s">
        <v>38</v>
      </c>
      <c r="D79" s="110">
        <v>446.11783671000001</v>
      </c>
      <c r="E79" s="110">
        <v>460.71242100000001</v>
      </c>
      <c r="F79" s="121">
        <f t="shared" si="7"/>
        <v>3.2714639696164505E-2</v>
      </c>
      <c r="G79" s="139">
        <v>4302.8704137549994</v>
      </c>
      <c r="H79" s="140">
        <v>3556.7218223661002</v>
      </c>
      <c r="I79" s="121">
        <f t="shared" si="8"/>
        <v>-0.1734071723386518</v>
      </c>
      <c r="J79" s="122">
        <f t="shared" si="9"/>
        <v>0.12418276705668733</v>
      </c>
    </row>
    <row r="80" spans="2:10" x14ac:dyDescent="0.25">
      <c r="B80" s="238"/>
      <c r="C80" s="240" t="s">
        <v>37</v>
      </c>
      <c r="D80" s="112">
        <v>858.27658399999996</v>
      </c>
      <c r="E80" s="110">
        <v>23.185744</v>
      </c>
      <c r="F80" s="121">
        <f t="shared" si="7"/>
        <v>-0.97298569664810985</v>
      </c>
      <c r="G80" s="139">
        <v>6387.0697860999999</v>
      </c>
      <c r="H80" s="140">
        <v>2509.4374434999995</v>
      </c>
      <c r="I80" s="121">
        <f t="shared" si="8"/>
        <v>-0.60710661891291406</v>
      </c>
      <c r="J80" s="122">
        <f t="shared" si="9"/>
        <v>8.7616884607011267E-2</v>
      </c>
    </row>
    <row r="81" spans="2:10" x14ac:dyDescent="0.25">
      <c r="B81" s="238"/>
      <c r="C81" s="240" t="s">
        <v>125</v>
      </c>
      <c r="D81" s="160">
        <v>519.65417196999999</v>
      </c>
      <c r="E81" s="112">
        <v>376.68953175000001</v>
      </c>
      <c r="F81" s="121">
        <f t="shared" si="7"/>
        <v>-0.27511496670569102</v>
      </c>
      <c r="G81" s="109">
        <v>4358.3679578799993</v>
      </c>
      <c r="H81" s="110">
        <v>4362.6537442999997</v>
      </c>
      <c r="I81" s="121">
        <f t="shared" si="8"/>
        <v>9.8334662456658938E-4</v>
      </c>
      <c r="J81" s="122">
        <f t="shared" si="9"/>
        <v>0.15232184037293728</v>
      </c>
    </row>
    <row r="82" spans="2:10" x14ac:dyDescent="0.25">
      <c r="B82" s="238"/>
      <c r="C82" s="77" t="s">
        <v>79</v>
      </c>
      <c r="D82" s="250">
        <f>SUM(D83:D90)</f>
        <v>2879.1874470999996</v>
      </c>
      <c r="E82" s="106">
        <f>SUM(E83:E90)</f>
        <v>1461.4284863999999</v>
      </c>
      <c r="F82" s="116">
        <f t="shared" si="7"/>
        <v>-0.4924163454963682</v>
      </c>
      <c r="G82" s="115">
        <f>SUM(G83:G90)</f>
        <v>23853.491662279994</v>
      </c>
      <c r="H82" s="106">
        <f>SUM(H83:H90)</f>
        <v>20287.8143562</v>
      </c>
      <c r="I82" s="116">
        <f t="shared" si="8"/>
        <v>-0.14948240519933903</v>
      </c>
      <c r="J82" s="117">
        <f>SUM(J83:J90)</f>
        <v>1</v>
      </c>
    </row>
    <row r="83" spans="2:10" x14ac:dyDescent="0.25">
      <c r="C83" s="100" t="s">
        <v>42</v>
      </c>
      <c r="D83" s="142">
        <v>1702.2046212</v>
      </c>
      <c r="E83" s="143">
        <v>981.49252349999995</v>
      </c>
      <c r="F83" s="144">
        <f t="shared" si="7"/>
        <v>-0.42339921342236814</v>
      </c>
      <c r="G83" s="107">
        <v>13341.6270258</v>
      </c>
      <c r="H83" s="110">
        <v>13217.6554015</v>
      </c>
      <c r="I83" s="119">
        <f t="shared" si="8"/>
        <v>-9.2920918910612844E-3</v>
      </c>
      <c r="J83" s="120">
        <f>(H83/$H$82)</f>
        <v>0.65150711503137626</v>
      </c>
    </row>
    <row r="84" spans="2:10" x14ac:dyDescent="0.25">
      <c r="C84" s="101" t="s">
        <v>39</v>
      </c>
      <c r="D84" s="145">
        <v>1026.065781</v>
      </c>
      <c r="E84" s="143">
        <v>348.49016999999998</v>
      </c>
      <c r="F84" s="119">
        <f t="shared" si="7"/>
        <v>-0.66036274042745802</v>
      </c>
      <c r="G84" s="109">
        <v>9355.8500169999988</v>
      </c>
      <c r="H84" s="110">
        <v>5576.7894240000005</v>
      </c>
      <c r="I84" s="119">
        <f t="shared" si="8"/>
        <v>-0.40392487974190222</v>
      </c>
      <c r="J84" s="122">
        <f t="shared" ref="J84:J89" si="10">(H84/$H$82)</f>
        <v>0.2748836974790102</v>
      </c>
    </row>
    <row r="85" spans="2:10" x14ac:dyDescent="0.25">
      <c r="C85" s="101" t="s">
        <v>72</v>
      </c>
      <c r="D85" s="145">
        <v>109.111491</v>
      </c>
      <c r="E85" s="143">
        <v>65.047948000000005</v>
      </c>
      <c r="F85" s="119">
        <f t="shared" si="7"/>
        <v>-0.40383961942193602</v>
      </c>
      <c r="G85" s="109">
        <v>809.5800989999999</v>
      </c>
      <c r="H85" s="110">
        <v>941.98565200000007</v>
      </c>
      <c r="I85" s="119">
        <f t="shared" si="8"/>
        <v>0.16354842857865282</v>
      </c>
      <c r="J85" s="122">
        <f t="shared" si="10"/>
        <v>4.6431105660828725E-2</v>
      </c>
    </row>
    <row r="86" spans="2:10" x14ac:dyDescent="0.25">
      <c r="C86" s="101" t="s">
        <v>65</v>
      </c>
      <c r="D86" s="145">
        <v>41.1165539</v>
      </c>
      <c r="E86" s="143">
        <v>64.505954900000006</v>
      </c>
      <c r="F86" s="119">
        <f t="shared" si="7"/>
        <v>0.56885606359145791</v>
      </c>
      <c r="G86" s="109">
        <v>317.50688899999994</v>
      </c>
      <c r="H86" s="110">
        <v>523.56209970000009</v>
      </c>
      <c r="I86" s="119">
        <f t="shared" si="8"/>
        <v>0.64897870830135018</v>
      </c>
      <c r="J86" s="122">
        <f t="shared" si="10"/>
        <v>2.5806727649792319E-2</v>
      </c>
    </row>
    <row r="87" spans="2:10" x14ac:dyDescent="0.25">
      <c r="C87" s="101" t="s">
        <v>80</v>
      </c>
      <c r="D87" s="155">
        <v>0</v>
      </c>
      <c r="E87" s="143">
        <v>1.5651900000000001</v>
      </c>
      <c r="F87" s="119" t="s">
        <v>81</v>
      </c>
      <c r="G87" s="109">
        <v>4.0247039999999998</v>
      </c>
      <c r="H87" s="110">
        <v>19.231763999999998</v>
      </c>
      <c r="I87" s="119">
        <f t="shared" si="8"/>
        <v>3.7784294199026807</v>
      </c>
      <c r="J87" s="122">
        <f t="shared" si="10"/>
        <v>9.4794656843469826E-4</v>
      </c>
    </row>
    <row r="88" spans="2:10" x14ac:dyDescent="0.25">
      <c r="C88" s="101" t="s">
        <v>82</v>
      </c>
      <c r="D88" s="211">
        <v>0.68899999999999995</v>
      </c>
      <c r="E88" s="146">
        <v>0.32669999999999999</v>
      </c>
      <c r="F88" s="119">
        <f t="shared" si="7"/>
        <v>-0.52583454281567488</v>
      </c>
      <c r="G88" s="109">
        <v>6.9010600000000002</v>
      </c>
      <c r="H88" s="110">
        <v>5.9120300000000006</v>
      </c>
      <c r="I88" s="119">
        <f t="shared" si="8"/>
        <v>-0.14331566455008354</v>
      </c>
      <c r="J88" s="133">
        <f t="shared" si="10"/>
        <v>2.9140793070167614E-4</v>
      </c>
    </row>
    <row r="89" spans="2:10" x14ac:dyDescent="0.25">
      <c r="C89" s="101" t="s">
        <v>83</v>
      </c>
      <c r="D89" s="155">
        <v>0</v>
      </c>
      <c r="E89" s="156">
        <v>0</v>
      </c>
      <c r="F89" s="119" t="s">
        <v>46</v>
      </c>
      <c r="G89" s="109">
        <v>16.869692800000003</v>
      </c>
      <c r="H89" s="110">
        <v>2.6779850000000001</v>
      </c>
      <c r="I89" s="119">
        <f t="shared" si="8"/>
        <v>-0.84125466706779628</v>
      </c>
      <c r="J89" s="133">
        <f t="shared" si="10"/>
        <v>1.3199967985617938E-4</v>
      </c>
    </row>
    <row r="90" spans="2:10" x14ac:dyDescent="0.25">
      <c r="C90" s="102" t="s">
        <v>84</v>
      </c>
      <c r="D90" s="151">
        <v>0</v>
      </c>
      <c r="E90" s="156">
        <v>0</v>
      </c>
      <c r="F90" s="147" t="s">
        <v>46</v>
      </c>
      <c r="G90" s="134">
        <v>1.1321746800000001</v>
      </c>
      <c r="H90" s="110">
        <v>0</v>
      </c>
      <c r="I90" s="119" t="s">
        <v>46</v>
      </c>
      <c r="J90" s="124" t="s">
        <v>46</v>
      </c>
    </row>
    <row r="91" spans="2:10" x14ac:dyDescent="0.25">
      <c r="C91" s="77" t="s">
        <v>85</v>
      </c>
      <c r="D91" s="148">
        <f>SUM(D92:D97)</f>
        <v>20.286814</v>
      </c>
      <c r="E91" s="106">
        <f>SUM(E92:E97)</f>
        <v>23.366099999999999</v>
      </c>
      <c r="F91" s="116">
        <f t="shared" ref="F91:F96" si="11">(E91-D91)/D91</f>
        <v>0.15178756013635261</v>
      </c>
      <c r="G91" s="115">
        <f>SUM(G92:G97)</f>
        <v>198.43115709999998</v>
      </c>
      <c r="H91" s="106">
        <f>SUM(H92:H97)</f>
        <v>204.13281080000002</v>
      </c>
      <c r="I91" s="116">
        <f t="shared" ref="I91:I96" si="12">(H91-G91)/G91</f>
        <v>2.8733661504209602E-2</v>
      </c>
      <c r="J91" s="117">
        <f>SUM(J92:J97)</f>
        <v>1</v>
      </c>
    </row>
    <row r="92" spans="2:10" x14ac:dyDescent="0.25">
      <c r="B92" s="238"/>
      <c r="C92" s="239" t="s">
        <v>58</v>
      </c>
      <c r="D92" s="143">
        <v>13.128845999999999</v>
      </c>
      <c r="E92" s="149">
        <v>16.487017999999999</v>
      </c>
      <c r="F92" s="150">
        <f t="shared" si="11"/>
        <v>0.25578577127037666</v>
      </c>
      <c r="G92" s="142">
        <v>123.30482299999998</v>
      </c>
      <c r="H92" s="143">
        <v>148.78887500000002</v>
      </c>
      <c r="I92" s="150">
        <f t="shared" si="12"/>
        <v>0.20667522469903743</v>
      </c>
      <c r="J92" s="120">
        <f>(H92/$H$91)</f>
        <v>0.72888270345611683</v>
      </c>
    </row>
    <row r="93" spans="2:10" x14ac:dyDescent="0.25">
      <c r="B93" s="238"/>
      <c r="C93" s="240" t="s">
        <v>86</v>
      </c>
      <c r="D93" s="143">
        <v>7.0042679999999997</v>
      </c>
      <c r="E93" s="143">
        <v>4.2763410000000004</v>
      </c>
      <c r="F93" s="150">
        <f t="shared" si="11"/>
        <v>-0.38946639391867921</v>
      </c>
      <c r="G93" s="145">
        <v>51.948824000000002</v>
      </c>
      <c r="H93" s="143">
        <v>38.326342800000006</v>
      </c>
      <c r="I93" s="150">
        <f t="shared" si="12"/>
        <v>-0.26222886585459559</v>
      </c>
      <c r="J93" s="122">
        <f t="shared" ref="J93:J96" si="13">(H93/$H$91)</f>
        <v>0.18775199660357592</v>
      </c>
    </row>
    <row r="94" spans="2:10" x14ac:dyDescent="0.25">
      <c r="B94" s="238"/>
      <c r="C94" s="240" t="s">
        <v>87</v>
      </c>
      <c r="D94" s="143">
        <v>0</v>
      </c>
      <c r="E94" s="143">
        <v>2.315709</v>
      </c>
      <c r="F94" s="150" t="s">
        <v>81</v>
      </c>
      <c r="G94" s="145">
        <v>20.405955000000002</v>
      </c>
      <c r="H94" s="143">
        <v>13.366775000000001</v>
      </c>
      <c r="I94" s="150">
        <f t="shared" si="12"/>
        <v>-0.34495714608799249</v>
      </c>
      <c r="J94" s="122">
        <f t="shared" si="13"/>
        <v>6.5480776694424467E-2</v>
      </c>
    </row>
    <row r="95" spans="2:10" x14ac:dyDescent="0.25">
      <c r="B95" s="238"/>
      <c r="C95" s="240" t="s">
        <v>72</v>
      </c>
      <c r="D95" s="156">
        <v>0</v>
      </c>
      <c r="E95" s="146">
        <v>0.23033200000000001</v>
      </c>
      <c r="F95" s="150" t="s">
        <v>81</v>
      </c>
      <c r="G95" s="211">
        <v>0.93070399999999998</v>
      </c>
      <c r="H95" s="143">
        <v>2.8869780000000005</v>
      </c>
      <c r="I95" s="150">
        <f t="shared" si="12"/>
        <v>2.1019292922346962</v>
      </c>
      <c r="J95" s="122">
        <f t="shared" si="13"/>
        <v>1.4142645607464492E-2</v>
      </c>
    </row>
    <row r="96" spans="2:10" x14ac:dyDescent="0.25">
      <c r="B96" s="238"/>
      <c r="C96" s="240" t="s">
        <v>82</v>
      </c>
      <c r="D96" s="146">
        <v>0.1537</v>
      </c>
      <c r="E96" s="146">
        <v>5.67E-2</v>
      </c>
      <c r="F96" s="150">
        <f t="shared" si="11"/>
        <v>-0.63109954456733897</v>
      </c>
      <c r="G96" s="211">
        <v>1.2264999999999999</v>
      </c>
      <c r="H96" s="146">
        <v>0.76384000000000007</v>
      </c>
      <c r="I96" s="150">
        <f t="shared" si="12"/>
        <v>-0.37721973094170391</v>
      </c>
      <c r="J96" s="122">
        <f t="shared" si="13"/>
        <v>3.741877638418331E-3</v>
      </c>
    </row>
    <row r="97" spans="2:10" x14ac:dyDescent="0.25">
      <c r="B97" s="238"/>
      <c r="C97" s="240" t="s">
        <v>84</v>
      </c>
      <c r="D97" s="251">
        <v>0</v>
      </c>
      <c r="E97" s="156">
        <v>0</v>
      </c>
      <c r="F97" s="150" t="s">
        <v>46</v>
      </c>
      <c r="G97" s="212">
        <v>0.61435109999999993</v>
      </c>
      <c r="H97" s="156">
        <v>0</v>
      </c>
      <c r="I97" s="150" t="s">
        <v>46</v>
      </c>
      <c r="J97" s="124" t="s">
        <v>46</v>
      </c>
    </row>
    <row r="98" spans="2:10" x14ac:dyDescent="0.25">
      <c r="B98" s="238"/>
      <c r="C98" s="77" t="s">
        <v>88</v>
      </c>
      <c r="D98" s="106">
        <f>SUM(D99:D101)</f>
        <v>28.185550999999997</v>
      </c>
      <c r="E98" s="106">
        <f>SUM(E99:E101)</f>
        <v>20.976871000000003</v>
      </c>
      <c r="F98" s="116">
        <f t="shared" ref="F98:F101" si="14">(E98-D98)/D98</f>
        <v>-0.25575799458382042</v>
      </c>
      <c r="G98" s="115">
        <f>SUM(G99:G101)</f>
        <v>232.54697499999997</v>
      </c>
      <c r="H98" s="106">
        <f>SUM(H99:H101)</f>
        <v>239.59685400000001</v>
      </c>
      <c r="I98" s="116">
        <f t="shared" ref="I98:I107" si="15">(H98-G98)/G98</f>
        <v>3.0315935092254085E-2</v>
      </c>
      <c r="J98" s="117">
        <f>SUM(J99:J101)</f>
        <v>1</v>
      </c>
    </row>
    <row r="99" spans="2:10" x14ac:dyDescent="0.25">
      <c r="B99" s="238"/>
      <c r="C99" s="240" t="s">
        <v>71</v>
      </c>
      <c r="D99" s="149">
        <v>16.451782999999999</v>
      </c>
      <c r="E99" s="149">
        <v>11.795659000000001</v>
      </c>
      <c r="F99" s="118">
        <f t="shared" si="14"/>
        <v>-0.28301637579343214</v>
      </c>
      <c r="G99" s="107">
        <v>137.83335699999998</v>
      </c>
      <c r="H99" s="108">
        <v>137.291664</v>
      </c>
      <c r="I99" s="118">
        <f t="shared" si="15"/>
        <v>-3.9300573663019825E-3</v>
      </c>
      <c r="J99" s="120">
        <f>(H99/$H$98)</f>
        <v>0.57301112977051027</v>
      </c>
    </row>
    <row r="100" spans="2:10" x14ac:dyDescent="0.25">
      <c r="B100" s="238"/>
      <c r="C100" s="240" t="s">
        <v>72</v>
      </c>
      <c r="D100" s="143">
        <v>7.6436999999999999</v>
      </c>
      <c r="E100" s="143">
        <v>4.9754699999999996</v>
      </c>
      <c r="F100" s="121">
        <f t="shared" si="14"/>
        <v>-0.34907570940774763</v>
      </c>
      <c r="G100" s="109">
        <v>58.81521</v>
      </c>
      <c r="H100" s="110">
        <v>61.797269999999997</v>
      </c>
      <c r="I100" s="121">
        <f t="shared" si="15"/>
        <v>5.0702190810846329E-2</v>
      </c>
      <c r="J100" s="122">
        <f t="shared" ref="J100:J101" si="16">(H100/$H$98)</f>
        <v>0.2579218757187855</v>
      </c>
    </row>
    <row r="101" spans="2:10" x14ac:dyDescent="0.25">
      <c r="B101" s="238"/>
      <c r="C101" s="240" t="s">
        <v>86</v>
      </c>
      <c r="D101" s="213">
        <v>4.0900679999999996</v>
      </c>
      <c r="E101" s="213">
        <v>4.2057419999999999</v>
      </c>
      <c r="F101" s="123">
        <f t="shared" si="14"/>
        <v>2.8281681380358539E-2</v>
      </c>
      <c r="G101" s="134">
        <v>35.898407999999996</v>
      </c>
      <c r="H101" s="135">
        <v>40.507919999999999</v>
      </c>
      <c r="I101" s="123">
        <f t="shared" si="15"/>
        <v>0.1284043570957242</v>
      </c>
      <c r="J101" s="124">
        <f t="shared" si="16"/>
        <v>0.1690669945107042</v>
      </c>
    </row>
    <row r="102" spans="2:10" x14ac:dyDescent="0.25">
      <c r="B102" s="238"/>
      <c r="C102" s="77" t="s">
        <v>89</v>
      </c>
      <c r="D102" s="106">
        <f>SUM(D103:D106)</f>
        <v>3255.1303392000004</v>
      </c>
      <c r="E102" s="106">
        <f>SUM(E103:E106)</f>
        <v>3350.4782869999999</v>
      </c>
      <c r="F102" s="116">
        <f t="shared" ref="F102:F107" si="17">(E102-D102)/D102</f>
        <v>2.9291591384765482E-2</v>
      </c>
      <c r="G102" s="115">
        <f>SUM(G103:G106)</f>
        <v>13486.971326300001</v>
      </c>
      <c r="H102" s="106">
        <f>SUM(H103:H106)</f>
        <v>28104.971208799998</v>
      </c>
      <c r="I102" s="116">
        <f t="shared" si="15"/>
        <v>1.0838608260399023</v>
      </c>
      <c r="J102" s="117">
        <f>SUM(J103:J106)</f>
        <v>1</v>
      </c>
    </row>
    <row r="103" spans="2:10" x14ac:dyDescent="0.25">
      <c r="C103" s="80" t="s">
        <v>65</v>
      </c>
      <c r="D103" s="126">
        <v>3144.9354922000002</v>
      </c>
      <c r="E103" s="127">
        <v>3279.5550760000001</v>
      </c>
      <c r="F103" s="118">
        <f t="shared" si="17"/>
        <v>4.2805197160285288E-2</v>
      </c>
      <c r="G103" s="107">
        <v>12634.481824300001</v>
      </c>
      <c r="H103" s="108">
        <v>27322.647780799998</v>
      </c>
      <c r="I103" s="118">
        <f t="shared" si="15"/>
        <v>1.1625459722653706</v>
      </c>
      <c r="J103" s="120">
        <f>(H103/$H$102)</f>
        <v>0.97216423307507094</v>
      </c>
    </row>
    <row r="104" spans="2:10" x14ac:dyDescent="0.25">
      <c r="C104" s="75" t="s">
        <v>71</v>
      </c>
      <c r="D104" s="111">
        <v>95.734367000000006</v>
      </c>
      <c r="E104" s="112">
        <v>61.741999</v>
      </c>
      <c r="F104" s="121">
        <f t="shared" si="17"/>
        <v>-0.3550696480815505</v>
      </c>
      <c r="G104" s="109">
        <v>729.94822700000009</v>
      </c>
      <c r="H104" s="110">
        <v>679.46944999999994</v>
      </c>
      <c r="I104" s="121">
        <f t="shared" si="15"/>
        <v>-6.9153914117254439E-2</v>
      </c>
      <c r="J104" s="122">
        <f t="shared" ref="J104:J106" si="18">(H104/$H$102)</f>
        <v>2.4176130441551567E-2</v>
      </c>
    </row>
    <row r="105" spans="2:10" x14ac:dyDescent="0.25">
      <c r="C105" s="75" t="s">
        <v>72</v>
      </c>
      <c r="D105" s="111">
        <v>7.6436999999999999</v>
      </c>
      <c r="E105" s="112">
        <v>4.9754699999999996</v>
      </c>
      <c r="F105" s="121">
        <f t="shared" si="17"/>
        <v>-0.34907570940774763</v>
      </c>
      <c r="G105" s="252">
        <v>62.710595000000005</v>
      </c>
      <c r="H105" s="253">
        <v>63.218007</v>
      </c>
      <c r="I105" s="121">
        <f t="shared" si="15"/>
        <v>8.0913281081130724E-3</v>
      </c>
      <c r="J105" s="122">
        <f t="shared" si="18"/>
        <v>2.2493532026891276E-3</v>
      </c>
    </row>
    <row r="106" spans="2:10" x14ac:dyDescent="0.25">
      <c r="C106" s="79" t="s">
        <v>86</v>
      </c>
      <c r="D106" s="113">
        <v>6.8167799999999996</v>
      </c>
      <c r="E106" s="114">
        <v>4.2057419999999999</v>
      </c>
      <c r="F106" s="123">
        <f t="shared" si="17"/>
        <v>-0.38303099117178491</v>
      </c>
      <c r="G106" s="134">
        <v>59.830680000000001</v>
      </c>
      <c r="H106" s="135">
        <v>39.635970999999998</v>
      </c>
      <c r="I106" s="123">
        <f t="shared" si="15"/>
        <v>-0.33753099580349083</v>
      </c>
      <c r="J106" s="124">
        <f t="shared" si="18"/>
        <v>1.4102832806884181E-3</v>
      </c>
    </row>
    <row r="107" spans="2:10" x14ac:dyDescent="0.25">
      <c r="C107" s="81" t="s">
        <v>90</v>
      </c>
      <c r="D107" s="115">
        <f>SUM(D108:D108)</f>
        <v>3.5447256</v>
      </c>
      <c r="E107" s="106">
        <f>SUM(E108:E108)</f>
        <v>2.8038280000000002</v>
      </c>
      <c r="F107" s="116">
        <f t="shared" si="17"/>
        <v>-0.20901409124587805</v>
      </c>
      <c r="G107" s="115">
        <f>SUM(G108:G108)</f>
        <v>32.392392400000006</v>
      </c>
      <c r="H107" s="106">
        <f>SUM(H108:H108)</f>
        <v>27.005279999999999</v>
      </c>
      <c r="I107" s="116">
        <f t="shared" si="15"/>
        <v>-0.16630795075204158</v>
      </c>
      <c r="J107" s="117">
        <f>SUM(J108:J108)</f>
        <v>1</v>
      </c>
    </row>
    <row r="108" spans="2:10" x14ac:dyDescent="0.25">
      <c r="C108" s="75" t="s">
        <v>86</v>
      </c>
      <c r="D108" s="126">
        <v>3.5447256</v>
      </c>
      <c r="E108" s="127">
        <v>2.8038280000000002</v>
      </c>
      <c r="F108" s="118">
        <f>(E108-D108)/D108</f>
        <v>-0.20901409124587805</v>
      </c>
      <c r="G108" s="107">
        <v>32.392392400000006</v>
      </c>
      <c r="H108" s="108">
        <v>27.005279999999999</v>
      </c>
      <c r="I108" s="118">
        <f>(H108-G108)/G108</f>
        <v>-0.16630795075204158</v>
      </c>
      <c r="J108" s="120">
        <f>H108/H107</f>
        <v>1</v>
      </c>
    </row>
    <row r="109" spans="2:10" ht="98.25" customHeight="1" x14ac:dyDescent="0.25">
      <c r="C109" s="274" t="s">
        <v>141</v>
      </c>
      <c r="D109" s="275"/>
      <c r="E109" s="275"/>
      <c r="F109" s="275"/>
      <c r="G109" s="275"/>
      <c r="H109" s="275"/>
      <c r="I109" s="275"/>
      <c r="J109" s="276"/>
    </row>
  </sheetData>
  <mergeCells count="5">
    <mergeCell ref="C3:J3"/>
    <mergeCell ref="B4:K4"/>
    <mergeCell ref="D8:F8"/>
    <mergeCell ref="G8:J8"/>
    <mergeCell ref="C109:J109"/>
  </mergeCells>
  <printOptions horizontalCentered="1" verticalCentered="1"/>
  <pageMargins left="0" right="0" top="0" bottom="0" header="0.31496062992125984" footer="0.31496062992125984"/>
  <pageSetup paperSize="9" scale="47" orientation="portrait" r:id="rId1"/>
  <ignoredErrors>
    <ignoredError sqref="F11 I11:I68 F23:F79 F81:F86 I70:I107 F96:F107 F88:F92"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3CBB-DC25-4836-85C0-23E6B5DB39FA}">
  <sheetPr>
    <tabColor rgb="FFC00000"/>
  </sheetPr>
  <dimension ref="C1:S125"/>
  <sheetViews>
    <sheetView showGridLines="0" view="pageBreakPreview" zoomScaleNormal="100" zoomScaleSheetLayoutView="100" zoomScalePageLayoutView="70" workbookViewId="0"/>
  </sheetViews>
  <sheetFormatPr baseColWidth="10" defaultColWidth="11.42578125" defaultRowHeight="15" x14ac:dyDescent="0.25"/>
  <cols>
    <col min="1" max="2" width="3.28515625" style="61" customWidth="1"/>
    <col min="3" max="3" width="48.85546875" style="61" customWidth="1"/>
    <col min="4" max="4" width="11.140625" style="61" customWidth="1"/>
    <col min="5" max="5" width="10.85546875" style="61" customWidth="1"/>
    <col min="6" max="6" width="11.140625" style="98" customWidth="1"/>
    <col min="7" max="7" width="12.42578125" style="64" customWidth="1"/>
    <col min="8" max="8" width="11.7109375" style="61" customWidth="1"/>
    <col min="9" max="9" width="9.7109375" style="64" customWidth="1"/>
    <col min="10" max="10" width="9.85546875" style="64" customWidth="1"/>
    <col min="11" max="11" width="3.28515625" style="61" customWidth="1"/>
    <col min="12" max="12" width="15.42578125" style="61" customWidth="1"/>
    <col min="13" max="16384" width="11.42578125" style="61"/>
  </cols>
  <sheetData>
    <row r="1" spans="3:19" ht="10.5" customHeight="1" x14ac:dyDescent="0.25">
      <c r="F1" s="64"/>
      <c r="H1" s="63"/>
    </row>
    <row r="2" spans="3:19" ht="10.5" customHeight="1" x14ac:dyDescent="0.25">
      <c r="F2" s="64"/>
      <c r="H2" s="63"/>
    </row>
    <row r="3" spans="3:19" ht="15.75" x14ac:dyDescent="0.25">
      <c r="C3" s="260" t="s">
        <v>0</v>
      </c>
      <c r="D3" s="260"/>
      <c r="E3" s="260"/>
      <c r="F3" s="260"/>
      <c r="G3" s="260"/>
      <c r="H3" s="260"/>
      <c r="I3" s="260"/>
      <c r="J3" s="260"/>
      <c r="K3" s="1"/>
      <c r="L3" s="1"/>
      <c r="M3" s="4"/>
      <c r="N3" s="4"/>
      <c r="O3" s="4"/>
      <c r="P3" s="4"/>
      <c r="Q3" s="4"/>
      <c r="R3" s="4"/>
      <c r="S3" s="4"/>
    </row>
    <row r="4" spans="3:19" ht="15.75" x14ac:dyDescent="0.25">
      <c r="C4" s="261" t="s">
        <v>1</v>
      </c>
      <c r="D4" s="261"/>
      <c r="E4" s="261"/>
      <c r="F4" s="261"/>
      <c r="G4" s="261"/>
      <c r="H4" s="261"/>
      <c r="I4" s="261"/>
      <c r="J4" s="261"/>
      <c r="K4" s="82"/>
      <c r="L4" s="1"/>
      <c r="M4" s="4"/>
      <c r="N4" s="4"/>
      <c r="O4" s="4"/>
      <c r="P4" s="4"/>
      <c r="Q4" s="4"/>
      <c r="R4" s="4"/>
      <c r="S4" s="4"/>
    </row>
    <row r="5" spans="3:19" ht="9" customHeight="1" x14ac:dyDescent="0.25">
      <c r="E5" s="4"/>
      <c r="F5" s="3"/>
      <c r="G5" s="3"/>
      <c r="H5" s="4"/>
      <c r="I5" s="3"/>
      <c r="J5" s="3"/>
      <c r="K5" s="4"/>
      <c r="L5" s="4"/>
      <c r="M5" s="4"/>
      <c r="N5" s="4"/>
      <c r="O5" s="4"/>
      <c r="P5" s="4"/>
      <c r="Q5" s="4"/>
      <c r="R5" s="4"/>
      <c r="S5" s="4"/>
    </row>
    <row r="6" spans="3:19" ht="15.75" customHeight="1" x14ac:dyDescent="0.25">
      <c r="C6" s="83" t="s">
        <v>91</v>
      </c>
      <c r="D6" s="53"/>
      <c r="E6" s="53"/>
      <c r="F6" s="84"/>
    </row>
    <row r="7" spans="3:19" x14ac:dyDescent="0.25">
      <c r="C7" s="85" t="s">
        <v>92</v>
      </c>
      <c r="D7" s="86"/>
      <c r="E7" s="86"/>
      <c r="F7" s="84"/>
    </row>
    <row r="8" spans="3:19" ht="26.25" customHeight="1" x14ac:dyDescent="0.25">
      <c r="C8" s="87"/>
      <c r="D8" s="277" t="s">
        <v>146</v>
      </c>
      <c r="E8" s="278"/>
      <c r="F8" s="278"/>
      <c r="G8" s="271" t="s">
        <v>147</v>
      </c>
      <c r="H8" s="272"/>
      <c r="I8" s="272"/>
      <c r="J8" s="273"/>
    </row>
    <row r="9" spans="3:19" ht="24" x14ac:dyDescent="0.25">
      <c r="C9" s="88" t="s">
        <v>93</v>
      </c>
      <c r="D9" s="105">
        <v>2024</v>
      </c>
      <c r="E9" s="104">
        <v>2025</v>
      </c>
      <c r="F9" s="116" t="s">
        <v>26</v>
      </c>
      <c r="G9" s="104">
        <v>2024</v>
      </c>
      <c r="H9" s="104">
        <v>2025</v>
      </c>
      <c r="I9" s="182" t="s">
        <v>26</v>
      </c>
      <c r="J9" s="153" t="s">
        <v>33</v>
      </c>
    </row>
    <row r="10" spans="3:19" s="73" customFormat="1" ht="4.5" customHeight="1" x14ac:dyDescent="0.25">
      <c r="D10" s="103"/>
      <c r="E10" s="103"/>
      <c r="F10" s="154"/>
      <c r="G10" s="154"/>
      <c r="H10" s="103"/>
      <c r="I10" s="154"/>
      <c r="J10" s="154"/>
    </row>
    <row r="11" spans="3:19" x14ac:dyDescent="0.25">
      <c r="C11" s="89" t="s">
        <v>94</v>
      </c>
      <c r="D11" s="158">
        <f>+SUM(D12:D26)</f>
        <v>232423.20436398499</v>
      </c>
      <c r="E11" s="158">
        <f>+SUM(E12:E26)</f>
        <v>240995.04587404703</v>
      </c>
      <c r="F11" s="183">
        <f>(E11-D11)/D11</f>
        <v>3.6880317236475953E-2</v>
      </c>
      <c r="G11" s="162">
        <f>+SUM(G12:G26)</f>
        <v>1993626.3806346494</v>
      </c>
      <c r="H11" s="158">
        <f>+SUM(H12:H26)</f>
        <v>2048394.7591561228</v>
      </c>
      <c r="I11" s="186">
        <f>(H11-G11)/G11</f>
        <v>2.7471736456476093E-2</v>
      </c>
      <c r="J11" s="186">
        <f>SUM(J12:J26)</f>
        <v>1</v>
      </c>
    </row>
    <row r="12" spans="3:19" x14ac:dyDescent="0.25">
      <c r="C12" s="90" t="s">
        <v>95</v>
      </c>
      <c r="D12" s="159">
        <v>36577.708020815997</v>
      </c>
      <c r="E12" s="159">
        <v>38646.122068739998</v>
      </c>
      <c r="F12" s="184">
        <f t="shared" ref="F12:F78" si="0">+E12/D12-1</f>
        <v>5.6548487038796669E-2</v>
      </c>
      <c r="G12" s="168">
        <v>342853.32989219623</v>
      </c>
      <c r="H12" s="159">
        <v>363197.7818201023</v>
      </c>
      <c r="I12" s="188">
        <f t="shared" ref="I12:I79" si="1">+H12/G12-1</f>
        <v>5.933864470356176E-2</v>
      </c>
      <c r="J12" s="188">
        <f t="shared" ref="J12:J26" si="2">(H12/$H$11)</f>
        <v>0.17730849007333377</v>
      </c>
    </row>
    <row r="13" spans="3:19" x14ac:dyDescent="0.25">
      <c r="C13" s="90" t="s">
        <v>96</v>
      </c>
      <c r="D13" s="159">
        <v>32654.985000000001</v>
      </c>
      <c r="E13" s="159">
        <v>34793.097320000001</v>
      </c>
      <c r="F13" s="184">
        <f t="shared" si="0"/>
        <v>6.5475832250420529E-2</v>
      </c>
      <c r="G13" s="168">
        <v>216030.65885999997</v>
      </c>
      <c r="H13" s="159">
        <v>313681.196635</v>
      </c>
      <c r="I13" s="188">
        <f t="shared" si="1"/>
        <v>0.4520216634541816</v>
      </c>
      <c r="J13" s="188">
        <f t="shared" si="2"/>
        <v>0.15313512946314473</v>
      </c>
    </row>
    <row r="14" spans="3:19" x14ac:dyDescent="0.25">
      <c r="C14" s="90" t="s">
        <v>97</v>
      </c>
      <c r="D14" s="159">
        <v>36151.865344160004</v>
      </c>
      <c r="E14" s="159">
        <v>39702.124084620009</v>
      </c>
      <c r="F14" s="184">
        <f t="shared" si="0"/>
        <v>9.8204026449592696E-2</v>
      </c>
      <c r="G14" s="168">
        <v>342463.46890305</v>
      </c>
      <c r="H14" s="159">
        <v>312308.01163664006</v>
      </c>
      <c r="I14" s="188">
        <f t="shared" si="1"/>
        <v>-8.8054522612298958E-2</v>
      </c>
      <c r="J14" s="188">
        <f t="shared" si="2"/>
        <v>0.1524647581920692</v>
      </c>
    </row>
    <row r="15" spans="3:19" x14ac:dyDescent="0.25">
      <c r="C15" s="91" t="s">
        <v>98</v>
      </c>
      <c r="D15" s="160">
        <v>35958.958494449995</v>
      </c>
      <c r="E15" s="160">
        <v>45556.549079900004</v>
      </c>
      <c r="F15" s="184">
        <f t="shared" si="0"/>
        <v>0.26690402022993309</v>
      </c>
      <c r="G15" s="168">
        <v>345345.71823376999</v>
      </c>
      <c r="H15" s="159">
        <v>281880.40005161002</v>
      </c>
      <c r="I15" s="188">
        <f t="shared" si="1"/>
        <v>-0.18377328813209515</v>
      </c>
      <c r="J15" s="188">
        <f t="shared" si="2"/>
        <v>0.13761038920434276</v>
      </c>
    </row>
    <row r="16" spans="3:19" x14ac:dyDescent="0.25">
      <c r="C16" s="92" t="s">
        <v>99</v>
      </c>
      <c r="D16" s="160">
        <v>21038.341648403999</v>
      </c>
      <c r="E16" s="160">
        <v>20796.353987192</v>
      </c>
      <c r="F16" s="184">
        <f t="shared" si="0"/>
        <v>-1.150222128987799E-2</v>
      </c>
      <c r="G16" s="168">
        <v>189470.66916882701</v>
      </c>
      <c r="H16" s="159">
        <v>185167.27080646402</v>
      </c>
      <c r="I16" s="188">
        <f t="shared" si="1"/>
        <v>-2.2712741667305081E-2</v>
      </c>
      <c r="J16" s="188">
        <f t="shared" si="2"/>
        <v>9.0396282249202486E-2</v>
      </c>
    </row>
    <row r="17" spans="3:10" x14ac:dyDescent="0.25">
      <c r="C17" s="92" t="s">
        <v>100</v>
      </c>
      <c r="D17" s="160">
        <v>20507.868301231003</v>
      </c>
      <c r="E17" s="160">
        <v>14839.875925619001</v>
      </c>
      <c r="F17" s="184">
        <f t="shared" si="0"/>
        <v>-0.27638135238423467</v>
      </c>
      <c r="G17" s="168">
        <v>142315.19010961501</v>
      </c>
      <c r="H17" s="159">
        <v>180884.579542299</v>
      </c>
      <c r="I17" s="188">
        <f t="shared" si="1"/>
        <v>0.27101386298241814</v>
      </c>
      <c r="J17" s="188">
        <f t="shared" si="2"/>
        <v>8.8305527405673517E-2</v>
      </c>
    </row>
    <row r="18" spans="3:10" x14ac:dyDescent="0.25">
      <c r="C18" s="92" t="s">
        <v>102</v>
      </c>
      <c r="D18" s="160">
        <v>19715.703758420001</v>
      </c>
      <c r="E18" s="160">
        <v>19096.849909100001</v>
      </c>
      <c r="F18" s="184">
        <f t="shared" si="0"/>
        <v>-3.1388879489310906E-2</v>
      </c>
      <c r="G18" s="168">
        <v>170349.29066679999</v>
      </c>
      <c r="H18" s="159">
        <v>150555.70720200002</v>
      </c>
      <c r="I18" s="188">
        <f t="shared" si="1"/>
        <v>-0.11619410557755627</v>
      </c>
      <c r="J18" s="188">
        <f t="shared" si="2"/>
        <v>7.3499361648447323E-2</v>
      </c>
    </row>
    <row r="19" spans="3:10" x14ac:dyDescent="0.25">
      <c r="C19" s="92" t="s">
        <v>101</v>
      </c>
      <c r="D19" s="160">
        <v>16359.65251398</v>
      </c>
      <c r="E19" s="160">
        <v>16271.238932300001</v>
      </c>
      <c r="F19" s="184">
        <f t="shared" si="0"/>
        <v>-5.4043679475738182E-3</v>
      </c>
      <c r="G19" s="168">
        <v>128953.79429634998</v>
      </c>
      <c r="H19" s="159">
        <v>146106.40445332011</v>
      </c>
      <c r="I19" s="188">
        <f t="shared" si="1"/>
        <v>0.13301361352386065</v>
      </c>
      <c r="J19" s="188">
        <f t="shared" si="2"/>
        <v>7.1327269219098946E-2</v>
      </c>
    </row>
    <row r="20" spans="3:10" x14ac:dyDescent="0.25">
      <c r="C20" s="92" t="s">
        <v>103</v>
      </c>
      <c r="D20" s="160">
        <v>5769.2558709639998</v>
      </c>
      <c r="E20" s="160">
        <v>3710.1860280459996</v>
      </c>
      <c r="F20" s="184">
        <f t="shared" si="0"/>
        <v>-0.35690388656205418</v>
      </c>
      <c r="G20" s="168">
        <v>50380.041271347</v>
      </c>
      <c r="H20" s="159">
        <v>44259.606121958008</v>
      </c>
      <c r="I20" s="188">
        <f t="shared" si="1"/>
        <v>-0.12148531432168375</v>
      </c>
      <c r="J20" s="188">
        <f t="shared" si="2"/>
        <v>2.1606970982581325E-2</v>
      </c>
    </row>
    <row r="21" spans="3:10" x14ac:dyDescent="0.25">
      <c r="C21" s="92" t="s">
        <v>104</v>
      </c>
      <c r="D21" s="160">
        <v>3813.2126295199996</v>
      </c>
      <c r="E21" s="160">
        <v>3986.83441352</v>
      </c>
      <c r="F21" s="184">
        <f t="shared" si="0"/>
        <v>4.5531629329009116E-2</v>
      </c>
      <c r="G21" s="168">
        <v>34252.476950190001</v>
      </c>
      <c r="H21" s="159">
        <v>35779.439904564002</v>
      </c>
      <c r="I21" s="188">
        <f t="shared" si="1"/>
        <v>4.4579635995216194E-2</v>
      </c>
      <c r="J21" s="188">
        <f t="shared" si="2"/>
        <v>1.7467062803511593E-2</v>
      </c>
    </row>
    <row r="22" spans="3:10" x14ac:dyDescent="0.25">
      <c r="C22" s="92" t="s">
        <v>105</v>
      </c>
      <c r="D22" s="160">
        <v>2169.616</v>
      </c>
      <c r="E22" s="160">
        <v>1860.0390769999999</v>
      </c>
      <c r="F22" s="184">
        <f t="shared" si="0"/>
        <v>-0.14268742625423125</v>
      </c>
      <c r="G22" s="168">
        <v>16317.020027999999</v>
      </c>
      <c r="H22" s="159">
        <v>18446.081162000002</v>
      </c>
      <c r="I22" s="188">
        <f t="shared" si="1"/>
        <v>0.13048100267981133</v>
      </c>
      <c r="J22" s="188">
        <f t="shared" si="2"/>
        <v>9.0051397952215194E-3</v>
      </c>
    </row>
    <row r="23" spans="3:10" x14ac:dyDescent="0.25">
      <c r="C23" s="92" t="s">
        <v>106</v>
      </c>
      <c r="D23" s="160">
        <v>1348.3105210399999</v>
      </c>
      <c r="E23" s="160">
        <v>1463.6696012000002</v>
      </c>
      <c r="F23" s="184">
        <f t="shared" si="0"/>
        <v>8.5558243713043103E-2</v>
      </c>
      <c r="G23" s="168">
        <v>12199.585775723997</v>
      </c>
      <c r="H23" s="159">
        <v>13576.321547845</v>
      </c>
      <c r="I23" s="188">
        <f t="shared" si="1"/>
        <v>0.11285102604553798</v>
      </c>
      <c r="J23" s="188">
        <f t="shared" si="2"/>
        <v>6.6277857269260139E-3</v>
      </c>
    </row>
    <row r="24" spans="3:10" x14ac:dyDescent="0.25">
      <c r="C24" s="92" t="s">
        <v>107</v>
      </c>
      <c r="D24" s="160">
        <v>173.41529080000001</v>
      </c>
      <c r="E24" s="160">
        <v>197.6172167</v>
      </c>
      <c r="F24" s="184">
        <f t="shared" si="0"/>
        <v>0.13956050696770506</v>
      </c>
      <c r="G24" s="168">
        <v>1603.9582593000002</v>
      </c>
      <c r="H24" s="159">
        <v>1434.1599318799999</v>
      </c>
      <c r="I24" s="188">
        <f t="shared" si="1"/>
        <v>-0.10586206120731823</v>
      </c>
      <c r="J24" s="188">
        <f t="shared" si="2"/>
        <v>7.0013845010559917E-4</v>
      </c>
    </row>
    <row r="25" spans="3:10" x14ac:dyDescent="0.25">
      <c r="C25" s="92" t="s">
        <v>108</v>
      </c>
      <c r="D25" s="160">
        <v>156.0141327</v>
      </c>
      <c r="E25" s="160">
        <v>0</v>
      </c>
      <c r="F25" s="184" t="s">
        <v>46</v>
      </c>
      <c r="G25" s="168">
        <v>786.26901799999996</v>
      </c>
      <c r="H25" s="159">
        <v>749.53787779999993</v>
      </c>
      <c r="I25" s="188">
        <f t="shared" si="1"/>
        <v>-4.6715741507189934E-2</v>
      </c>
      <c r="J25" s="194">
        <f t="shared" si="2"/>
        <v>3.6591476054585644E-4</v>
      </c>
    </row>
    <row r="26" spans="3:10" x14ac:dyDescent="0.25">
      <c r="C26" s="76" t="s">
        <v>109</v>
      </c>
      <c r="D26" s="161">
        <v>28.296837499999999</v>
      </c>
      <c r="E26" s="161">
        <v>74.488230110000003</v>
      </c>
      <c r="F26" s="185">
        <f t="shared" si="0"/>
        <v>1.632387103682523</v>
      </c>
      <c r="G26" s="175">
        <v>304.90920147999998</v>
      </c>
      <c r="H26" s="176">
        <v>368.26046264000001</v>
      </c>
      <c r="I26" s="189">
        <f t="shared" si="1"/>
        <v>0.2077709063960651</v>
      </c>
      <c r="J26" s="195">
        <f t="shared" si="2"/>
        <v>1.7978002579527799E-4</v>
      </c>
    </row>
    <row r="27" spans="3:10" x14ac:dyDescent="0.25">
      <c r="C27" s="89" t="s">
        <v>110</v>
      </c>
      <c r="D27" s="162">
        <f>+SUM(D28:D44)</f>
        <v>9412853.9730716217</v>
      </c>
      <c r="E27" s="158">
        <f>+SUM(E28:E44)</f>
        <v>9314155.6817302406</v>
      </c>
      <c r="F27" s="186">
        <f>+E27/D27-1</f>
        <v>-1.048547992178972E-2</v>
      </c>
      <c r="G27" s="162">
        <f>+SUM(G28:G44)</f>
        <v>80378494.511708722</v>
      </c>
      <c r="H27" s="158">
        <f>+SUM(H28:H44)</f>
        <v>80475617.210009933</v>
      </c>
      <c r="I27" s="186">
        <f>+H27/G27-1</f>
        <v>1.2083169620333845E-3</v>
      </c>
      <c r="J27" s="196">
        <f>SUM(J28:J44)</f>
        <v>0.99999999999999933</v>
      </c>
    </row>
    <row r="28" spans="3:10" x14ac:dyDescent="0.25">
      <c r="C28" s="93" t="s">
        <v>111</v>
      </c>
      <c r="D28" s="159">
        <v>2728663.3533901568</v>
      </c>
      <c r="E28" s="163">
        <v>2457975.4672158002</v>
      </c>
      <c r="F28" s="184">
        <f t="shared" si="0"/>
        <v>-9.9201642385839728E-2</v>
      </c>
      <c r="G28" s="166">
        <v>26596090.117631335</v>
      </c>
      <c r="H28" s="167">
        <v>22691009.327132788</v>
      </c>
      <c r="I28" s="187">
        <f t="shared" si="1"/>
        <v>-0.14682913064389691</v>
      </c>
      <c r="J28" s="197">
        <f t="shared" ref="J28:J44" si="3">(H28/$H$27)</f>
        <v>0.28196129602731862</v>
      </c>
    </row>
    <row r="29" spans="3:10" x14ac:dyDescent="0.25">
      <c r="C29" s="90" t="s">
        <v>105</v>
      </c>
      <c r="D29" s="159">
        <v>1902027.627206</v>
      </c>
      <c r="E29" s="163">
        <v>2468713.4234970002</v>
      </c>
      <c r="F29" s="184">
        <f t="shared" si="0"/>
        <v>0.29793773139007351</v>
      </c>
      <c r="G29" s="168">
        <v>14649888.25323</v>
      </c>
      <c r="H29" s="159">
        <v>19593962.596271999</v>
      </c>
      <c r="I29" s="188">
        <f t="shared" si="1"/>
        <v>0.33748205157482558</v>
      </c>
      <c r="J29" s="198">
        <f t="shared" si="3"/>
        <v>0.24347700925535506</v>
      </c>
    </row>
    <row r="30" spans="3:10" x14ac:dyDescent="0.25">
      <c r="C30" s="90" t="s">
        <v>97</v>
      </c>
      <c r="D30" s="159">
        <v>2004605.4703946821</v>
      </c>
      <c r="E30" s="163">
        <v>1890786.7271491569</v>
      </c>
      <c r="F30" s="184">
        <f t="shared" si="0"/>
        <v>-5.6778625483405398E-2</v>
      </c>
      <c r="G30" s="168">
        <v>17330073.397611815</v>
      </c>
      <c r="H30" s="160">
        <v>17279682.26208362</v>
      </c>
      <c r="I30" s="188">
        <f t="shared" si="1"/>
        <v>-2.9077277615650043E-3</v>
      </c>
      <c r="J30" s="198">
        <f t="shared" si="3"/>
        <v>0.21471947480676534</v>
      </c>
    </row>
    <row r="31" spans="3:10" x14ac:dyDescent="0.25">
      <c r="C31" s="90" t="s">
        <v>109</v>
      </c>
      <c r="D31" s="160">
        <v>685787.59283497999</v>
      </c>
      <c r="E31" s="164">
        <v>662889.15781575406</v>
      </c>
      <c r="F31" s="184">
        <f t="shared" si="0"/>
        <v>-3.3389981473076813E-2</v>
      </c>
      <c r="G31" s="168">
        <v>6411656.8274550755</v>
      </c>
      <c r="H31" s="159">
        <v>6336281.5742202904</v>
      </c>
      <c r="I31" s="188">
        <f t="shared" si="1"/>
        <v>-1.1755971235394846E-2</v>
      </c>
      <c r="J31" s="198">
        <f t="shared" si="3"/>
        <v>7.8735420663939362E-2</v>
      </c>
    </row>
    <row r="32" spans="3:10" x14ac:dyDescent="0.25">
      <c r="C32" s="90" t="s">
        <v>104</v>
      </c>
      <c r="D32" s="160">
        <v>346613.04393246997</v>
      </c>
      <c r="E32" s="164">
        <v>422837.81503431895</v>
      </c>
      <c r="F32" s="184">
        <f t="shared" si="0"/>
        <v>0.21991316378935744</v>
      </c>
      <c r="G32" s="168">
        <v>3315607.6754363826</v>
      </c>
      <c r="H32" s="160">
        <v>3528268.8929316942</v>
      </c>
      <c r="I32" s="188">
        <f t="shared" si="1"/>
        <v>6.4139439376621032E-2</v>
      </c>
      <c r="J32" s="198">
        <f t="shared" si="3"/>
        <v>4.3842706837827539E-2</v>
      </c>
    </row>
    <row r="33" spans="3:10" x14ac:dyDescent="0.25">
      <c r="C33" s="90" t="s">
        <v>102</v>
      </c>
      <c r="D33" s="160">
        <v>542340.90115000005</v>
      </c>
      <c r="E33" s="164">
        <v>448656.36164399999</v>
      </c>
      <c r="F33" s="184">
        <f t="shared" si="0"/>
        <v>-0.17274105513220162</v>
      </c>
      <c r="G33" s="168">
        <v>3535299.0165840006</v>
      </c>
      <c r="H33" s="159">
        <v>2234881.6257159999</v>
      </c>
      <c r="I33" s="188">
        <f t="shared" si="1"/>
        <v>-0.36783802014137268</v>
      </c>
      <c r="J33" s="198">
        <f t="shared" si="3"/>
        <v>2.7770916250121222E-2</v>
      </c>
    </row>
    <row r="34" spans="3:10" x14ac:dyDescent="0.25">
      <c r="C34" s="90" t="s">
        <v>108</v>
      </c>
      <c r="D34" s="160">
        <v>318402.31291115645</v>
      </c>
      <c r="E34" s="164">
        <v>274923.29874291783</v>
      </c>
      <c r="F34" s="184">
        <f t="shared" si="0"/>
        <v>-0.13655370079039131</v>
      </c>
      <c r="G34" s="168">
        <v>2646920.5662530488</v>
      </c>
      <c r="H34" s="159">
        <v>2096701.737551355</v>
      </c>
      <c r="I34" s="188">
        <f t="shared" si="1"/>
        <v>-0.20787130362607653</v>
      </c>
      <c r="J34" s="198">
        <f t="shared" si="3"/>
        <v>2.6053875822782225E-2</v>
      </c>
    </row>
    <row r="35" spans="3:10" x14ac:dyDescent="0.25">
      <c r="C35" s="90" t="s">
        <v>96</v>
      </c>
      <c r="D35" s="160">
        <v>194548.24840300001</v>
      </c>
      <c r="E35" s="164">
        <v>217451.63401800001</v>
      </c>
      <c r="F35" s="184">
        <f t="shared" si="0"/>
        <v>0.11772599241066639</v>
      </c>
      <c r="G35" s="168">
        <v>1238159.00475352</v>
      </c>
      <c r="H35" s="159">
        <v>1962654.7868555801</v>
      </c>
      <c r="I35" s="188">
        <f t="shared" si="1"/>
        <v>0.585139533226821</v>
      </c>
      <c r="J35" s="198">
        <f t="shared" si="3"/>
        <v>2.4388191788996382E-2</v>
      </c>
    </row>
    <row r="36" spans="3:10" x14ac:dyDescent="0.25">
      <c r="C36" s="90" t="s">
        <v>99</v>
      </c>
      <c r="D36" s="160">
        <v>217280.979192756</v>
      </c>
      <c r="E36" s="164">
        <v>135991.28650560099</v>
      </c>
      <c r="F36" s="184">
        <f t="shared" si="0"/>
        <v>-0.37412245190151072</v>
      </c>
      <c r="G36" s="168">
        <v>1419608.0615260196</v>
      </c>
      <c r="H36" s="159">
        <v>1255347.9179211487</v>
      </c>
      <c r="I36" s="188">
        <f t="shared" si="1"/>
        <v>-0.11570809440761987</v>
      </c>
      <c r="J36" s="198">
        <f t="shared" si="3"/>
        <v>1.5599108915749983E-2</v>
      </c>
    </row>
    <row r="37" spans="3:10" x14ac:dyDescent="0.25">
      <c r="C37" s="90" t="s">
        <v>103</v>
      </c>
      <c r="D37" s="160">
        <v>126684.50777129999</v>
      </c>
      <c r="E37" s="164">
        <v>131572.65300310901</v>
      </c>
      <c r="F37" s="184">
        <f t="shared" si="0"/>
        <v>3.858518549587342E-2</v>
      </c>
      <c r="G37" s="168">
        <v>1116807.9511658999</v>
      </c>
      <c r="H37" s="159">
        <v>1213647.225692109</v>
      </c>
      <c r="I37" s="188">
        <f t="shared" si="1"/>
        <v>8.671076743777939E-2</v>
      </c>
      <c r="J37" s="198">
        <f t="shared" si="3"/>
        <v>1.5080930942411584E-2</v>
      </c>
    </row>
    <row r="38" spans="3:10" x14ac:dyDescent="0.25">
      <c r="C38" s="90" t="s">
        <v>112</v>
      </c>
      <c r="D38" s="160">
        <v>97985.923489126042</v>
      </c>
      <c r="E38" s="164">
        <v>108736.0845045852</v>
      </c>
      <c r="F38" s="184">
        <f t="shared" si="0"/>
        <v>0.1097112792599455</v>
      </c>
      <c r="G38" s="168">
        <v>908185.69775499275</v>
      </c>
      <c r="H38" s="159">
        <v>958755.39168196823</v>
      </c>
      <c r="I38" s="188">
        <f t="shared" si="1"/>
        <v>5.5682107802382586E-2</v>
      </c>
      <c r="J38" s="198">
        <f t="shared" si="3"/>
        <v>1.1913613401435506E-2</v>
      </c>
    </row>
    <row r="39" spans="3:10" x14ac:dyDescent="0.25">
      <c r="C39" s="90" t="s">
        <v>106</v>
      </c>
      <c r="D39" s="160">
        <v>45318.157646799998</v>
      </c>
      <c r="E39" s="164">
        <v>24730.204590000001</v>
      </c>
      <c r="F39" s="184">
        <f t="shared" si="0"/>
        <v>-0.45429810314130792</v>
      </c>
      <c r="G39" s="168">
        <v>519233.45745908999</v>
      </c>
      <c r="H39" s="159">
        <v>472959.73438985302</v>
      </c>
      <c r="I39" s="188">
        <f t="shared" si="1"/>
        <v>-8.9119301548249763E-2</v>
      </c>
      <c r="J39" s="198">
        <f t="shared" si="3"/>
        <v>5.8770563157734199E-3</v>
      </c>
    </row>
    <row r="40" spans="3:10" x14ac:dyDescent="0.25">
      <c r="C40" s="90" t="s">
        <v>101</v>
      </c>
      <c r="D40" s="160">
        <v>44624.379800000002</v>
      </c>
      <c r="E40" s="164">
        <v>52501.243620000001</v>
      </c>
      <c r="F40" s="184">
        <f t="shared" si="0"/>
        <v>0.17651480771952377</v>
      </c>
      <c r="G40" s="168">
        <v>372159.17853999999</v>
      </c>
      <c r="H40" s="159">
        <v>374374.60928000003</v>
      </c>
      <c r="I40" s="188">
        <f t="shared" si="1"/>
        <v>5.9529117317254077E-3</v>
      </c>
      <c r="J40" s="198">
        <f t="shared" si="3"/>
        <v>4.6520253246772683E-3</v>
      </c>
    </row>
    <row r="41" spans="3:10" x14ac:dyDescent="0.25">
      <c r="C41" s="90" t="s">
        <v>113</v>
      </c>
      <c r="D41" s="160">
        <v>144162.63498919728</v>
      </c>
      <c r="E41" s="164">
        <v>3928.9999999961001</v>
      </c>
      <c r="F41" s="184">
        <f t="shared" si="0"/>
        <v>-0.97274605864209884</v>
      </c>
      <c r="G41" s="168">
        <v>180812.14136754849</v>
      </c>
      <c r="H41" s="159">
        <v>347995.64948148851</v>
      </c>
      <c r="I41" s="188">
        <f t="shared" si="1"/>
        <v>0.924625452967206</v>
      </c>
      <c r="J41" s="198">
        <f t="shared" si="3"/>
        <v>4.3242370987147047E-3</v>
      </c>
    </row>
    <row r="42" spans="3:10" x14ac:dyDescent="0.25">
      <c r="C42" s="90" t="s">
        <v>95</v>
      </c>
      <c r="D42" s="160">
        <v>12577.161599999999</v>
      </c>
      <c r="E42" s="164">
        <v>8592.9449999999997</v>
      </c>
      <c r="F42" s="184">
        <f t="shared" si="0"/>
        <v>-0.31678185640868284</v>
      </c>
      <c r="G42" s="168">
        <v>108609.03127000001</v>
      </c>
      <c r="H42" s="159">
        <v>106666.71678000002</v>
      </c>
      <c r="I42" s="188">
        <f t="shared" si="1"/>
        <v>-1.7883544925204498E-2</v>
      </c>
      <c r="J42" s="198">
        <f t="shared" si="3"/>
        <v>1.3254538514646187E-3</v>
      </c>
    </row>
    <row r="43" spans="3:10" x14ac:dyDescent="0.25">
      <c r="C43" s="90" t="s">
        <v>100</v>
      </c>
      <c r="D43" s="160">
        <v>0</v>
      </c>
      <c r="E43" s="164">
        <v>3000.10907</v>
      </c>
      <c r="F43" s="184" t="s">
        <v>81</v>
      </c>
      <c r="G43" s="168">
        <v>0</v>
      </c>
      <c r="H43" s="159">
        <v>11986.73641</v>
      </c>
      <c r="I43" s="188" t="s">
        <v>81</v>
      </c>
      <c r="J43" s="255">
        <f>(H43/$H$27)</f>
        <v>1.4894867322010465E-4</v>
      </c>
    </row>
    <row r="44" spans="3:10" x14ac:dyDescent="0.25">
      <c r="C44" s="94" t="s">
        <v>98</v>
      </c>
      <c r="D44" s="165">
        <v>1231.6783599999999</v>
      </c>
      <c r="E44" s="164">
        <v>868.27031999999997</v>
      </c>
      <c r="F44" s="184">
        <f t="shared" si="0"/>
        <v>-0.29505108785056511</v>
      </c>
      <c r="G44" s="177">
        <v>29384.133669999996</v>
      </c>
      <c r="H44" s="176">
        <v>10440.42561</v>
      </c>
      <c r="I44" s="188">
        <f t="shared" si="1"/>
        <v>-0.64469173305390826</v>
      </c>
      <c r="J44" s="200">
        <f t="shared" si="3"/>
        <v>1.2973402344656229E-4</v>
      </c>
    </row>
    <row r="45" spans="3:10" x14ac:dyDescent="0.25">
      <c r="C45" s="89" t="s">
        <v>114</v>
      </c>
      <c r="D45" s="162">
        <f>+SUM(D46:D57)</f>
        <v>101659.530698218</v>
      </c>
      <c r="E45" s="158">
        <f>+SUM(E46:E57)</f>
        <v>127554.505103779</v>
      </c>
      <c r="F45" s="186">
        <f t="shared" si="0"/>
        <v>0.25472254522236248</v>
      </c>
      <c r="G45" s="162">
        <f>+SUM(G46:G57)</f>
        <v>951471.08639740117</v>
      </c>
      <c r="H45" s="158">
        <f>+SUM(H46:H57)</f>
        <v>1117876.1039818039</v>
      </c>
      <c r="I45" s="186">
        <f t="shared" si="1"/>
        <v>0.17489235349701437</v>
      </c>
      <c r="J45" s="196">
        <f>SUM(J46:J57)</f>
        <v>0.99999999999999989</v>
      </c>
    </row>
    <row r="46" spans="3:10" x14ac:dyDescent="0.25">
      <c r="C46" s="93" t="s">
        <v>98</v>
      </c>
      <c r="D46" s="166">
        <v>28592.00657215</v>
      </c>
      <c r="E46" s="167">
        <v>46983.483562059992</v>
      </c>
      <c r="F46" s="187">
        <f t="shared" si="0"/>
        <v>0.643238415026953</v>
      </c>
      <c r="G46" s="159">
        <v>275186.07245858997</v>
      </c>
      <c r="H46" s="163">
        <v>450621.01982226002</v>
      </c>
      <c r="I46" s="184">
        <f t="shared" si="1"/>
        <v>0.63751390394246599</v>
      </c>
      <c r="J46" s="197">
        <f t="shared" ref="J46:J57" si="4">(H46/$H$45)</f>
        <v>0.4031046179600552</v>
      </c>
    </row>
    <row r="47" spans="3:10" x14ac:dyDescent="0.25">
      <c r="C47" s="92" t="s">
        <v>100</v>
      </c>
      <c r="D47" s="168">
        <v>19152.922074731003</v>
      </c>
      <c r="E47" s="159">
        <v>18159.888418604998</v>
      </c>
      <c r="F47" s="188">
        <f t="shared" si="0"/>
        <v>-5.1847632035016855E-2</v>
      </c>
      <c r="G47" s="159">
        <v>165580.281261839</v>
      </c>
      <c r="H47" s="163">
        <v>173548.01303476299</v>
      </c>
      <c r="I47" s="184">
        <f t="shared" si="1"/>
        <v>4.8120052171697125E-2</v>
      </c>
      <c r="J47" s="198">
        <f t="shared" si="4"/>
        <v>0.1552479853685001</v>
      </c>
    </row>
    <row r="48" spans="3:10" x14ac:dyDescent="0.25">
      <c r="C48" s="90" t="s">
        <v>104</v>
      </c>
      <c r="D48" s="168">
        <v>13276.398329509999</v>
      </c>
      <c r="E48" s="159">
        <v>17533.775015790001</v>
      </c>
      <c r="F48" s="188">
        <f t="shared" si="0"/>
        <v>0.32067256349313911</v>
      </c>
      <c r="G48" s="159">
        <v>119044.59094471001</v>
      </c>
      <c r="H48" s="163">
        <v>139519.22903814999</v>
      </c>
      <c r="I48" s="184">
        <f t="shared" si="1"/>
        <v>0.17199133476756945</v>
      </c>
      <c r="J48" s="198">
        <f t="shared" si="4"/>
        <v>0.12480741697688262</v>
      </c>
    </row>
    <row r="49" spans="3:10" x14ac:dyDescent="0.25">
      <c r="C49" s="92" t="s">
        <v>103</v>
      </c>
      <c r="D49" s="141">
        <v>13595.555704226999</v>
      </c>
      <c r="E49" s="160">
        <v>14167.657833944</v>
      </c>
      <c r="F49" s="188">
        <f t="shared" si="0"/>
        <v>4.2080084268944384E-2</v>
      </c>
      <c r="G49" s="159">
        <v>121227.87034212201</v>
      </c>
      <c r="H49" s="163">
        <v>126985.59965226901</v>
      </c>
      <c r="I49" s="184">
        <f t="shared" si="1"/>
        <v>4.7495095755603733E-2</v>
      </c>
      <c r="J49" s="198">
        <f t="shared" si="4"/>
        <v>0.11359541473330931</v>
      </c>
    </row>
    <row r="50" spans="3:10" x14ac:dyDescent="0.25">
      <c r="C50" s="92" t="s">
        <v>101</v>
      </c>
      <c r="D50" s="141">
        <v>15195.565576000001</v>
      </c>
      <c r="E50" s="160">
        <v>16273.706062000001</v>
      </c>
      <c r="F50" s="188">
        <f t="shared" si="0"/>
        <v>7.0950994262617195E-2</v>
      </c>
      <c r="G50" s="159">
        <v>154918.677031</v>
      </c>
      <c r="H50" s="163">
        <v>117742.007895</v>
      </c>
      <c r="I50" s="184">
        <f t="shared" si="1"/>
        <v>-0.23997538481793745</v>
      </c>
      <c r="J50" s="198">
        <f t="shared" si="4"/>
        <v>0.10532652722033366</v>
      </c>
    </row>
    <row r="51" spans="3:10" x14ac:dyDescent="0.25">
      <c r="C51" s="92" t="s">
        <v>107</v>
      </c>
      <c r="D51" s="141">
        <v>3845.2401510999998</v>
      </c>
      <c r="E51" s="160">
        <v>4303.9717672999996</v>
      </c>
      <c r="F51" s="188">
        <f t="shared" si="0"/>
        <v>0.11929856086329771</v>
      </c>
      <c r="G51" s="159">
        <v>39888.232280599994</v>
      </c>
      <c r="H51" s="163">
        <v>37744.870846409998</v>
      </c>
      <c r="I51" s="184">
        <f t="shared" si="1"/>
        <v>-5.3734179522225589E-2</v>
      </c>
      <c r="J51" s="198">
        <f t="shared" si="4"/>
        <v>3.376480695129376E-2</v>
      </c>
    </row>
    <row r="52" spans="3:10" x14ac:dyDescent="0.25">
      <c r="C52" s="92" t="s">
        <v>109</v>
      </c>
      <c r="D52" s="141">
        <v>3870.2943581999998</v>
      </c>
      <c r="E52" s="160">
        <v>5296.3376905800005</v>
      </c>
      <c r="F52" s="188">
        <f t="shared" si="0"/>
        <v>0.36845862365962945</v>
      </c>
      <c r="G52" s="159">
        <v>37452.914598740004</v>
      </c>
      <c r="H52" s="163">
        <v>35967.431374189997</v>
      </c>
      <c r="I52" s="184">
        <f t="shared" si="1"/>
        <v>-3.9662686882050657E-2</v>
      </c>
      <c r="J52" s="198">
        <f t="shared" si="4"/>
        <v>3.217479222078036E-2</v>
      </c>
    </row>
    <row r="53" spans="3:10" x14ac:dyDescent="0.25">
      <c r="C53" s="92" t="s">
        <v>97</v>
      </c>
      <c r="D53" s="141">
        <v>2668.8635646000002</v>
      </c>
      <c r="E53" s="160">
        <v>2074.6232884999999</v>
      </c>
      <c r="F53" s="188">
        <f t="shared" si="0"/>
        <v>-0.22265667079503293</v>
      </c>
      <c r="G53" s="159">
        <v>22913.486777399998</v>
      </c>
      <c r="H53" s="163">
        <v>20912.8015681</v>
      </c>
      <c r="I53" s="184">
        <f t="shared" si="1"/>
        <v>-8.7314743004251572E-2</v>
      </c>
      <c r="J53" s="198">
        <f t="shared" si="4"/>
        <v>1.8707620185823746E-2</v>
      </c>
    </row>
    <row r="54" spans="3:10" x14ac:dyDescent="0.25">
      <c r="C54" s="92" t="s">
        <v>106</v>
      </c>
      <c r="D54" s="141">
        <v>1462.1570176999999</v>
      </c>
      <c r="E54" s="160">
        <v>1258.9919040999998</v>
      </c>
      <c r="F54" s="188">
        <f t="shared" si="0"/>
        <v>-0.13894890298415596</v>
      </c>
      <c r="G54" s="159">
        <v>12637.434757700001</v>
      </c>
      <c r="H54" s="163">
        <v>10531.374574926998</v>
      </c>
      <c r="I54" s="184">
        <f t="shared" si="1"/>
        <v>-0.16665250686970134</v>
      </c>
      <c r="J54" s="198">
        <f t="shared" si="4"/>
        <v>9.4208781611977467E-3</v>
      </c>
    </row>
    <row r="55" spans="3:10" x14ac:dyDescent="0.25">
      <c r="C55" s="92" t="s">
        <v>108</v>
      </c>
      <c r="D55" s="169">
        <v>0</v>
      </c>
      <c r="E55" s="165">
        <v>1501.7266609000001</v>
      </c>
      <c r="F55" s="188" t="s">
        <v>81</v>
      </c>
      <c r="G55" s="159">
        <v>2617.0937947000002</v>
      </c>
      <c r="H55" s="163">
        <v>4185.3533404</v>
      </c>
      <c r="I55" s="184">
        <f t="shared" si="1"/>
        <v>0.59923704258363064</v>
      </c>
      <c r="J55" s="198">
        <f t="shared" si="4"/>
        <v>3.7440225490929062E-3</v>
      </c>
    </row>
    <row r="56" spans="3:10" x14ac:dyDescent="0.25">
      <c r="C56" s="92" t="s">
        <v>96</v>
      </c>
      <c r="D56" s="169">
        <v>0</v>
      </c>
      <c r="E56" s="165">
        <v>0</v>
      </c>
      <c r="F56" s="188" t="s">
        <v>46</v>
      </c>
      <c r="G56" s="178">
        <v>0</v>
      </c>
      <c r="H56" s="163">
        <v>108.22087533489999</v>
      </c>
      <c r="I56" s="184" t="s">
        <v>81</v>
      </c>
      <c r="J56" s="199">
        <f t="shared" si="4"/>
        <v>9.6809364606170655E-5</v>
      </c>
    </row>
    <row r="57" spans="3:10" x14ac:dyDescent="0.25">
      <c r="C57" s="76" t="s">
        <v>102</v>
      </c>
      <c r="D57" s="210">
        <v>0.52734999999999999</v>
      </c>
      <c r="E57" s="214">
        <v>0.34289999999999998</v>
      </c>
      <c r="F57" s="189">
        <f t="shared" si="0"/>
        <v>-0.34976770645681243</v>
      </c>
      <c r="G57" s="159">
        <v>4.43215</v>
      </c>
      <c r="H57" s="163">
        <v>10.18196</v>
      </c>
      <c r="I57" s="184">
        <f t="shared" si="1"/>
        <v>1.2972958947689044</v>
      </c>
      <c r="J57" s="200">
        <f t="shared" si="4"/>
        <v>9.1083081244267622E-6</v>
      </c>
    </row>
    <row r="58" spans="3:10" x14ac:dyDescent="0.25">
      <c r="C58" s="89" t="s">
        <v>115</v>
      </c>
      <c r="D58" s="162">
        <f>+SUM(D59:D76)</f>
        <v>293506.62278495211</v>
      </c>
      <c r="E58" s="158">
        <f>+SUM(E59:E76)</f>
        <v>326746.13742428808</v>
      </c>
      <c r="F58" s="186">
        <f t="shared" si="0"/>
        <v>0.11324962388903259</v>
      </c>
      <c r="G58" s="162">
        <f>+SUM(G59:G76)</f>
        <v>2566295.8822278003</v>
      </c>
      <c r="H58" s="158">
        <f>+SUM(H59:H76)</f>
        <v>2778167.8780398699</v>
      </c>
      <c r="I58" s="186">
        <f t="shared" si="1"/>
        <v>8.2559457496437894E-2</v>
      </c>
      <c r="J58" s="196">
        <f>SUM(J59:J76)</f>
        <v>1.0000000000000002</v>
      </c>
    </row>
    <row r="59" spans="3:10" x14ac:dyDescent="0.25">
      <c r="C59" s="93" t="s">
        <v>98</v>
      </c>
      <c r="D59" s="166">
        <v>43100.295684586294</v>
      </c>
      <c r="E59" s="167">
        <v>77914.363551166913</v>
      </c>
      <c r="F59" s="187">
        <f t="shared" si="0"/>
        <v>0.80774545310209955</v>
      </c>
      <c r="G59" s="166">
        <v>386544.09123597288</v>
      </c>
      <c r="H59" s="167">
        <v>546084.24599805183</v>
      </c>
      <c r="I59" s="187">
        <f t="shared" si="1"/>
        <v>0.4127346876573641</v>
      </c>
      <c r="J59" s="197">
        <f t="shared" ref="J59:J75" si="5">(H59/$H$58)</f>
        <v>0.19656272405803651</v>
      </c>
    </row>
    <row r="60" spans="3:10" x14ac:dyDescent="0.25">
      <c r="C60" s="90" t="s">
        <v>104</v>
      </c>
      <c r="D60" s="168">
        <v>58915.9904358114</v>
      </c>
      <c r="E60" s="159">
        <v>57939.855411035896</v>
      </c>
      <c r="F60" s="188">
        <f t="shared" si="0"/>
        <v>-1.6568252821600238E-2</v>
      </c>
      <c r="G60" s="168">
        <v>501145.14262936718</v>
      </c>
      <c r="H60" s="159">
        <v>542007.17706781416</v>
      </c>
      <c r="I60" s="188">
        <f t="shared" si="1"/>
        <v>8.1537325143082207E-2</v>
      </c>
      <c r="J60" s="198">
        <f t="shared" si="5"/>
        <v>0.19509518533855705</v>
      </c>
    </row>
    <row r="61" spans="3:10" ht="15" customHeight="1" x14ac:dyDescent="0.25">
      <c r="C61" s="90" t="s">
        <v>103</v>
      </c>
      <c r="D61" s="168">
        <v>47612.614280806105</v>
      </c>
      <c r="E61" s="159">
        <v>49793.436137098099</v>
      </c>
      <c r="F61" s="188">
        <f t="shared" si="0"/>
        <v>4.5803447032547018E-2</v>
      </c>
      <c r="G61" s="168">
        <v>410048.7370866675</v>
      </c>
      <c r="H61" s="159">
        <v>395180.7720868506</v>
      </c>
      <c r="I61" s="188">
        <f t="shared" si="1"/>
        <v>-3.6259019124047276E-2</v>
      </c>
      <c r="J61" s="198">
        <f t="shared" si="5"/>
        <v>0.14224510160475598</v>
      </c>
    </row>
    <row r="62" spans="3:10" x14ac:dyDescent="0.25">
      <c r="C62" s="90" t="s">
        <v>100</v>
      </c>
      <c r="D62" s="168">
        <v>42292.170996384899</v>
      </c>
      <c r="E62" s="159">
        <v>35769.371724748897</v>
      </c>
      <c r="F62" s="188">
        <f t="shared" si="0"/>
        <v>-0.15423183813840069</v>
      </c>
      <c r="G62" s="168">
        <v>364165.16419048165</v>
      </c>
      <c r="H62" s="159">
        <v>375064.52472704556</v>
      </c>
      <c r="I62" s="188">
        <f t="shared" si="1"/>
        <v>2.9929717634558983E-2</v>
      </c>
      <c r="J62" s="198">
        <f t="shared" si="5"/>
        <v>0.13500426942941673</v>
      </c>
    </row>
    <row r="63" spans="3:10" x14ac:dyDescent="0.25">
      <c r="C63" s="92" t="s">
        <v>101</v>
      </c>
      <c r="D63" s="141">
        <v>18425.885994756598</v>
      </c>
      <c r="E63" s="160">
        <v>18897.346280729798</v>
      </c>
      <c r="F63" s="188">
        <f t="shared" si="0"/>
        <v>2.5586844839231127E-2</v>
      </c>
      <c r="G63" s="168">
        <v>161053.54627723066</v>
      </c>
      <c r="H63" s="159">
        <v>174194.83481899142</v>
      </c>
      <c r="I63" s="188">
        <f t="shared" si="1"/>
        <v>8.1595772620491669E-2</v>
      </c>
      <c r="J63" s="198">
        <f t="shared" si="5"/>
        <v>6.270133500423819E-2</v>
      </c>
    </row>
    <row r="64" spans="3:10" x14ac:dyDescent="0.25">
      <c r="C64" s="92" t="s">
        <v>109</v>
      </c>
      <c r="D64" s="141">
        <v>17875.455460865702</v>
      </c>
      <c r="E64" s="160">
        <v>14572.4284367239</v>
      </c>
      <c r="F64" s="188">
        <f t="shared" si="0"/>
        <v>-0.18478002036776286</v>
      </c>
      <c r="G64" s="168">
        <v>166103.62838059285</v>
      </c>
      <c r="H64" s="159">
        <v>152402.39219642649</v>
      </c>
      <c r="I64" s="188">
        <f t="shared" si="1"/>
        <v>-8.2486074011416277E-2</v>
      </c>
      <c r="J64" s="198">
        <f t="shared" si="5"/>
        <v>5.4857157265799809E-2</v>
      </c>
    </row>
    <row r="65" spans="3:10" ht="15" customHeight="1" x14ac:dyDescent="0.25">
      <c r="C65" s="92" t="s">
        <v>96</v>
      </c>
      <c r="D65" s="141">
        <v>11599.003321853401</v>
      </c>
      <c r="E65" s="160">
        <v>15511.5118361818</v>
      </c>
      <c r="F65" s="188">
        <f t="shared" si="0"/>
        <v>0.33731419896715931</v>
      </c>
      <c r="G65" s="168">
        <v>79917.297760919086</v>
      </c>
      <c r="H65" s="159">
        <v>116300.31960567751</v>
      </c>
      <c r="I65" s="188">
        <f t="shared" si="1"/>
        <v>0.45525840918197735</v>
      </c>
      <c r="J65" s="198">
        <f t="shared" si="5"/>
        <v>4.1862236089106657E-2</v>
      </c>
    </row>
    <row r="66" spans="3:10" x14ac:dyDescent="0.25">
      <c r="C66" s="92" t="s">
        <v>106</v>
      </c>
      <c r="D66" s="141">
        <v>10363.753344497602</v>
      </c>
      <c r="E66" s="160">
        <v>11882.584933007001</v>
      </c>
      <c r="F66" s="188">
        <f t="shared" si="0"/>
        <v>0.14655227097968226</v>
      </c>
      <c r="G66" s="168">
        <v>107580.62374685791</v>
      </c>
      <c r="H66" s="159">
        <v>103924.39098922869</v>
      </c>
      <c r="I66" s="188">
        <f t="shared" si="1"/>
        <v>-3.3985978425190133E-2</v>
      </c>
      <c r="J66" s="198">
        <f t="shared" si="5"/>
        <v>3.7407527389076399E-2</v>
      </c>
    </row>
    <row r="67" spans="3:10" x14ac:dyDescent="0.25">
      <c r="C67" s="92" t="s">
        <v>97</v>
      </c>
      <c r="D67" s="141">
        <v>8533.6799061441998</v>
      </c>
      <c r="E67" s="160">
        <v>12415.575190490801</v>
      </c>
      <c r="F67" s="188">
        <f t="shared" si="0"/>
        <v>0.45489112868548776</v>
      </c>
      <c r="G67" s="168">
        <v>80013.207688539216</v>
      </c>
      <c r="H67" s="159">
        <v>74783.064192251695</v>
      </c>
      <c r="I67" s="188">
        <f t="shared" si="1"/>
        <v>-6.5366002031145509E-2</v>
      </c>
      <c r="J67" s="198">
        <f t="shared" si="5"/>
        <v>2.69181228331726E-2</v>
      </c>
    </row>
    <row r="68" spans="3:10" x14ac:dyDescent="0.25">
      <c r="C68" s="92" t="s">
        <v>99</v>
      </c>
      <c r="D68" s="141">
        <v>8382.6148445404997</v>
      </c>
      <c r="E68" s="160">
        <v>8082.0931963791008</v>
      </c>
      <c r="F68" s="188">
        <f t="shared" si="0"/>
        <v>-3.5850585257072298E-2</v>
      </c>
      <c r="G68" s="168">
        <v>75408.161830703204</v>
      </c>
      <c r="H68" s="159">
        <v>70691.368524819205</v>
      </c>
      <c r="I68" s="188">
        <f t="shared" si="1"/>
        <v>-6.2550169522412435E-2</v>
      </c>
      <c r="J68" s="199">
        <f t="shared" si="5"/>
        <v>2.5445319227683009E-2</v>
      </c>
    </row>
    <row r="69" spans="3:10" x14ac:dyDescent="0.25">
      <c r="C69" s="92" t="s">
        <v>102</v>
      </c>
      <c r="D69" s="141">
        <v>11923.455424984102</v>
      </c>
      <c r="E69" s="160">
        <v>8496.9308978313984</v>
      </c>
      <c r="F69" s="188">
        <f t="shared" si="0"/>
        <v>-0.2873768052147746</v>
      </c>
      <c r="G69" s="168">
        <v>80185.067203259197</v>
      </c>
      <c r="H69" s="159">
        <v>68770.397392168088</v>
      </c>
      <c r="I69" s="188">
        <f t="shared" si="1"/>
        <v>-0.14235405929331379</v>
      </c>
      <c r="J69" s="199">
        <f t="shared" si="5"/>
        <v>2.4753866724817539E-2</v>
      </c>
    </row>
    <row r="70" spans="3:10" x14ac:dyDescent="0.25">
      <c r="C70" s="92" t="s">
        <v>95</v>
      </c>
      <c r="D70" s="141">
        <v>7057.7819089660998</v>
      </c>
      <c r="E70" s="160">
        <v>5639.4068282723001</v>
      </c>
      <c r="F70" s="188">
        <f t="shared" si="0"/>
        <v>-0.20096612490843868</v>
      </c>
      <c r="G70" s="168">
        <v>62287.512340054804</v>
      </c>
      <c r="H70" s="159">
        <v>63078.454785774404</v>
      </c>
      <c r="I70" s="188">
        <f t="shared" si="1"/>
        <v>1.2698250676660416E-2</v>
      </c>
      <c r="J70" s="198">
        <f t="shared" si="5"/>
        <v>2.2705055113616555E-2</v>
      </c>
    </row>
    <row r="71" spans="3:10" x14ac:dyDescent="0.25">
      <c r="C71" s="92" t="s">
        <v>107</v>
      </c>
      <c r="D71" s="141">
        <v>3677.8973374589</v>
      </c>
      <c r="E71" s="160">
        <v>3756.0487209070998</v>
      </c>
      <c r="F71" s="188">
        <f t="shared" si="0"/>
        <v>2.1248930102599095E-2</v>
      </c>
      <c r="G71" s="168">
        <v>40037.857906587597</v>
      </c>
      <c r="H71" s="159">
        <v>37931.953060348897</v>
      </c>
      <c r="I71" s="188">
        <f t="shared" si="1"/>
        <v>-5.2597840053081546E-2</v>
      </c>
      <c r="J71" s="198">
        <f t="shared" si="5"/>
        <v>1.3653585645483635E-2</v>
      </c>
    </row>
    <row r="72" spans="3:10" x14ac:dyDescent="0.25">
      <c r="C72" s="92" t="s">
        <v>108</v>
      </c>
      <c r="D72" s="141">
        <v>0.60252100159999999</v>
      </c>
      <c r="E72" s="160">
        <v>1735.9619756462</v>
      </c>
      <c r="F72" s="188">
        <f t="shared" si="0"/>
        <v>2880.1642598952358</v>
      </c>
      <c r="G72" s="168">
        <v>18528.356461400901</v>
      </c>
      <c r="H72" s="159">
        <v>21549.4872139939</v>
      </c>
      <c r="I72" s="188">
        <f t="shared" si="1"/>
        <v>0.16305443814656484</v>
      </c>
      <c r="J72" s="198">
        <f t="shared" si="5"/>
        <v>7.7567260727231836E-3</v>
      </c>
    </row>
    <row r="73" spans="3:10" x14ac:dyDescent="0.25">
      <c r="C73" s="92" t="s">
        <v>105</v>
      </c>
      <c r="D73" s="141">
        <v>2090.3799659822002</v>
      </c>
      <c r="E73" s="165">
        <v>2615.8709427674999</v>
      </c>
      <c r="F73" s="188">
        <f t="shared" si="0"/>
        <v>0.25138538702861557</v>
      </c>
      <c r="G73" s="168">
        <v>16641.417754763501</v>
      </c>
      <c r="H73" s="159">
        <v>20657.009662480301</v>
      </c>
      <c r="I73" s="188">
        <f t="shared" si="1"/>
        <v>0.24130106983026511</v>
      </c>
      <c r="J73" s="198">
        <f t="shared" si="5"/>
        <v>7.4354792688247507E-3</v>
      </c>
    </row>
    <row r="74" spans="3:10" x14ac:dyDescent="0.25">
      <c r="C74" s="92" t="s">
        <v>111</v>
      </c>
      <c r="D74" s="141">
        <v>1652.2175379629002</v>
      </c>
      <c r="E74" s="160">
        <v>1723.3513613015</v>
      </c>
      <c r="F74" s="188">
        <f t="shared" si="0"/>
        <v>4.3053545737266719E-2</v>
      </c>
      <c r="G74" s="168">
        <v>16538.096808414</v>
      </c>
      <c r="H74" s="159">
        <v>15451.800038503601</v>
      </c>
      <c r="I74" s="188">
        <f t="shared" si="1"/>
        <v>-6.5684509075901065E-2</v>
      </c>
      <c r="J74" s="198">
        <f t="shared" si="5"/>
        <v>5.5618669269927572E-3</v>
      </c>
    </row>
    <row r="75" spans="3:10" x14ac:dyDescent="0.25">
      <c r="C75" s="92" t="s">
        <v>113</v>
      </c>
      <c r="D75" s="169">
        <v>2.8238183496000002</v>
      </c>
      <c r="E75" s="165">
        <v>0</v>
      </c>
      <c r="F75" s="188" t="s">
        <v>46</v>
      </c>
      <c r="G75" s="168">
        <v>6.7678898160000003</v>
      </c>
      <c r="H75" s="159">
        <v>95.685679444299993</v>
      </c>
      <c r="I75" s="188" t="s">
        <v>81</v>
      </c>
      <c r="J75" s="255">
        <f t="shared" si="5"/>
        <v>3.4442007698905078E-5</v>
      </c>
    </row>
    <row r="76" spans="3:10" ht="15" customHeight="1" x14ac:dyDescent="0.25">
      <c r="C76" s="76" t="s">
        <v>112</v>
      </c>
      <c r="D76" s="170">
        <v>0</v>
      </c>
      <c r="E76" s="171">
        <v>0</v>
      </c>
      <c r="F76" s="189" t="s">
        <v>46</v>
      </c>
      <c r="G76" s="175">
        <v>91.205036172700005</v>
      </c>
      <c r="H76" s="179">
        <v>0</v>
      </c>
      <c r="I76" s="189" t="s">
        <v>46</v>
      </c>
      <c r="J76" s="201" t="s">
        <v>46</v>
      </c>
    </row>
    <row r="77" spans="3:10" x14ac:dyDescent="0.25">
      <c r="C77" s="89" t="s">
        <v>116</v>
      </c>
      <c r="D77" s="162">
        <f>+SUM(D78:D89)</f>
        <v>23405.947515975004</v>
      </c>
      <c r="E77" s="158">
        <f>+SUM(E78:E89)</f>
        <v>27791.042003302999</v>
      </c>
      <c r="F77" s="186">
        <f t="shared" si="0"/>
        <v>0.18734958216645947</v>
      </c>
      <c r="G77" s="162">
        <f>+SUM(G78:G89)</f>
        <v>216970.95239295001</v>
      </c>
      <c r="H77" s="158">
        <f>+SUM(H78:H89)</f>
        <v>233191.01744515676</v>
      </c>
      <c r="I77" s="186">
        <f t="shared" si="1"/>
        <v>7.4756850506103811E-2</v>
      </c>
      <c r="J77" s="196">
        <f>SUM(J78:J89)</f>
        <v>1.0000000000000002</v>
      </c>
    </row>
    <row r="78" spans="3:10" x14ac:dyDescent="0.25">
      <c r="C78" s="93" t="s">
        <v>103</v>
      </c>
      <c r="D78" s="159">
        <v>7483.28207974</v>
      </c>
      <c r="E78" s="163">
        <v>8491.0311313500006</v>
      </c>
      <c r="F78" s="184">
        <f t="shared" si="0"/>
        <v>0.13466671987928236</v>
      </c>
      <c r="G78" s="166">
        <v>61298.195368943991</v>
      </c>
      <c r="H78" s="167">
        <v>71057.142182416006</v>
      </c>
      <c r="I78" s="187">
        <f t="shared" si="1"/>
        <v>0.15920447175866248</v>
      </c>
      <c r="J78" s="197">
        <f t="shared" ref="J78:J89" si="6">(H78/$H$77)</f>
        <v>0.30471646361390248</v>
      </c>
    </row>
    <row r="79" spans="3:10" x14ac:dyDescent="0.25">
      <c r="C79" s="90" t="s">
        <v>104</v>
      </c>
      <c r="D79" s="159">
        <v>3788.5761473199996</v>
      </c>
      <c r="E79" s="163">
        <v>4540.27624337</v>
      </c>
      <c r="F79" s="184">
        <f t="shared" ref="F79:F93" si="7">+E79/D79-1</f>
        <v>0.19841229707940422</v>
      </c>
      <c r="G79" s="168">
        <v>37370.352112799999</v>
      </c>
      <c r="H79" s="159">
        <v>43981.475755059997</v>
      </c>
      <c r="I79" s="188">
        <f t="shared" si="1"/>
        <v>0.1769082512871365</v>
      </c>
      <c r="J79" s="198">
        <f t="shared" si="6"/>
        <v>0.18860707516490777</v>
      </c>
    </row>
    <row r="80" spans="3:10" x14ac:dyDescent="0.25">
      <c r="C80" s="90" t="s">
        <v>100</v>
      </c>
      <c r="D80" s="159">
        <v>2592.4140235149998</v>
      </c>
      <c r="E80" s="163">
        <v>2835.2529137430001</v>
      </c>
      <c r="F80" s="184">
        <f t="shared" si="7"/>
        <v>9.3672880961637395E-2</v>
      </c>
      <c r="G80" s="168">
        <v>23399.216477736001</v>
      </c>
      <c r="H80" s="159">
        <v>27544.694590309002</v>
      </c>
      <c r="I80" s="188">
        <f t="shared" ref="I80:I94" si="8">+H80/G80-1</f>
        <v>0.17716311640252402</v>
      </c>
      <c r="J80" s="198">
        <f t="shared" si="6"/>
        <v>0.11812073591894304</v>
      </c>
    </row>
    <row r="81" spans="3:10" x14ac:dyDescent="0.25">
      <c r="C81" s="90" t="s">
        <v>98</v>
      </c>
      <c r="D81" s="159">
        <v>1756.112253</v>
      </c>
      <c r="E81" s="163">
        <v>2419.4286327999998</v>
      </c>
      <c r="F81" s="184">
        <f t="shared" si="7"/>
        <v>0.37771866728157266</v>
      </c>
      <c r="G81" s="168">
        <v>16906.406902259998</v>
      </c>
      <c r="H81" s="159">
        <v>25811.597847099998</v>
      </c>
      <c r="I81" s="188">
        <f t="shared" si="8"/>
        <v>0.52673468681565816</v>
      </c>
      <c r="J81" s="198">
        <f t="shared" si="6"/>
        <v>0.11068864542850808</v>
      </c>
    </row>
    <row r="82" spans="3:10" x14ac:dyDescent="0.25">
      <c r="C82" s="92" t="s">
        <v>101</v>
      </c>
      <c r="D82" s="160">
        <v>2644.0814840000003</v>
      </c>
      <c r="E82" s="164">
        <v>3049.6710880000001</v>
      </c>
      <c r="F82" s="184">
        <f t="shared" si="7"/>
        <v>0.15339527410721798</v>
      </c>
      <c r="G82" s="168">
        <v>25992.256086000001</v>
      </c>
      <c r="H82" s="159">
        <v>18014.000581999997</v>
      </c>
      <c r="I82" s="188">
        <f t="shared" si="8"/>
        <v>-0.30694740301120949</v>
      </c>
      <c r="J82" s="198">
        <f t="shared" si="6"/>
        <v>7.7249976347123384E-2</v>
      </c>
    </row>
    <row r="83" spans="3:10" x14ac:dyDescent="0.25">
      <c r="C83" s="92" t="s">
        <v>106</v>
      </c>
      <c r="D83" s="160">
        <v>2130.5448289000001</v>
      </c>
      <c r="E83" s="164">
        <v>2045.0141907</v>
      </c>
      <c r="F83" s="184">
        <f t="shared" si="7"/>
        <v>-4.0144960594027723E-2</v>
      </c>
      <c r="G83" s="168">
        <v>17929.28443698</v>
      </c>
      <c r="H83" s="159">
        <v>17234.203094824901</v>
      </c>
      <c r="I83" s="188">
        <f t="shared" si="8"/>
        <v>-3.8767935474405268E-2</v>
      </c>
      <c r="J83" s="198">
        <f t="shared" si="6"/>
        <v>7.3905947508797767E-2</v>
      </c>
    </row>
    <row r="84" spans="3:10" x14ac:dyDescent="0.25">
      <c r="C84" s="92" t="s">
        <v>97</v>
      </c>
      <c r="D84" s="160">
        <v>1790.1485149000002</v>
      </c>
      <c r="E84" s="164">
        <v>1499.8184095000001</v>
      </c>
      <c r="F84" s="184">
        <f t="shared" si="7"/>
        <v>-0.16218213348416977</v>
      </c>
      <c r="G84" s="168">
        <v>17366.736221399999</v>
      </c>
      <c r="H84" s="159">
        <v>14110.291056799999</v>
      </c>
      <c r="I84" s="188">
        <f t="shared" si="8"/>
        <v>-0.18751048689202032</v>
      </c>
      <c r="J84" s="198">
        <f t="shared" si="6"/>
        <v>6.0509582278908063E-2</v>
      </c>
    </row>
    <row r="85" spans="3:10" x14ac:dyDescent="0.25">
      <c r="C85" s="92" t="s">
        <v>107</v>
      </c>
      <c r="D85" s="160">
        <v>766.87345210000001</v>
      </c>
      <c r="E85" s="164">
        <v>925.45945219999999</v>
      </c>
      <c r="F85" s="184">
        <f t="shared" si="7"/>
        <v>0.20679552756159358</v>
      </c>
      <c r="G85" s="168">
        <v>9150.9988119000009</v>
      </c>
      <c r="H85" s="159">
        <v>6097.0878901199994</v>
      </c>
      <c r="I85" s="188">
        <f t="shared" si="8"/>
        <v>-0.33372432720772316</v>
      </c>
      <c r="J85" s="198">
        <f t="shared" si="6"/>
        <v>2.6146323974738643E-2</v>
      </c>
    </row>
    <row r="86" spans="3:10" x14ac:dyDescent="0.25">
      <c r="C86" s="92" t="s">
        <v>109</v>
      </c>
      <c r="D86" s="160">
        <v>441.54453249999995</v>
      </c>
      <c r="E86" s="164">
        <v>718.46415434000005</v>
      </c>
      <c r="F86" s="184">
        <f t="shared" si="7"/>
        <v>0.62716125205332518</v>
      </c>
      <c r="G86" s="168">
        <v>3766.4987343299999</v>
      </c>
      <c r="H86" s="159">
        <v>5054.3711229400005</v>
      </c>
      <c r="I86" s="188">
        <f t="shared" si="8"/>
        <v>0.34192826798841147</v>
      </c>
      <c r="J86" s="198">
        <f t="shared" si="6"/>
        <v>2.1674810540799314E-2</v>
      </c>
    </row>
    <row r="87" spans="3:10" x14ac:dyDescent="0.25">
      <c r="C87" s="92" t="s">
        <v>108</v>
      </c>
      <c r="D87" s="165">
        <v>0</v>
      </c>
      <c r="E87" s="172">
        <v>1259.9425153</v>
      </c>
      <c r="F87" s="184" t="s">
        <v>81</v>
      </c>
      <c r="G87" s="168">
        <v>3693.4613206000004</v>
      </c>
      <c r="H87" s="159">
        <v>4159.7205352000001</v>
      </c>
      <c r="I87" s="188">
        <f t="shared" si="8"/>
        <v>0.12623909501893915</v>
      </c>
      <c r="J87" s="198">
        <f t="shared" si="6"/>
        <v>1.7838253723380694E-2</v>
      </c>
    </row>
    <row r="88" spans="3:10" x14ac:dyDescent="0.25">
      <c r="C88" s="92" t="s">
        <v>102</v>
      </c>
      <c r="D88" s="160">
        <v>12.370200000000001</v>
      </c>
      <c r="E88" s="164">
        <v>6.6832720000000005</v>
      </c>
      <c r="F88" s="184">
        <f t="shared" si="7"/>
        <v>-0.45972805613490486</v>
      </c>
      <c r="G88" s="168">
        <v>97.54592000000001</v>
      </c>
      <c r="H88" s="159">
        <v>72.275121999999996</v>
      </c>
      <c r="I88" s="188">
        <f t="shared" si="8"/>
        <v>-0.2590656585124218</v>
      </c>
      <c r="J88" s="199">
        <f t="shared" si="6"/>
        <v>3.0993956281784345E-4</v>
      </c>
    </row>
    <row r="89" spans="3:10" x14ac:dyDescent="0.25">
      <c r="C89" s="76" t="s">
        <v>96</v>
      </c>
      <c r="D89" s="165">
        <v>0</v>
      </c>
      <c r="E89" s="172">
        <v>0</v>
      </c>
      <c r="F89" s="184" t="s">
        <v>46</v>
      </c>
      <c r="G89" s="177">
        <v>0</v>
      </c>
      <c r="H89" s="176">
        <v>54.157666386899997</v>
      </c>
      <c r="I89" s="189" t="s">
        <v>81</v>
      </c>
      <c r="J89" s="215">
        <f t="shared" si="6"/>
        <v>2.3224593717310367E-4</v>
      </c>
    </row>
    <row r="90" spans="3:10" x14ac:dyDescent="0.25">
      <c r="C90" s="89" t="s">
        <v>117</v>
      </c>
      <c r="D90" s="162">
        <f>+D91</f>
        <v>1126462.3889200001</v>
      </c>
      <c r="E90" s="158">
        <f>+E91</f>
        <v>1123268.1765320001</v>
      </c>
      <c r="F90" s="186">
        <f t="shared" si="7"/>
        <v>-2.8356138823795174E-3</v>
      </c>
      <c r="G90" s="162">
        <f>+G91</f>
        <v>10050688.138025999</v>
      </c>
      <c r="H90" s="158">
        <f>+H91</f>
        <v>8364305.5359899998</v>
      </c>
      <c r="I90" s="186">
        <f t="shared" si="8"/>
        <v>-0.16778777521269428</v>
      </c>
      <c r="J90" s="196">
        <f>SUM(J91)</f>
        <v>1</v>
      </c>
    </row>
    <row r="91" spans="3:10" x14ac:dyDescent="0.25">
      <c r="C91" s="95" t="s">
        <v>101</v>
      </c>
      <c r="D91" s="173">
        <v>1126462.3889200001</v>
      </c>
      <c r="E91" s="174">
        <v>1123268.1765320001</v>
      </c>
      <c r="F91" s="190">
        <f t="shared" si="7"/>
        <v>-2.8356138823795174E-3</v>
      </c>
      <c r="G91" s="180">
        <v>10050688.138025999</v>
      </c>
      <c r="H91" s="181">
        <v>8364305.5359899998</v>
      </c>
      <c r="I91" s="190">
        <f t="shared" si="8"/>
        <v>-0.16778777521269428</v>
      </c>
      <c r="J91" s="202">
        <f>(H91/$H$90)</f>
        <v>1</v>
      </c>
    </row>
    <row r="92" spans="3:10" x14ac:dyDescent="0.25">
      <c r="C92" s="89" t="s">
        <v>118</v>
      </c>
      <c r="D92" s="162">
        <f>+D93</f>
        <v>2654.3024</v>
      </c>
      <c r="E92" s="158">
        <f>+E93</f>
        <v>3008.8197999999998</v>
      </c>
      <c r="F92" s="186">
        <f t="shared" si="7"/>
        <v>0.13356330461819255</v>
      </c>
      <c r="G92" s="162">
        <f>+G93</f>
        <v>24631.510699999999</v>
      </c>
      <c r="H92" s="158">
        <f>+H93</f>
        <v>25422.809540000002</v>
      </c>
      <c r="I92" s="186">
        <f t="shared" si="8"/>
        <v>3.21254692672992E-2</v>
      </c>
      <c r="J92" s="196">
        <f>SUM(J93)</f>
        <v>1</v>
      </c>
    </row>
    <row r="93" spans="3:10" x14ac:dyDescent="0.25">
      <c r="C93" s="95" t="s">
        <v>108</v>
      </c>
      <c r="D93" s="173">
        <v>2654.3024</v>
      </c>
      <c r="E93" s="174">
        <v>3008.8197999999998</v>
      </c>
      <c r="F93" s="190">
        <f t="shared" si="7"/>
        <v>0.13356330461819255</v>
      </c>
      <c r="G93" s="159">
        <v>24631.510699999999</v>
      </c>
      <c r="H93" s="163">
        <v>25422.809540000002</v>
      </c>
      <c r="I93" s="184">
        <f t="shared" si="8"/>
        <v>3.21254692672992E-2</v>
      </c>
      <c r="J93" s="202">
        <f>(H93/$H$92)</f>
        <v>1</v>
      </c>
    </row>
    <row r="94" spans="3:10" x14ac:dyDescent="0.25">
      <c r="C94" s="89" t="s">
        <v>119</v>
      </c>
      <c r="D94" s="162">
        <f>SUM(D95:D99)</f>
        <v>4087.3148483800005</v>
      </c>
      <c r="E94" s="158">
        <f>SUM(E95:E99)</f>
        <v>2971.9247022499994</v>
      </c>
      <c r="F94" s="186">
        <f t="shared" ref="F94:F113" si="9">(E94-D94)/D94</f>
        <v>-0.27289068435040764</v>
      </c>
      <c r="G94" s="162">
        <f>SUM(G95:G99)</f>
        <v>32069.420752135004</v>
      </c>
      <c r="H94" s="158">
        <f>SUM(H95:H99)</f>
        <v>28641.025696766097</v>
      </c>
      <c r="I94" s="186">
        <f t="shared" si="8"/>
        <v>-0.10690542501116618</v>
      </c>
      <c r="J94" s="196">
        <f>SUM(J95:J99)</f>
        <v>1</v>
      </c>
    </row>
    <row r="95" spans="3:10" x14ac:dyDescent="0.25">
      <c r="C95" s="93" t="s">
        <v>99</v>
      </c>
      <c r="D95" s="107">
        <v>857.83728050000002</v>
      </c>
      <c r="E95" s="108">
        <v>902.92286879999995</v>
      </c>
      <c r="F95" s="187">
        <f t="shared" si="9"/>
        <v>5.2557273185564156E-2</v>
      </c>
      <c r="G95" s="107">
        <v>6990.409716000001</v>
      </c>
      <c r="H95" s="108">
        <v>7700.1719376000001</v>
      </c>
      <c r="I95" s="187">
        <f t="shared" ref="I95:I106" si="10">(H95-G95)/G95</f>
        <v>0.10153370838556997</v>
      </c>
      <c r="J95" s="197">
        <f>(H95/$H$94)</f>
        <v>0.26885112352905149</v>
      </c>
    </row>
    <row r="96" spans="3:10" x14ac:dyDescent="0.25">
      <c r="C96" s="90" t="s">
        <v>97</v>
      </c>
      <c r="D96" s="168">
        <v>994.06069400000001</v>
      </c>
      <c r="E96" s="159">
        <v>904.06650749999994</v>
      </c>
      <c r="F96" s="188">
        <f t="shared" si="9"/>
        <v>-9.0531883056227211E-2</v>
      </c>
      <c r="G96" s="168">
        <v>6811.3079360000002</v>
      </c>
      <c r="H96" s="159">
        <v>7338.9472722</v>
      </c>
      <c r="I96" s="188">
        <f t="shared" si="10"/>
        <v>7.7465200686530802E-2</v>
      </c>
      <c r="J96" s="198">
        <f>(H96/$H$94)</f>
        <v>0.25623898214750918</v>
      </c>
    </row>
    <row r="97" spans="3:10" x14ac:dyDescent="0.25">
      <c r="C97" s="90" t="s">
        <v>95</v>
      </c>
      <c r="D97" s="168">
        <v>857.48611791000008</v>
      </c>
      <c r="E97" s="159">
        <v>765.06005019999998</v>
      </c>
      <c r="F97" s="188">
        <f t="shared" si="9"/>
        <v>-0.10778724667318865</v>
      </c>
      <c r="G97" s="168">
        <v>7522.2653561550005</v>
      </c>
      <c r="H97" s="159">
        <v>6729.8152991660991</v>
      </c>
      <c r="I97" s="188">
        <f t="shared" si="10"/>
        <v>-0.10534726169165104</v>
      </c>
      <c r="J97" s="198">
        <f>(H97/$H$94)</f>
        <v>0.23497116934349083</v>
      </c>
    </row>
    <row r="98" spans="3:10" x14ac:dyDescent="0.25">
      <c r="C98" s="90" t="s">
        <v>98</v>
      </c>
      <c r="D98" s="168">
        <v>858.27658399999996</v>
      </c>
      <c r="E98" s="159">
        <v>23.185744</v>
      </c>
      <c r="F98" s="188">
        <f t="shared" si="9"/>
        <v>-0.97298569664810985</v>
      </c>
      <c r="G98" s="168">
        <v>6387.0697860999999</v>
      </c>
      <c r="H98" s="159">
        <v>2509.4374434999995</v>
      </c>
      <c r="I98" s="188">
        <f t="shared" si="10"/>
        <v>-0.60710661891291406</v>
      </c>
      <c r="J98" s="198">
        <f>(H98/$H$94)</f>
        <v>8.7616884607011267E-2</v>
      </c>
    </row>
    <row r="99" spans="3:10" x14ac:dyDescent="0.25">
      <c r="C99" s="92" t="s">
        <v>128</v>
      </c>
      <c r="D99" s="141">
        <v>519.65417196999999</v>
      </c>
      <c r="E99" s="160">
        <v>376.68953175000001</v>
      </c>
      <c r="F99" s="188">
        <f t="shared" si="9"/>
        <v>-0.27511496670569102</v>
      </c>
      <c r="G99" s="168">
        <v>4358.3679578799993</v>
      </c>
      <c r="H99" s="159">
        <v>4362.6537442999997</v>
      </c>
      <c r="I99" s="188">
        <f t="shared" si="10"/>
        <v>9.8334662456658938E-4</v>
      </c>
      <c r="J99" s="198">
        <f t="shared" ref="J99" si="11">(H99/$H$94)</f>
        <v>0.15232184037293728</v>
      </c>
    </row>
    <row r="100" spans="3:10" x14ac:dyDescent="0.25">
      <c r="C100" s="89" t="s">
        <v>120</v>
      </c>
      <c r="D100" s="162">
        <f>SUM(D101:D106)</f>
        <v>2879.1874470999996</v>
      </c>
      <c r="E100" s="158">
        <f>SUM(E101:E106)</f>
        <v>1461.4284863999999</v>
      </c>
      <c r="F100" s="186">
        <f t="shared" si="9"/>
        <v>-0.4924163454963682</v>
      </c>
      <c r="G100" s="162">
        <f>SUM(G101:G106)</f>
        <v>23853.491662279997</v>
      </c>
      <c r="H100" s="158">
        <f>SUM(H101:H106)</f>
        <v>20287.814356200004</v>
      </c>
      <c r="I100" s="186">
        <f t="shared" si="10"/>
        <v>-0.149482405199339</v>
      </c>
      <c r="J100" s="196">
        <f>SUM(J101:J106)</f>
        <v>0.99999999999999989</v>
      </c>
    </row>
    <row r="101" spans="3:10" x14ac:dyDescent="0.25">
      <c r="C101" s="80" t="s">
        <v>103</v>
      </c>
      <c r="D101" s="126">
        <v>1702.2046212</v>
      </c>
      <c r="E101" s="127">
        <v>981.49252349999995</v>
      </c>
      <c r="F101" s="118">
        <f t="shared" si="9"/>
        <v>-0.42339921342236814</v>
      </c>
      <c r="G101" s="107">
        <v>13341.6270258</v>
      </c>
      <c r="H101" s="108">
        <v>13217.6554015</v>
      </c>
      <c r="I101" s="144">
        <f t="shared" si="10"/>
        <v>-9.2920918910612844E-3</v>
      </c>
      <c r="J101" s="197">
        <f>(H101/$H$100)</f>
        <v>0.65150711503137615</v>
      </c>
    </row>
    <row r="102" spans="3:10" x14ac:dyDescent="0.25">
      <c r="C102" s="75" t="s">
        <v>100</v>
      </c>
      <c r="D102" s="111">
        <v>1026.065781</v>
      </c>
      <c r="E102" s="112">
        <v>348.49016999999998</v>
      </c>
      <c r="F102" s="121">
        <f t="shared" si="9"/>
        <v>-0.66036274042745802</v>
      </c>
      <c r="G102" s="109">
        <v>9355.8500169999988</v>
      </c>
      <c r="H102" s="110">
        <v>5576.7894240000005</v>
      </c>
      <c r="I102" s="119">
        <f t="shared" si="10"/>
        <v>-0.40392487974190222</v>
      </c>
      <c r="J102" s="198">
        <f t="shared" ref="J102:J106" si="12">(H102/$H$100)</f>
        <v>0.27488369747901015</v>
      </c>
    </row>
    <row r="103" spans="3:10" x14ac:dyDescent="0.25">
      <c r="C103" s="75" t="s">
        <v>98</v>
      </c>
      <c r="D103" s="111">
        <v>109.111491</v>
      </c>
      <c r="E103" s="112">
        <v>65.047948000000005</v>
      </c>
      <c r="F103" s="121">
        <f t="shared" si="9"/>
        <v>-0.40383961942193602</v>
      </c>
      <c r="G103" s="109">
        <v>827.58196648000001</v>
      </c>
      <c r="H103" s="110">
        <v>944.66363700000011</v>
      </c>
      <c r="I103" s="119">
        <f t="shared" si="10"/>
        <v>0.14147441010343667</v>
      </c>
      <c r="J103" s="198">
        <f t="shared" si="12"/>
        <v>4.6563105340684897E-2</v>
      </c>
    </row>
    <row r="104" spans="3:10" x14ac:dyDescent="0.25">
      <c r="C104" s="75" t="s">
        <v>106</v>
      </c>
      <c r="D104" s="111">
        <v>41.1165539</v>
      </c>
      <c r="E104" s="112">
        <v>64.505954900000006</v>
      </c>
      <c r="F104" s="121">
        <f t="shared" si="9"/>
        <v>0.56885606359145791</v>
      </c>
      <c r="G104" s="109">
        <v>317.50688899999994</v>
      </c>
      <c r="H104" s="110">
        <v>523.56209970000009</v>
      </c>
      <c r="I104" s="119">
        <f t="shared" si="10"/>
        <v>0.64897870830135018</v>
      </c>
      <c r="J104" s="198">
        <f t="shared" si="12"/>
        <v>2.5806727649792312E-2</v>
      </c>
    </row>
    <row r="105" spans="3:10" x14ac:dyDescent="0.25">
      <c r="C105" s="75" t="s">
        <v>104</v>
      </c>
      <c r="D105" s="208">
        <v>0</v>
      </c>
      <c r="E105" s="209">
        <v>1.5651900000000001</v>
      </c>
      <c r="F105" s="121" t="s">
        <v>81</v>
      </c>
      <c r="G105" s="109">
        <v>4.0247039999999998</v>
      </c>
      <c r="H105" s="110">
        <v>19.231763999999998</v>
      </c>
      <c r="I105" s="119">
        <f t="shared" si="10"/>
        <v>3.7784294199026807</v>
      </c>
      <c r="J105" s="198">
        <f t="shared" si="12"/>
        <v>9.4794656843469815E-4</v>
      </c>
    </row>
    <row r="106" spans="3:10" x14ac:dyDescent="0.25">
      <c r="C106" s="79" t="s">
        <v>102</v>
      </c>
      <c r="D106" s="205">
        <v>0.68899999999999995</v>
      </c>
      <c r="E106" s="203">
        <v>0.32669999999999999</v>
      </c>
      <c r="F106" s="123">
        <f t="shared" si="9"/>
        <v>-0.52583454281567488</v>
      </c>
      <c r="G106" s="206">
        <v>6.9010600000000002</v>
      </c>
      <c r="H106" s="207">
        <v>5.9120300000000006</v>
      </c>
      <c r="I106" s="147">
        <f t="shared" si="10"/>
        <v>-0.14331566455008354</v>
      </c>
      <c r="J106" s="199">
        <f t="shared" si="12"/>
        <v>2.9140793070167614E-4</v>
      </c>
    </row>
    <row r="107" spans="3:10" x14ac:dyDescent="0.25">
      <c r="C107" s="89" t="s">
        <v>121</v>
      </c>
      <c r="D107" s="162">
        <f>SUM(D108:D110)</f>
        <v>20.286814</v>
      </c>
      <c r="E107" s="158">
        <f>SUM(E108:E110)</f>
        <v>23.366099999999996</v>
      </c>
      <c r="F107" s="186">
        <f t="shared" si="9"/>
        <v>0.15178756013635242</v>
      </c>
      <c r="G107" s="162">
        <f>SUM(G108:G110)</f>
        <v>198.43115710000001</v>
      </c>
      <c r="H107" s="158">
        <f>SUM(H108:H110)</f>
        <v>204.13281079999999</v>
      </c>
      <c r="I107" s="186">
        <f>(H107-G107)/G107</f>
        <v>2.873366150420931E-2</v>
      </c>
      <c r="J107" s="196">
        <f>SUM(J108:J110)</f>
        <v>1</v>
      </c>
    </row>
    <row r="108" spans="3:10" x14ac:dyDescent="0.25">
      <c r="C108" s="80" t="s">
        <v>103</v>
      </c>
      <c r="D108" s="126">
        <v>13.128845999999999</v>
      </c>
      <c r="E108" s="127">
        <v>18.802726999999997</v>
      </c>
      <c r="F108" s="118">
        <f t="shared" si="9"/>
        <v>0.43216905735660227</v>
      </c>
      <c r="G108" s="107">
        <v>143.710778</v>
      </c>
      <c r="H108" s="108">
        <v>162.15565000000001</v>
      </c>
      <c r="I108" s="118">
        <f>(H108-G108)/G108</f>
        <v>0.12834717240205884</v>
      </c>
      <c r="J108" s="197">
        <f>(H108/$H$107)</f>
        <v>0.79436348015054137</v>
      </c>
    </row>
    <row r="109" spans="3:10" x14ac:dyDescent="0.25">
      <c r="C109" s="75" t="s">
        <v>98</v>
      </c>
      <c r="D109" s="111">
        <v>7.0042679999999997</v>
      </c>
      <c r="E109" s="112">
        <v>4.5066730000000002</v>
      </c>
      <c r="F109" s="121">
        <f t="shared" si="9"/>
        <v>-0.35658187265250268</v>
      </c>
      <c r="G109" s="109">
        <v>53.493879100000001</v>
      </c>
      <c r="H109" s="110">
        <v>41.213320799999998</v>
      </c>
      <c r="I109" s="121">
        <f>(H109-G109)/G109</f>
        <v>-0.22956941068048292</v>
      </c>
      <c r="J109" s="198">
        <f>(H109/$H$107)</f>
        <v>0.20189464221104039</v>
      </c>
    </row>
    <row r="110" spans="3:10" x14ac:dyDescent="0.25">
      <c r="C110" s="79" t="s">
        <v>102</v>
      </c>
      <c r="D110" s="205">
        <v>0.1537</v>
      </c>
      <c r="E110" s="203">
        <v>5.67E-2</v>
      </c>
      <c r="F110" s="123">
        <f t="shared" si="9"/>
        <v>-0.63109954456733897</v>
      </c>
      <c r="G110" s="206">
        <v>1.2264999999999999</v>
      </c>
      <c r="H110" s="207">
        <v>0.76384000000000007</v>
      </c>
      <c r="I110" s="123">
        <f>(H110-G110)/G110</f>
        <v>-0.37721973094170391</v>
      </c>
      <c r="J110" s="201">
        <f>(H110/$H$107)</f>
        <v>3.7418776384183319E-3</v>
      </c>
    </row>
    <row r="111" spans="3:10" x14ac:dyDescent="0.25">
      <c r="C111" s="89" t="s">
        <v>122</v>
      </c>
      <c r="D111" s="162">
        <f>SUM(D112:D113)</f>
        <v>28.185550999999997</v>
      </c>
      <c r="E111" s="158">
        <f>SUM(E112:E113)</f>
        <v>20.976870999999999</v>
      </c>
      <c r="F111" s="186">
        <f t="shared" si="9"/>
        <v>-0.25575799458382059</v>
      </c>
      <c r="G111" s="162">
        <f>SUM(G112:G113)</f>
        <v>232.54697499999997</v>
      </c>
      <c r="H111" s="158">
        <f>SUM(H112:H113)</f>
        <v>239.59685400000001</v>
      </c>
      <c r="I111" s="186">
        <f t="shared" ref="I111:I119" si="13">(H111-G111)/G111</f>
        <v>3.0315935092254085E-2</v>
      </c>
      <c r="J111" s="196">
        <f>SUM(J112:J113)</f>
        <v>1</v>
      </c>
    </row>
    <row r="112" spans="3:10" x14ac:dyDescent="0.25">
      <c r="C112" s="80" t="s">
        <v>97</v>
      </c>
      <c r="D112" s="126">
        <v>16.451782999999999</v>
      </c>
      <c r="E112" s="127">
        <v>11.795659000000001</v>
      </c>
      <c r="F112" s="118">
        <f t="shared" si="9"/>
        <v>-0.28301637579343214</v>
      </c>
      <c r="G112" s="107">
        <v>137.83335699999998</v>
      </c>
      <c r="H112" s="108">
        <v>137.291664</v>
      </c>
      <c r="I112" s="118">
        <f t="shared" si="13"/>
        <v>-3.9300573663019825E-3</v>
      </c>
      <c r="J112" s="197">
        <f>(H112/$H$111)</f>
        <v>0.57301112977051027</v>
      </c>
    </row>
    <row r="113" spans="3:10" x14ac:dyDescent="0.25">
      <c r="C113" s="79" t="s">
        <v>98</v>
      </c>
      <c r="D113" s="113">
        <v>11.733768</v>
      </c>
      <c r="E113" s="114">
        <v>9.1812119999999986</v>
      </c>
      <c r="F113" s="123">
        <f t="shared" si="9"/>
        <v>-0.21753932752036695</v>
      </c>
      <c r="G113" s="134">
        <v>94.713617999999997</v>
      </c>
      <c r="H113" s="135">
        <v>102.30519000000001</v>
      </c>
      <c r="I113" s="123">
        <f t="shared" si="13"/>
        <v>8.015290895127683E-2</v>
      </c>
      <c r="J113" s="201">
        <f>(H113/$H$111)</f>
        <v>0.42698887022948978</v>
      </c>
    </row>
    <row r="114" spans="3:10" x14ac:dyDescent="0.25">
      <c r="C114" s="89" t="s">
        <v>123</v>
      </c>
      <c r="D114" s="162">
        <f>SUM(D115:D117)</f>
        <v>3255.1303392000004</v>
      </c>
      <c r="E114" s="158">
        <f>SUM(E115:E117)</f>
        <v>3350.4782869999999</v>
      </c>
      <c r="F114" s="186">
        <f>(E114-D114)/D114</f>
        <v>2.9291591384765482E-2</v>
      </c>
      <c r="G114" s="162">
        <f>SUM(G115:G117)</f>
        <v>13486.971326300001</v>
      </c>
      <c r="H114" s="158">
        <f>SUM(H115:H117)</f>
        <v>28104.971208799998</v>
      </c>
      <c r="I114" s="186">
        <f t="shared" si="13"/>
        <v>1.0838608260399023</v>
      </c>
      <c r="J114" s="196">
        <f>SUM(J115:J117)</f>
        <v>1</v>
      </c>
    </row>
    <row r="115" spans="3:10" x14ac:dyDescent="0.25">
      <c r="C115" s="80" t="s">
        <v>104</v>
      </c>
      <c r="D115" s="126">
        <v>3144.9354922000002</v>
      </c>
      <c r="E115" s="127">
        <v>3279.5550760000001</v>
      </c>
      <c r="F115" s="118">
        <f>(E115-D115)/D115</f>
        <v>4.2805197160285288E-2</v>
      </c>
      <c r="G115" s="107">
        <v>12634.481824300001</v>
      </c>
      <c r="H115" s="108">
        <v>27322.647780799998</v>
      </c>
      <c r="I115" s="118">
        <f t="shared" si="13"/>
        <v>1.1625459722653706</v>
      </c>
      <c r="J115" s="197">
        <f>(H115/$H$114)</f>
        <v>0.97216423307507094</v>
      </c>
    </row>
    <row r="116" spans="3:10" x14ac:dyDescent="0.25">
      <c r="C116" s="75" t="s">
        <v>97</v>
      </c>
      <c r="D116" s="111">
        <v>95.734367000000006</v>
      </c>
      <c r="E116" s="112">
        <v>61.741999</v>
      </c>
      <c r="F116" s="121">
        <f>(E116-D116)/D116</f>
        <v>-0.3550696480815505</v>
      </c>
      <c r="G116" s="109">
        <v>729.94822700000009</v>
      </c>
      <c r="H116" s="110">
        <v>679.46944999999994</v>
      </c>
      <c r="I116" s="121">
        <f t="shared" si="13"/>
        <v>-6.9153914117254439E-2</v>
      </c>
      <c r="J116" s="198">
        <f>(H116/$H$114)</f>
        <v>2.4176130441551567E-2</v>
      </c>
    </row>
    <row r="117" spans="3:10" x14ac:dyDescent="0.25">
      <c r="C117" s="79" t="s">
        <v>98</v>
      </c>
      <c r="D117" s="113">
        <v>14.46048</v>
      </c>
      <c r="E117" s="114">
        <v>9.1812119999999986</v>
      </c>
      <c r="F117" s="123">
        <f>(E117-D117)/D117</f>
        <v>-0.36508248688840217</v>
      </c>
      <c r="G117" s="134">
        <v>122.54127500000001</v>
      </c>
      <c r="H117" s="135">
        <v>102.85397800000001</v>
      </c>
      <c r="I117" s="123">
        <f t="shared" si="13"/>
        <v>-0.16065849649434444</v>
      </c>
      <c r="J117" s="201">
        <f>(H117/$H$114)</f>
        <v>3.6596364833775463E-3</v>
      </c>
    </row>
    <row r="118" spans="3:10" x14ac:dyDescent="0.25">
      <c r="C118" s="89" t="s">
        <v>124</v>
      </c>
      <c r="D118" s="162">
        <f>SUM(D119)</f>
        <v>3.5447256</v>
      </c>
      <c r="E118" s="158">
        <f>SUM(E119)</f>
        <v>2.8038280000000002</v>
      </c>
      <c r="F118" s="186">
        <f t="shared" ref="F118:F119" si="14">(E118-D118)/D118</f>
        <v>-0.20901409124587805</v>
      </c>
      <c r="G118" s="256">
        <f>SUM(G119)</f>
        <v>32.392392400000006</v>
      </c>
      <c r="H118" s="256">
        <f>SUM(H119)</f>
        <v>27.005279999999999</v>
      </c>
      <c r="I118" s="193">
        <f t="shared" si="13"/>
        <v>-0.16630795075204158</v>
      </c>
      <c r="J118" s="196">
        <f>SUM(J119)</f>
        <v>1</v>
      </c>
    </row>
    <row r="119" spans="3:10" x14ac:dyDescent="0.25">
      <c r="C119" s="96" t="s">
        <v>98</v>
      </c>
      <c r="D119" s="157">
        <v>3.5447256</v>
      </c>
      <c r="E119" s="157">
        <v>2.8038280000000002</v>
      </c>
      <c r="F119" s="191">
        <f t="shared" si="14"/>
        <v>-0.20901409124587805</v>
      </c>
      <c r="G119" s="136">
        <v>32.392392400000006</v>
      </c>
      <c r="H119" s="136">
        <v>27.005279999999999</v>
      </c>
      <c r="I119" s="137">
        <f t="shared" si="13"/>
        <v>-0.16630795075204158</v>
      </c>
      <c r="J119" s="202">
        <f>(H119/$H$118)</f>
        <v>1</v>
      </c>
    </row>
    <row r="120" spans="3:10" ht="156" customHeight="1" x14ac:dyDescent="0.25">
      <c r="C120" s="274" t="s">
        <v>142</v>
      </c>
      <c r="D120" s="275"/>
      <c r="E120" s="275"/>
      <c r="F120" s="275"/>
      <c r="G120" s="275"/>
      <c r="H120" s="275"/>
      <c r="I120" s="275"/>
      <c r="J120" s="276"/>
    </row>
    <row r="121" spans="3:10" x14ac:dyDescent="0.25">
      <c r="D121" s="97"/>
      <c r="E121" s="97"/>
      <c r="F121" s="192"/>
    </row>
    <row r="122" spans="3:10" x14ac:dyDescent="0.25">
      <c r="F122" s="64"/>
    </row>
    <row r="123" spans="3:10" x14ac:dyDescent="0.25">
      <c r="F123" s="64"/>
    </row>
    <row r="124" spans="3:10" x14ac:dyDescent="0.25">
      <c r="F124" s="64"/>
    </row>
    <row r="125" spans="3:10" x14ac:dyDescent="0.25">
      <c r="F125" s="64"/>
    </row>
  </sheetData>
  <mergeCells count="5">
    <mergeCell ref="C3:J3"/>
    <mergeCell ref="C4:J4"/>
    <mergeCell ref="D8:F8"/>
    <mergeCell ref="G8:J8"/>
    <mergeCell ref="C120:J120"/>
  </mergeCells>
  <printOptions horizontalCentered="1"/>
  <pageMargins left="0" right="0" top="0" bottom="0" header="0.31496062992125984" footer="0.31496062992125984"/>
  <pageSetup paperSize="9"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S01.C01</vt:lpstr>
      <vt:lpstr>S01.C02</vt:lpstr>
      <vt:lpstr>S01.C03</vt:lpstr>
      <vt:lpstr>'S01.C01'!Área_de_impresión</vt:lpstr>
      <vt:lpstr>'S01.C02'!Área_de_impresión</vt:lpstr>
      <vt:lpstr>'S01.C03'!Área_de_impresión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Carranza</dc:creator>
  <cp:lastModifiedBy>CCANTO CHAVEZ MARICIELO BRIGGITTE</cp:lastModifiedBy>
  <dcterms:created xsi:type="dcterms:W3CDTF">2025-08-15T20:36:18Z</dcterms:created>
  <dcterms:modified xsi:type="dcterms:W3CDTF">2025-11-03T20:19:37Z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{650ED805-88E6-4860-94ED-AF4ABE06F984}</vt:lpwstr>
  </property>
</Properties>
</file>