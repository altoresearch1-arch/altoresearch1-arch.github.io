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MINEM 2026\BEM 2026\BEM agosto 2026\Cuadros estadísticos agosto 2026\"/>
    </mc:Choice>
  </mc:AlternateContent>
  <xr:revisionPtr revIDLastSave="0" documentId="13_ncr:1_{34A6AB5D-E817-4870-B5D4-256B0539774C}" xr6:coauthVersionLast="47" xr6:coauthVersionMax="47" xr10:uidLastSave="{00000000-0000-0000-0000-000000000000}"/>
  <bookViews>
    <workbookView xWindow="-120" yWindow="-120" windowWidth="29040" windowHeight="15840" activeTab="2" xr2:uid="{00000000-000D-0000-FFFF-FFFF00000000}"/>
  </bookViews>
  <sheets>
    <sheet name="S01.C01" sheetId="1" r:id="rId1"/>
    <sheet name="S01.C02" sheetId="2" r:id="rId2"/>
    <sheet name="S01.C03" sheetId="3" r:id="rId3"/>
  </sheets>
  <definedNames>
    <definedName name="_xlnm.Print_Area" localSheetId="0">'S01.C01'!$B$1:$Q$75</definedName>
    <definedName name="_xlnm.Print_Area" localSheetId="1">'S01.C02'!$B$1:$K$110</definedName>
    <definedName name="_xlnm.Print_Area" localSheetId="2">'S01.C03'!$B$1:$K$120</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OTI_2" localSheetId="0">#REF!</definedName>
    <definedName name="OTI_2" localSheetId="1">#REF!</definedName>
    <definedName name="OTI_2" localSheetId="2">#REF!</definedName>
    <definedName name="OTI_2">#REF!</definedName>
  </definedNames>
  <calcPr calcId="191029"/>
</workbook>
</file>

<file path=xl/calcChain.xml><?xml version="1.0" encoding="utf-8"?>
<calcChain xmlns="http://schemas.openxmlformats.org/spreadsheetml/2006/main">
  <c r="F86" i="3" l="1"/>
  <c r="E37" i="1" l="1"/>
  <c r="F37" i="1"/>
  <c r="G37" i="1"/>
  <c r="H37" i="1"/>
  <c r="I37" i="1"/>
  <c r="J37" i="1"/>
  <c r="K37" i="1"/>
  <c r="L37" i="1"/>
  <c r="M37" i="1"/>
  <c r="N37" i="1"/>
  <c r="O37" i="1"/>
  <c r="P37" i="1"/>
  <c r="D37" i="1"/>
  <c r="F104" i="3"/>
  <c r="F90" i="3"/>
  <c r="I95" i="2"/>
  <c r="I96" i="2"/>
  <c r="F93" i="2"/>
  <c r="F94" i="2"/>
  <c r="F96" i="2"/>
  <c r="I86" i="2"/>
  <c r="I87" i="2"/>
  <c r="I88" i="2"/>
  <c r="F87" i="2"/>
  <c r="F88" i="2"/>
  <c r="F72" i="2"/>
  <c r="F25" i="2"/>
  <c r="I50" i="1"/>
  <c r="D98" i="2" l="1"/>
  <c r="E98" i="2"/>
  <c r="D91" i="2"/>
  <c r="E91" i="2"/>
  <c r="I118" i="3" l="1"/>
  <c r="F118" i="3"/>
  <c r="H117" i="3"/>
  <c r="J118" i="3" s="1"/>
  <c r="J117" i="3" s="1"/>
  <c r="G117" i="3"/>
  <c r="E117" i="3"/>
  <c r="F117" i="3" s="1"/>
  <c r="D117" i="3"/>
  <c r="I116" i="3"/>
  <c r="F116" i="3"/>
  <c r="I115" i="3"/>
  <c r="F115" i="3"/>
  <c r="I114" i="3"/>
  <c r="F114" i="3"/>
  <c r="H113" i="3"/>
  <c r="J116" i="3" s="1"/>
  <c r="G113" i="3"/>
  <c r="E113" i="3"/>
  <c r="D113" i="3"/>
  <c r="I112" i="3"/>
  <c r="F112" i="3"/>
  <c r="I111" i="3"/>
  <c r="F111" i="3"/>
  <c r="H110" i="3"/>
  <c r="J111" i="3" s="1"/>
  <c r="G110" i="3"/>
  <c r="E110" i="3"/>
  <c r="D110" i="3"/>
  <c r="J109" i="3"/>
  <c r="I109" i="3"/>
  <c r="F109" i="3"/>
  <c r="I108" i="3"/>
  <c r="F108" i="3"/>
  <c r="I107" i="3"/>
  <c r="F107" i="3"/>
  <c r="H106" i="3"/>
  <c r="J108" i="3" s="1"/>
  <c r="G106" i="3"/>
  <c r="I106" i="3" s="1"/>
  <c r="E106" i="3"/>
  <c r="D106" i="3"/>
  <c r="I105" i="3"/>
  <c r="F105" i="3"/>
  <c r="I104" i="3"/>
  <c r="I103" i="3"/>
  <c r="F103" i="3"/>
  <c r="I102" i="3"/>
  <c r="F102" i="3"/>
  <c r="J101" i="3"/>
  <c r="I101" i="3"/>
  <c r="F101" i="3"/>
  <c r="I100" i="3"/>
  <c r="F100" i="3"/>
  <c r="H99" i="3"/>
  <c r="J105" i="3" s="1"/>
  <c r="G99" i="3"/>
  <c r="I99" i="3" s="1"/>
  <c r="E99" i="3"/>
  <c r="D99" i="3"/>
  <c r="F99" i="3" s="1"/>
  <c r="I98" i="3"/>
  <c r="F98" i="3"/>
  <c r="I97" i="3"/>
  <c r="F97" i="3"/>
  <c r="I96" i="3"/>
  <c r="F96" i="3"/>
  <c r="I95" i="3"/>
  <c r="F95" i="3"/>
  <c r="I94" i="3"/>
  <c r="F94" i="3"/>
  <c r="H93" i="3"/>
  <c r="J96" i="3" s="1"/>
  <c r="G93" i="3"/>
  <c r="E93" i="3"/>
  <c r="D93" i="3"/>
  <c r="F93" i="3" s="1"/>
  <c r="I92" i="3"/>
  <c r="F92" i="3"/>
  <c r="H91" i="3"/>
  <c r="J92" i="3" s="1"/>
  <c r="J91" i="3" s="1"/>
  <c r="G91" i="3"/>
  <c r="E91" i="3"/>
  <c r="D91" i="3"/>
  <c r="I90" i="3"/>
  <c r="H89" i="3"/>
  <c r="I89" i="3" s="1"/>
  <c r="G89" i="3"/>
  <c r="E89" i="3"/>
  <c r="D89" i="3"/>
  <c r="I88" i="3"/>
  <c r="I87" i="3"/>
  <c r="F87" i="3"/>
  <c r="I86" i="3"/>
  <c r="I85" i="3"/>
  <c r="F85" i="3"/>
  <c r="I84" i="3"/>
  <c r="F84" i="3"/>
  <c r="I83" i="3"/>
  <c r="F83" i="3"/>
  <c r="I82" i="3"/>
  <c r="F82" i="3"/>
  <c r="I81" i="3"/>
  <c r="F81" i="3"/>
  <c r="I80" i="3"/>
  <c r="F80" i="3"/>
  <c r="I79" i="3"/>
  <c r="F79" i="3"/>
  <c r="I78" i="3"/>
  <c r="F78" i="3"/>
  <c r="I77" i="3"/>
  <c r="F77" i="3"/>
  <c r="H76" i="3"/>
  <c r="J86" i="3" s="1"/>
  <c r="G76" i="3"/>
  <c r="E76" i="3"/>
  <c r="D76" i="3"/>
  <c r="I75" i="3"/>
  <c r="F75" i="3"/>
  <c r="I74" i="3"/>
  <c r="F74" i="3"/>
  <c r="I73" i="3"/>
  <c r="F73" i="3"/>
  <c r="I72" i="3"/>
  <c r="I71" i="3"/>
  <c r="F71" i="3"/>
  <c r="I70" i="3"/>
  <c r="F70" i="3"/>
  <c r="I69" i="3"/>
  <c r="F69" i="3"/>
  <c r="I68" i="3"/>
  <c r="F68" i="3"/>
  <c r="I67" i="3"/>
  <c r="F67" i="3"/>
  <c r="I66" i="3"/>
  <c r="F66" i="3"/>
  <c r="I65" i="3"/>
  <c r="F65" i="3"/>
  <c r="I64" i="3"/>
  <c r="F64" i="3"/>
  <c r="I63" i="3"/>
  <c r="F63" i="3"/>
  <c r="I62" i="3"/>
  <c r="F62" i="3"/>
  <c r="I61" i="3"/>
  <c r="F61" i="3"/>
  <c r="I60" i="3"/>
  <c r="F60" i="3"/>
  <c r="I59" i="3"/>
  <c r="F59" i="3"/>
  <c r="H58" i="3"/>
  <c r="J75" i="3" s="1"/>
  <c r="G58" i="3"/>
  <c r="E58" i="3"/>
  <c r="D58" i="3"/>
  <c r="I57" i="3"/>
  <c r="I56" i="3"/>
  <c r="F56" i="3"/>
  <c r="I55" i="3"/>
  <c r="I54" i="3"/>
  <c r="F54" i="3"/>
  <c r="I53" i="3"/>
  <c r="F53" i="3"/>
  <c r="I52" i="3"/>
  <c r="F52" i="3"/>
  <c r="I51" i="3"/>
  <c r="F51" i="3"/>
  <c r="I50" i="3"/>
  <c r="F50" i="3"/>
  <c r="I49" i="3"/>
  <c r="F49" i="3"/>
  <c r="I48" i="3"/>
  <c r="F48" i="3"/>
  <c r="I47" i="3"/>
  <c r="F47" i="3"/>
  <c r="I46" i="3"/>
  <c r="F46" i="3"/>
  <c r="H45" i="3"/>
  <c r="J48" i="3" s="1"/>
  <c r="G45" i="3"/>
  <c r="E45" i="3"/>
  <c r="D45" i="3"/>
  <c r="I43" i="3"/>
  <c r="F43" i="3"/>
  <c r="I42" i="3"/>
  <c r="F42" i="3"/>
  <c r="I41" i="3"/>
  <c r="F41" i="3"/>
  <c r="I40" i="3"/>
  <c r="F40" i="3"/>
  <c r="I39" i="3"/>
  <c r="F39" i="3"/>
  <c r="I38" i="3"/>
  <c r="F38" i="3"/>
  <c r="I37" i="3"/>
  <c r="F37" i="3"/>
  <c r="I36" i="3"/>
  <c r="F36" i="3"/>
  <c r="I35" i="3"/>
  <c r="F35" i="3"/>
  <c r="I34" i="3"/>
  <c r="F34" i="3"/>
  <c r="I33" i="3"/>
  <c r="F33" i="3"/>
  <c r="I32" i="3"/>
  <c r="F32" i="3"/>
  <c r="I31" i="3"/>
  <c r="F31" i="3"/>
  <c r="I30" i="3"/>
  <c r="F30" i="3"/>
  <c r="I29" i="3"/>
  <c r="F29" i="3"/>
  <c r="I28" i="3"/>
  <c r="F28" i="3"/>
  <c r="H27" i="3"/>
  <c r="J29" i="3" s="1"/>
  <c r="G27" i="3"/>
  <c r="E27" i="3"/>
  <c r="D27" i="3"/>
  <c r="I26" i="3"/>
  <c r="I25" i="3"/>
  <c r="I24" i="3"/>
  <c r="F24" i="3"/>
  <c r="I23" i="3"/>
  <c r="F23" i="3"/>
  <c r="I22" i="3"/>
  <c r="F22" i="3"/>
  <c r="I21" i="3"/>
  <c r="F21" i="3"/>
  <c r="I20" i="3"/>
  <c r="F20" i="3"/>
  <c r="I19" i="3"/>
  <c r="F19" i="3"/>
  <c r="I18" i="3"/>
  <c r="F18" i="3"/>
  <c r="I17" i="3"/>
  <c r="F17" i="3"/>
  <c r="I16" i="3"/>
  <c r="F16" i="3"/>
  <c r="I15" i="3"/>
  <c r="F15" i="3"/>
  <c r="I14" i="3"/>
  <c r="F14" i="3"/>
  <c r="I13" i="3"/>
  <c r="F13" i="3"/>
  <c r="I12" i="3"/>
  <c r="F12" i="3"/>
  <c r="H11" i="3"/>
  <c r="J15" i="3" s="1"/>
  <c r="G11" i="3"/>
  <c r="E11" i="3"/>
  <c r="D11" i="3"/>
  <c r="I108" i="2"/>
  <c r="F108" i="2"/>
  <c r="H107" i="2"/>
  <c r="G107" i="2"/>
  <c r="E107" i="2"/>
  <c r="D107" i="2"/>
  <c r="I106" i="2"/>
  <c r="F106" i="2"/>
  <c r="I105" i="2"/>
  <c r="F105" i="2"/>
  <c r="I104" i="2"/>
  <c r="F104" i="2"/>
  <c r="I103" i="2"/>
  <c r="F103" i="2"/>
  <c r="H102" i="2"/>
  <c r="J105" i="2" s="1"/>
  <c r="G102" i="2"/>
  <c r="E102" i="2"/>
  <c r="D102" i="2"/>
  <c r="I101" i="2"/>
  <c r="F101" i="2"/>
  <c r="I100" i="2"/>
  <c r="F100" i="2"/>
  <c r="I99" i="2"/>
  <c r="F99" i="2"/>
  <c r="H98" i="2"/>
  <c r="J100" i="2" s="1"/>
  <c r="G98" i="2"/>
  <c r="I94" i="2"/>
  <c r="I93" i="2"/>
  <c r="I92" i="2"/>
  <c r="F92" i="2"/>
  <c r="H91" i="2"/>
  <c r="J95" i="2" s="1"/>
  <c r="G91" i="2"/>
  <c r="F91" i="2"/>
  <c r="F86" i="2"/>
  <c r="I85" i="2"/>
  <c r="F85" i="2"/>
  <c r="I84" i="2"/>
  <c r="F84" i="2"/>
  <c r="I83" i="2"/>
  <c r="F83" i="2"/>
  <c r="H82" i="2"/>
  <c r="J88" i="2" s="1"/>
  <c r="G82" i="2"/>
  <c r="E82" i="2"/>
  <c r="D82" i="2"/>
  <c r="I81" i="2"/>
  <c r="F81" i="2"/>
  <c r="I80" i="2"/>
  <c r="F80" i="2"/>
  <c r="I79" i="2"/>
  <c r="F79" i="2"/>
  <c r="I78" i="2"/>
  <c r="F78" i="2"/>
  <c r="I77" i="2"/>
  <c r="F77" i="2"/>
  <c r="H76" i="2"/>
  <c r="J78" i="2" s="1"/>
  <c r="G76" i="2"/>
  <c r="E76" i="2"/>
  <c r="D76" i="2"/>
  <c r="I75" i="2"/>
  <c r="F75" i="2"/>
  <c r="H74" i="2"/>
  <c r="G74" i="2"/>
  <c r="E74" i="2"/>
  <c r="D74" i="2"/>
  <c r="I73" i="2"/>
  <c r="F73" i="2"/>
  <c r="I72" i="2"/>
  <c r="H71" i="2"/>
  <c r="J73" i="2" s="1"/>
  <c r="G71" i="2"/>
  <c r="E71" i="2"/>
  <c r="D71" i="2"/>
  <c r="I70" i="2"/>
  <c r="F70" i="2"/>
  <c r="I69" i="2"/>
  <c r="F69" i="2"/>
  <c r="I68" i="2"/>
  <c r="F68" i="2"/>
  <c r="I67" i="2"/>
  <c r="F67" i="2"/>
  <c r="I66" i="2"/>
  <c r="F66" i="2"/>
  <c r="I65" i="2"/>
  <c r="F65" i="2"/>
  <c r="I64" i="2"/>
  <c r="F64" i="2"/>
  <c r="I63" i="2"/>
  <c r="F63" i="2"/>
  <c r="I62" i="2"/>
  <c r="F62" i="2"/>
  <c r="I61" i="2"/>
  <c r="F61" i="2"/>
  <c r="I60" i="2"/>
  <c r="F60" i="2"/>
  <c r="H59" i="2"/>
  <c r="J61" i="2" s="1"/>
  <c r="G59" i="2"/>
  <c r="E59" i="2"/>
  <c r="D59" i="2"/>
  <c r="I58" i="2"/>
  <c r="F58" i="2"/>
  <c r="I57" i="2"/>
  <c r="F57" i="2"/>
  <c r="I56" i="2"/>
  <c r="F56" i="2"/>
  <c r="I55" i="2"/>
  <c r="F55" i="2"/>
  <c r="I54" i="2"/>
  <c r="F54" i="2"/>
  <c r="I53" i="2"/>
  <c r="F53" i="2"/>
  <c r="I52" i="2"/>
  <c r="F52" i="2"/>
  <c r="I51" i="2"/>
  <c r="F51" i="2"/>
  <c r="I50" i="2"/>
  <c r="F50" i="2"/>
  <c r="I49" i="2"/>
  <c r="F49" i="2"/>
  <c r="I48" i="2"/>
  <c r="F48" i="2"/>
  <c r="H47" i="2"/>
  <c r="J56" i="2" s="1"/>
  <c r="G47" i="2"/>
  <c r="E47" i="2"/>
  <c r="D47" i="2"/>
  <c r="I46" i="2"/>
  <c r="F46" i="2"/>
  <c r="I45" i="2"/>
  <c r="F45" i="2"/>
  <c r="I44" i="2"/>
  <c r="F44" i="2"/>
  <c r="I43" i="2"/>
  <c r="F43" i="2"/>
  <c r="I42" i="2"/>
  <c r="F42" i="2"/>
  <c r="I41" i="2"/>
  <c r="F41" i="2"/>
  <c r="I40" i="2"/>
  <c r="F40" i="2"/>
  <c r="I39" i="2"/>
  <c r="F39" i="2"/>
  <c r="I38" i="2"/>
  <c r="F38" i="2"/>
  <c r="I37" i="2"/>
  <c r="F37" i="2"/>
  <c r="I36" i="2"/>
  <c r="F36" i="2"/>
  <c r="H35" i="2"/>
  <c r="J38" i="2" s="1"/>
  <c r="G35" i="2"/>
  <c r="E35" i="2"/>
  <c r="D35" i="2"/>
  <c r="I34" i="2"/>
  <c r="F34" i="2"/>
  <c r="I33" i="2"/>
  <c r="F33" i="2"/>
  <c r="I32" i="2"/>
  <c r="F32" i="2"/>
  <c r="I31" i="2"/>
  <c r="F31" i="2"/>
  <c r="I30" i="2"/>
  <c r="F30" i="2"/>
  <c r="I29" i="2"/>
  <c r="F29" i="2"/>
  <c r="I28" i="2"/>
  <c r="F28" i="2"/>
  <c r="I27" i="2"/>
  <c r="F27" i="2"/>
  <c r="I26" i="2"/>
  <c r="F26" i="2"/>
  <c r="I25" i="2"/>
  <c r="I24" i="2"/>
  <c r="F24" i="2"/>
  <c r="H23" i="2"/>
  <c r="J32" i="2" s="1"/>
  <c r="G23" i="2"/>
  <c r="E23" i="2"/>
  <c r="D23" i="2"/>
  <c r="I22" i="2"/>
  <c r="F22" i="2"/>
  <c r="I21" i="2"/>
  <c r="F21" i="2"/>
  <c r="I20" i="2"/>
  <c r="F20" i="2"/>
  <c r="I19" i="2"/>
  <c r="F19" i="2"/>
  <c r="I18" i="2"/>
  <c r="F18" i="2"/>
  <c r="I17" i="2"/>
  <c r="F17" i="2"/>
  <c r="I16" i="2"/>
  <c r="F16" i="2"/>
  <c r="I15" i="2"/>
  <c r="F15" i="2"/>
  <c r="I14" i="2"/>
  <c r="F14" i="2"/>
  <c r="I13" i="2"/>
  <c r="F13" i="2"/>
  <c r="I12" i="2"/>
  <c r="F12" i="2"/>
  <c r="H11" i="2"/>
  <c r="J13" i="2" s="1"/>
  <c r="G11" i="2"/>
  <c r="E11" i="2"/>
  <c r="D11" i="2"/>
  <c r="P60" i="1"/>
  <c r="O60" i="1"/>
  <c r="N60" i="1"/>
  <c r="M60" i="1"/>
  <c r="L60" i="1"/>
  <c r="K60" i="1"/>
  <c r="J60" i="1"/>
  <c r="I60" i="1"/>
  <c r="H60" i="1"/>
  <c r="G60" i="1"/>
  <c r="F60" i="1"/>
  <c r="E60" i="1"/>
  <c r="D60" i="1"/>
  <c r="P55" i="1"/>
  <c r="O55" i="1"/>
  <c r="N55" i="1"/>
  <c r="M55" i="1"/>
  <c r="L55" i="1"/>
  <c r="K55" i="1"/>
  <c r="J55" i="1"/>
  <c r="I55" i="1"/>
  <c r="H55" i="1"/>
  <c r="G55" i="1"/>
  <c r="F55" i="1"/>
  <c r="E55" i="1"/>
  <c r="D55" i="1"/>
  <c r="P50" i="1"/>
  <c r="O50" i="1"/>
  <c r="N50" i="1"/>
  <c r="M50" i="1"/>
  <c r="L50" i="1"/>
  <c r="K50" i="1"/>
  <c r="J50" i="1"/>
  <c r="H50" i="1"/>
  <c r="G50" i="1"/>
  <c r="F50" i="1"/>
  <c r="E50" i="1"/>
  <c r="D50" i="1"/>
  <c r="Q37" i="1"/>
  <c r="Q36" i="1"/>
  <c r="Q35" i="1"/>
  <c r="Q34" i="1"/>
  <c r="Q33" i="1"/>
  <c r="Q32" i="1"/>
  <c r="Q31" i="1"/>
  <c r="Q30" i="1"/>
  <c r="Q29" i="1"/>
  <c r="Q28" i="1"/>
  <c r="Q27" i="1"/>
  <c r="Q26" i="1"/>
  <c r="Q25" i="1"/>
  <c r="Q24" i="1"/>
  <c r="Q23" i="1"/>
  <c r="Q22" i="1"/>
  <c r="I117" i="3" l="1"/>
  <c r="F113" i="3"/>
  <c r="F110" i="3"/>
  <c r="F106" i="3"/>
  <c r="J102" i="3"/>
  <c r="J103" i="3"/>
  <c r="F89" i="3"/>
  <c r="J83" i="3"/>
  <c r="J84" i="3"/>
  <c r="J80" i="3"/>
  <c r="J87" i="3"/>
  <c r="J35" i="3"/>
  <c r="J32" i="3"/>
  <c r="J39" i="3"/>
  <c r="J16" i="3"/>
  <c r="J24" i="3"/>
  <c r="J18" i="3"/>
  <c r="F71" i="2"/>
  <c r="I113" i="3"/>
  <c r="J115" i="3"/>
  <c r="J114" i="3"/>
  <c r="J113" i="3" s="1"/>
  <c r="J112" i="3"/>
  <c r="J110" i="3" s="1"/>
  <c r="I110" i="3"/>
  <c r="J107" i="3"/>
  <c r="J106" i="3" s="1"/>
  <c r="J100" i="3"/>
  <c r="J97" i="3"/>
  <c r="J95" i="3"/>
  <c r="I91" i="3"/>
  <c r="F91" i="3"/>
  <c r="J90" i="3"/>
  <c r="J89" i="3" s="1"/>
  <c r="F76" i="3"/>
  <c r="F58" i="3"/>
  <c r="J57" i="3"/>
  <c r="F45" i="3"/>
  <c r="J28" i="3"/>
  <c r="J38" i="3"/>
  <c r="J30" i="3"/>
  <c r="F27" i="3"/>
  <c r="I11" i="3"/>
  <c r="J13" i="3"/>
  <c r="J22" i="3"/>
  <c r="J19" i="3"/>
  <c r="J20" i="3"/>
  <c r="J14" i="3"/>
  <c r="J25" i="3"/>
  <c r="J26" i="3"/>
  <c r="J12" i="3"/>
  <c r="J23" i="3"/>
  <c r="F11" i="3"/>
  <c r="I74" i="2"/>
  <c r="I82" i="2"/>
  <c r="J92" i="2"/>
  <c r="J83" i="2"/>
  <c r="J93" i="2"/>
  <c r="J85" i="2"/>
  <c r="J94" i="2"/>
  <c r="J51" i="2"/>
  <c r="J96" i="2"/>
  <c r="J91" i="2" s="1"/>
  <c r="J87" i="2"/>
  <c r="F47" i="2"/>
  <c r="F107" i="2"/>
  <c r="I91" i="2"/>
  <c r="J101" i="2"/>
  <c r="J53" i="2"/>
  <c r="F59" i="2"/>
  <c r="I107" i="2"/>
  <c r="F98" i="2"/>
  <c r="J108" i="2"/>
  <c r="J107" i="2" s="1"/>
  <c r="I102" i="2"/>
  <c r="F35" i="2"/>
  <c r="F11" i="2"/>
  <c r="F74" i="2"/>
  <c r="F102" i="2"/>
  <c r="J27" i="2"/>
  <c r="J29" i="2"/>
  <c r="J106" i="2"/>
  <c r="J103" i="2"/>
  <c r="F82" i="2"/>
  <c r="J81" i="2"/>
  <c r="F76" i="2"/>
  <c r="J75" i="2"/>
  <c r="J74" i="2" s="1"/>
  <c r="J63" i="2"/>
  <c r="J65" i="2"/>
  <c r="J39" i="2"/>
  <c r="F23" i="2"/>
  <c r="J21" i="2"/>
  <c r="J16" i="2"/>
  <c r="I58" i="3"/>
  <c r="J37" i="2"/>
  <c r="J49" i="2"/>
  <c r="J67" i="3"/>
  <c r="J74" i="3"/>
  <c r="J44" i="2"/>
  <c r="J68" i="2"/>
  <c r="I98" i="2"/>
  <c r="J55" i="3"/>
  <c r="J20" i="2"/>
  <c r="J42" i="3"/>
  <c r="J26" i="2"/>
  <c r="J50" i="2"/>
  <c r="J62" i="2"/>
  <c r="J84" i="2"/>
  <c r="J14" i="2"/>
  <c r="J33" i="2"/>
  <c r="J45" i="2"/>
  <c r="J57" i="2"/>
  <c r="J69" i="2"/>
  <c r="J79" i="2"/>
  <c r="J104" i="2"/>
  <c r="J36" i="3"/>
  <c r="J49" i="3"/>
  <c r="J56" i="3"/>
  <c r="J88" i="3"/>
  <c r="J98" i="3"/>
  <c r="J99" i="2"/>
  <c r="J17" i="3"/>
  <c r="J43" i="3"/>
  <c r="J62" i="3"/>
  <c r="J81" i="3"/>
  <c r="J104" i="3"/>
  <c r="J69" i="3"/>
  <c r="J15" i="2"/>
  <c r="J34" i="2"/>
  <c r="J46" i="2"/>
  <c r="J58" i="2"/>
  <c r="J70" i="2"/>
  <c r="J80" i="2"/>
  <c r="J37" i="3"/>
  <c r="J50" i="3"/>
  <c r="J22" i="2"/>
  <c r="J63" i="3"/>
  <c r="J82" i="3"/>
  <c r="I93" i="3"/>
  <c r="J28" i="2"/>
  <c r="J40" i="2"/>
  <c r="J52" i="2"/>
  <c r="J64" i="2"/>
  <c r="J86" i="2"/>
  <c r="J31" i="3"/>
  <c r="J70" i="3"/>
  <c r="I76" i="3"/>
  <c r="J94" i="3"/>
  <c r="J77" i="3"/>
  <c r="J78" i="3"/>
  <c r="J85" i="3"/>
  <c r="J51" i="3"/>
  <c r="I45" i="3"/>
  <c r="J41" i="2"/>
  <c r="I71" i="2"/>
  <c r="J71" i="3"/>
  <c r="I35" i="2"/>
  <c r="I59" i="2"/>
  <c r="J52" i="3"/>
  <c r="I11" i="2"/>
  <c r="I23" i="2"/>
  <c r="I76" i="2"/>
  <c r="J65" i="3"/>
  <c r="J72" i="3"/>
  <c r="J30" i="2"/>
  <c r="J42" i="2"/>
  <c r="J54" i="2"/>
  <c r="J66" i="2"/>
  <c r="J72" i="2"/>
  <c r="J71" i="2" s="1"/>
  <c r="J33" i="3"/>
  <c r="J46" i="3"/>
  <c r="J18" i="2"/>
  <c r="I27" i="3"/>
  <c r="J40" i="3"/>
  <c r="J53" i="3"/>
  <c r="J59" i="3"/>
  <c r="J36" i="2"/>
  <c r="J48" i="2"/>
  <c r="J60" i="2"/>
  <c r="J21" i="3"/>
  <c r="J66" i="3"/>
  <c r="J73" i="3"/>
  <c r="J12" i="2"/>
  <c r="J24" i="2"/>
  <c r="J31" i="2"/>
  <c r="J43" i="2"/>
  <c r="J55" i="2"/>
  <c r="J67" i="2"/>
  <c r="J77" i="2"/>
  <c r="J34" i="3"/>
  <c r="J47" i="3"/>
  <c r="J19" i="2"/>
  <c r="J41" i="3"/>
  <c r="J54" i="3"/>
  <c r="J60" i="3"/>
  <c r="J79" i="3"/>
  <c r="J64" i="3"/>
  <c r="J17" i="2"/>
  <c r="I47" i="2"/>
  <c r="J25" i="2"/>
  <c r="J61" i="3"/>
  <c r="J68" i="3"/>
  <c r="J99" i="3" l="1"/>
  <c r="J93" i="3"/>
  <c r="J11" i="3"/>
  <c r="J82" i="2"/>
  <c r="J27" i="3"/>
  <c r="J98" i="2"/>
  <c r="J102" i="2"/>
  <c r="J11" i="2"/>
  <c r="J35" i="2"/>
  <c r="J23" i="2"/>
  <c r="J59" i="2"/>
  <c r="J47" i="2"/>
  <c r="J58" i="3"/>
  <c r="J45" i="3"/>
  <c r="J76" i="2"/>
  <c r="J76" i="3"/>
</calcChain>
</file>

<file path=xl/sharedStrings.xml><?xml version="1.0" encoding="utf-8"?>
<sst xmlns="http://schemas.openxmlformats.org/spreadsheetml/2006/main" count="401" uniqueCount="148">
  <si>
    <t>SECCIÓN N° 01: PRODUCCIÓN METÁLICA</t>
  </si>
  <si>
    <t>METALLIC MINERAL PRODUCTION</t>
  </si>
  <si>
    <t>CUADRO N° 01. VOLUMEN DE LA PRODUCCIÓN MINERA METÁLICA</t>
  </si>
  <si>
    <t>VOLUME OF METALLIC MINING PRODUCTION</t>
  </si>
  <si>
    <r>
      <t xml:space="preserve">PERIODO
</t>
    </r>
    <r>
      <rPr>
        <i/>
        <sz val="10"/>
        <color theme="1"/>
        <rFont val="Calibri Light"/>
        <family val="2"/>
        <scheme val="major"/>
      </rPr>
      <t>Period</t>
    </r>
  </si>
  <si>
    <r>
      <t xml:space="preserve">COBRE
</t>
    </r>
    <r>
      <rPr>
        <i/>
        <sz val="10"/>
        <color theme="1"/>
        <rFont val="Calibri Light"/>
        <family val="2"/>
        <scheme val="major"/>
      </rPr>
      <t>Copper</t>
    </r>
  </si>
  <si>
    <r>
      <t xml:space="preserve">ORO*
</t>
    </r>
    <r>
      <rPr>
        <i/>
        <sz val="10"/>
        <color theme="1"/>
        <rFont val="Calibri Light"/>
        <family val="2"/>
        <scheme val="major"/>
      </rPr>
      <t>Gold</t>
    </r>
  </si>
  <si>
    <r>
      <t xml:space="preserve">ZINC
</t>
    </r>
    <r>
      <rPr>
        <i/>
        <sz val="10"/>
        <color theme="1"/>
        <rFont val="Calibri Light"/>
        <family val="2"/>
        <scheme val="major"/>
      </rPr>
      <t>Zinc</t>
    </r>
  </si>
  <si>
    <r>
      <t xml:space="preserve">PLATA
</t>
    </r>
    <r>
      <rPr>
        <i/>
        <sz val="10"/>
        <color theme="1"/>
        <rFont val="Calibri Light"/>
        <family val="2"/>
        <scheme val="major"/>
      </rPr>
      <t>Silver</t>
    </r>
  </si>
  <si>
    <r>
      <t xml:space="preserve">PLOMO
</t>
    </r>
    <r>
      <rPr>
        <i/>
        <sz val="10"/>
        <color theme="1"/>
        <rFont val="Calibri Light"/>
        <family val="2"/>
        <scheme val="major"/>
      </rPr>
      <t>Lead</t>
    </r>
  </si>
  <si>
    <r>
      <t xml:space="preserve">HIERRO
</t>
    </r>
    <r>
      <rPr>
        <i/>
        <sz val="10"/>
        <color theme="1"/>
        <rFont val="Calibri Light"/>
        <family val="2"/>
        <scheme val="major"/>
      </rPr>
      <t>Iron</t>
    </r>
  </si>
  <si>
    <r>
      <t xml:space="preserve">ESTAÑO
</t>
    </r>
    <r>
      <rPr>
        <i/>
        <sz val="10"/>
        <color theme="1"/>
        <rFont val="Calibri Light"/>
        <family val="2"/>
        <scheme val="major"/>
      </rPr>
      <t>Tin</t>
    </r>
  </si>
  <si>
    <r>
      <t xml:space="preserve">MOLIBDENO
</t>
    </r>
    <r>
      <rPr>
        <i/>
        <sz val="10"/>
        <color theme="1"/>
        <rFont val="Calibri Light"/>
        <family val="2"/>
        <scheme val="major"/>
      </rPr>
      <t>Molybdenum</t>
    </r>
  </si>
  <si>
    <r>
      <t xml:space="preserve">ARSÉNICO
</t>
    </r>
    <r>
      <rPr>
        <i/>
        <sz val="10"/>
        <color theme="1"/>
        <rFont val="Calibri Light"/>
        <family val="2"/>
        <scheme val="major"/>
      </rPr>
      <t>Arsenic</t>
    </r>
  </si>
  <si>
    <r>
      <t xml:space="preserve">BISMUTO
</t>
    </r>
    <r>
      <rPr>
        <i/>
        <sz val="10"/>
        <color theme="1"/>
        <rFont val="Calibri Light"/>
        <family val="2"/>
        <scheme val="major"/>
      </rPr>
      <t>Bismuth</t>
    </r>
  </si>
  <si>
    <r>
      <t xml:space="preserve">CADMIO
</t>
    </r>
    <r>
      <rPr>
        <i/>
        <sz val="10"/>
        <color theme="1"/>
        <rFont val="Calibri Light"/>
        <family val="2"/>
        <scheme val="major"/>
      </rPr>
      <t>Cadmium</t>
    </r>
  </si>
  <si>
    <r>
      <t xml:space="preserve">MANGANESO
</t>
    </r>
    <r>
      <rPr>
        <i/>
        <sz val="10"/>
        <color theme="1"/>
        <rFont val="Calibri Light"/>
        <family val="2"/>
        <scheme val="major"/>
      </rPr>
      <t>Manganese</t>
    </r>
  </si>
  <si>
    <r>
      <t xml:space="preserve">MAGNESIO
</t>
    </r>
    <r>
      <rPr>
        <i/>
        <sz val="10"/>
        <color theme="1"/>
        <rFont val="Calibri Light"/>
        <family val="2"/>
        <scheme val="major"/>
      </rPr>
      <t>Magnesium</t>
    </r>
  </si>
  <si>
    <r>
      <t xml:space="preserve">TMF
</t>
    </r>
    <r>
      <rPr>
        <i/>
        <sz val="8"/>
        <color rgb="FF000000"/>
        <rFont val="Calibri Light"/>
        <family val="2"/>
        <scheme val="major"/>
      </rPr>
      <t>FTM</t>
    </r>
  </si>
  <si>
    <r>
      <t xml:space="preserve">gf
</t>
    </r>
    <r>
      <rPr>
        <i/>
        <sz val="8"/>
        <color rgb="FF000000"/>
        <rFont val="Calibri Light"/>
        <family val="2"/>
        <scheme val="major"/>
      </rPr>
      <t>fg</t>
    </r>
  </si>
  <si>
    <r>
      <t xml:space="preserve">kgf
</t>
    </r>
    <r>
      <rPr>
        <i/>
        <sz val="8"/>
        <color rgb="FF000000"/>
        <rFont val="Calibri Light"/>
        <family val="2"/>
        <scheme val="major"/>
      </rPr>
      <t>fkg</t>
    </r>
  </si>
  <si>
    <t>N/D</t>
  </si>
  <si>
    <r>
      <t xml:space="preserve">Ene. / </t>
    </r>
    <r>
      <rPr>
        <i/>
        <sz val="10"/>
        <color rgb="FF000000"/>
        <rFont val="Calibri Light"/>
        <family val="2"/>
        <scheme val="major"/>
      </rPr>
      <t>Jan.</t>
    </r>
  </si>
  <si>
    <r>
      <t xml:space="preserve">Feb. / </t>
    </r>
    <r>
      <rPr>
        <i/>
        <sz val="10"/>
        <color rgb="FF000000"/>
        <rFont val="Calibri Light"/>
        <family val="2"/>
        <scheme val="major"/>
      </rPr>
      <t>Feb.</t>
    </r>
  </si>
  <si>
    <r>
      <t>Mar. /</t>
    </r>
    <r>
      <rPr>
        <i/>
        <sz val="10"/>
        <color rgb="FF000000"/>
        <rFont val="Calibri Light"/>
        <family val="2"/>
        <scheme val="major"/>
      </rPr>
      <t>Mar.</t>
    </r>
  </si>
  <si>
    <r>
      <t>Abr. /</t>
    </r>
    <r>
      <rPr>
        <i/>
        <sz val="10"/>
        <color rgb="FF000000"/>
        <rFont val="Calibri Light"/>
        <family val="2"/>
        <scheme val="major"/>
      </rPr>
      <t>Apr.</t>
    </r>
  </si>
  <si>
    <t>Var. %</t>
  </si>
  <si>
    <r>
      <t>VARIACIÓN RESPECTO AL MES ANTERIOR /</t>
    </r>
    <r>
      <rPr>
        <i/>
        <sz val="10"/>
        <color rgb="FF000000"/>
        <rFont val="Calibri Light"/>
        <family val="2"/>
        <scheme val="major"/>
      </rPr>
      <t xml:space="preserve"> </t>
    </r>
    <r>
      <rPr>
        <i/>
        <sz val="8"/>
        <color rgb="FF000000"/>
        <rFont val="Calibri Light"/>
        <family val="2"/>
        <scheme val="major"/>
      </rPr>
      <t>VARIATION COMPARED TO THE PREVIOUS MONTH</t>
    </r>
  </si>
  <si>
    <r>
      <t xml:space="preserve">EVOLUCIÓN ANUAL DE LA PRODUCCIÓN DE COBRE / </t>
    </r>
    <r>
      <rPr>
        <i/>
        <sz val="8"/>
        <color rgb="FF000000"/>
        <rFont val="Calibri Light"/>
        <family val="2"/>
        <scheme val="major"/>
      </rPr>
      <t>ANNUAL EVOLUTION OF COPPER PRODUCTION</t>
    </r>
    <r>
      <rPr>
        <b/>
        <sz val="10"/>
        <color indexed="8"/>
        <rFont val="Calibri Light"/>
        <family val="2"/>
        <scheme val="major"/>
      </rPr>
      <t xml:space="preserve">
(MILES DE TMF) / </t>
    </r>
    <r>
      <rPr>
        <i/>
        <sz val="8"/>
        <color rgb="FF000000"/>
        <rFont val="Calibri Light"/>
        <family val="2"/>
        <scheme val="major"/>
      </rPr>
      <t>Thousands of FMT</t>
    </r>
  </si>
  <si>
    <t>CUADRO N° 02: PRODUCCIÓN MINERA METÁLICA SEGÚN EMPRESA</t>
  </si>
  <si>
    <t>METALLIC MINING PRODUCTION BY COMPANY</t>
  </si>
  <si>
    <r>
      <t xml:space="preserve">PRODUCTO / EMPRESA
</t>
    </r>
    <r>
      <rPr>
        <i/>
        <sz val="8"/>
        <color theme="1"/>
        <rFont val="Calibri Light"/>
        <family val="2"/>
        <scheme val="major"/>
      </rPr>
      <t>PRODUCT / COMPANY</t>
    </r>
  </si>
  <si>
    <t>Part. %</t>
  </si>
  <si>
    <r>
      <rPr>
        <b/>
        <sz val="10"/>
        <color theme="1"/>
        <rFont val="Calibri Light"/>
        <family val="2"/>
        <scheme val="major"/>
      </rPr>
      <t>COBRE (TMF)</t>
    </r>
    <r>
      <rPr>
        <sz val="10"/>
        <color theme="1"/>
        <rFont val="Calibri Light"/>
        <family val="2"/>
        <scheme val="major"/>
      </rPr>
      <t xml:space="preserve"> / </t>
    </r>
    <r>
      <rPr>
        <i/>
        <sz val="9"/>
        <color theme="1"/>
        <rFont val="Calibri Light"/>
        <family val="2"/>
        <scheme val="major"/>
      </rPr>
      <t>Copper (FTM)</t>
    </r>
  </si>
  <si>
    <t>COMPAÑIA MINERA ANTAMINA S.A.</t>
  </si>
  <si>
    <t>MINERA LAS BAMBAS S.A.</t>
  </si>
  <si>
    <t>SOCIEDAD MINERA CERRO VERDE S.A.A.</t>
  </si>
  <si>
    <t>SOUTHERN PERU COPPER CORPORATION SUCURSAL DEL PERU</t>
  </si>
  <si>
    <t>ANGLO AMERICAN QUELLAVECO S.A.</t>
  </si>
  <si>
    <t>MINERA CHINALCO PERU S.A.</t>
  </si>
  <si>
    <t>MARCOBRE S.A.C.</t>
  </si>
  <si>
    <t>COMPAÑIA MINERA ANTAPACCAY S.A.</t>
  </si>
  <si>
    <t>HUDBAY PERU S.A.C.</t>
  </si>
  <si>
    <t>SOCIEDAD MINERA EL BROCAL S.A.A.</t>
  </si>
  <si>
    <r>
      <rPr>
        <b/>
        <sz val="11"/>
        <color theme="1"/>
        <rFont val="Calibri Light"/>
        <family val="2"/>
        <scheme val="major"/>
      </rPr>
      <t>ORO** (g finos)</t>
    </r>
    <r>
      <rPr>
        <sz val="11"/>
        <color theme="1"/>
        <rFont val="Calibri Light"/>
        <family val="2"/>
        <scheme val="major"/>
      </rPr>
      <t xml:space="preserve"> / </t>
    </r>
    <r>
      <rPr>
        <i/>
        <sz val="9"/>
        <color theme="1"/>
        <rFont val="Calibri Light"/>
        <family val="2"/>
        <scheme val="major"/>
      </rPr>
      <t>Gold (fg)</t>
    </r>
  </si>
  <si>
    <t>MINERA YANACOCHA S.R.L.</t>
  </si>
  <si>
    <t>-</t>
  </si>
  <si>
    <t>MINERA AURIFERA RETAMAS S.A.</t>
  </si>
  <si>
    <t>MINERA BOROO MISQUICHILCA S.A.</t>
  </si>
  <si>
    <t>MINERA VETA DORADA S.A.C.</t>
  </si>
  <si>
    <t>COMPAÑIA MINERA ARES S.A.C.</t>
  </si>
  <si>
    <t>PALTARUMI S.A.C.</t>
  </si>
  <si>
    <t>SHAHUINDO S.A.C.</t>
  </si>
  <si>
    <t>CONSORCIO MINERO HORIZONTE S.R.L.</t>
  </si>
  <si>
    <t>SUMMA GOLD CORPORATION S.A.C.</t>
  </si>
  <si>
    <r>
      <t xml:space="preserve">ZINC (TMF) / </t>
    </r>
    <r>
      <rPr>
        <i/>
        <sz val="9"/>
        <color theme="1"/>
        <rFont val="Calibri Light"/>
        <family val="2"/>
        <scheme val="major"/>
      </rPr>
      <t>Zinc (FTM)</t>
    </r>
  </si>
  <si>
    <t>VOLCAN COMPAÑIA MINERA S.A.A.</t>
  </si>
  <si>
    <t>NEXA RESOURCES PERU S.A.A.</t>
  </si>
  <si>
    <t>MINERA SHOUXIN PERU S.A.</t>
  </si>
  <si>
    <t>COMPAÑIA MINERA RAURA S.A.</t>
  </si>
  <si>
    <t>CATALINA HUANCA SOCIEDAD MINERA S.A.C.</t>
  </si>
  <si>
    <t>EMPRESA MINERA LOS QUENUALES S.A.C.</t>
  </si>
  <si>
    <t>NEXA RESOURCES EL PORVENIR S.A.C.</t>
  </si>
  <si>
    <t>COMPAÑIA MINERA CHUNGAR S.A.C.</t>
  </si>
  <si>
    <r>
      <t>PLATA (kg finos) /</t>
    </r>
    <r>
      <rPr>
        <i/>
        <sz val="9"/>
        <color theme="1"/>
        <rFont val="Calibri Light"/>
        <family val="2"/>
        <scheme val="major"/>
      </rPr>
      <t xml:space="preserve"> Silver (fkg)</t>
    </r>
  </si>
  <si>
    <t>COMPAÑIA DE MINAS BUENAVENTURA S.A.A.</t>
  </si>
  <si>
    <t>EMPRESA ADMINISTRADORA CERRO S.A.C.</t>
  </si>
  <si>
    <r>
      <t xml:space="preserve">PLOMO (TMF) / </t>
    </r>
    <r>
      <rPr>
        <i/>
        <sz val="9"/>
        <color theme="1"/>
        <rFont val="Calibri Light"/>
        <family val="2"/>
        <scheme val="major"/>
      </rPr>
      <t>Lead (FTM)</t>
    </r>
  </si>
  <si>
    <t>COMPAÑIA MINERA KOLPA S.A.</t>
  </si>
  <si>
    <t>MINERA BATEAS S.A.C.</t>
  </si>
  <si>
    <t>NEXA RESOURCES ATACOCHA S.A.A.</t>
  </si>
  <si>
    <t>PAN AMERICAN SILVER HUARON S.A.</t>
  </si>
  <si>
    <t>SOBREANDES S.A.C.</t>
  </si>
  <si>
    <r>
      <t xml:space="preserve">HIERRO (TMF) / </t>
    </r>
    <r>
      <rPr>
        <i/>
        <sz val="9"/>
        <color theme="1"/>
        <rFont val="Calibri Light"/>
        <family val="2"/>
        <scheme val="major"/>
      </rPr>
      <t>Iron (FTM)</t>
    </r>
  </si>
  <si>
    <t>SHOUGANG HIERRO PERU S.A.A.</t>
  </si>
  <si>
    <r>
      <t xml:space="preserve">ESTAÑO (TMF) / </t>
    </r>
    <r>
      <rPr>
        <i/>
        <sz val="9"/>
        <color theme="1"/>
        <rFont val="Calibri Light"/>
        <family val="2"/>
        <scheme val="major"/>
      </rPr>
      <t>Tin (FTM)</t>
    </r>
  </si>
  <si>
    <t>MINSUR S.A.</t>
  </si>
  <si>
    <r>
      <t xml:space="preserve">MOLIBDENO (TMF) / </t>
    </r>
    <r>
      <rPr>
        <i/>
        <sz val="9"/>
        <color theme="1"/>
        <rFont val="Calibri Light"/>
        <family val="2"/>
        <scheme val="major"/>
      </rPr>
      <t>Molybdenum (FTM)</t>
    </r>
  </si>
  <si>
    <t>OTROS (2025: 3 titulares mineros, 2026: 3 titulares mineros)</t>
  </si>
  <si>
    <r>
      <t>ARSÉNICO (TMF) /</t>
    </r>
    <r>
      <rPr>
        <i/>
        <sz val="9"/>
        <color theme="1"/>
        <rFont val="Calibri Light"/>
        <family val="2"/>
        <scheme val="major"/>
      </rPr>
      <t xml:space="preserve"> Arsenic (FTM)</t>
    </r>
  </si>
  <si>
    <t>COMPAÑIA MINERA LINCUNA S.A.</t>
  </si>
  <si>
    <t>CMC CRITICAL MINERALS CORPORATION S.A.C.</t>
  </si>
  <si>
    <t>SOCIEDAD MINERA ANDEREAL S.A.C.</t>
  </si>
  <si>
    <t>GLORE PERU S.A.C</t>
  </si>
  <si>
    <r>
      <t xml:space="preserve">BISMUTO (TMF) / </t>
    </r>
    <r>
      <rPr>
        <i/>
        <sz val="9"/>
        <color theme="1"/>
        <rFont val="Calibri Light"/>
        <family val="2"/>
        <scheme val="major"/>
      </rPr>
      <t>Bismuth (FTM)</t>
    </r>
  </si>
  <si>
    <t>NORCOBRE S.A.C.</t>
  </si>
  <si>
    <r>
      <t>CADMIO (TMF) /</t>
    </r>
    <r>
      <rPr>
        <i/>
        <sz val="9"/>
        <color theme="1"/>
        <rFont val="Calibri Light"/>
        <family val="2"/>
        <scheme val="major"/>
      </rPr>
      <t xml:space="preserve"> Cadmium (FTM)</t>
    </r>
  </si>
  <si>
    <r>
      <t xml:space="preserve">MANGANESO (TMF) / </t>
    </r>
    <r>
      <rPr>
        <i/>
        <sz val="9"/>
        <color theme="1"/>
        <rFont val="Calibri Light"/>
        <family val="2"/>
        <scheme val="major"/>
      </rPr>
      <t>Manganese (FTM)</t>
    </r>
  </si>
  <si>
    <r>
      <t>MAGNESIO (TMF) /</t>
    </r>
    <r>
      <rPr>
        <i/>
        <sz val="9"/>
        <color theme="1"/>
        <rFont val="Calibri Light"/>
        <family val="2"/>
        <scheme val="major"/>
      </rPr>
      <t xml:space="preserve"> Magnesium (FTM)</t>
    </r>
  </si>
  <si>
    <t>CUADRO N° 03: PRODUCCIÓN MINERA METÁLICA SEGÚN DEPARTAMENTO</t>
  </si>
  <si>
    <t>METALLIC MINING PRODUCTION BY REGION</t>
  </si>
  <si>
    <r>
      <t xml:space="preserve">PRODUCTO / DEPARTAMENTO
</t>
    </r>
    <r>
      <rPr>
        <i/>
        <sz val="8"/>
        <color theme="1"/>
        <rFont val="Calibri Light"/>
        <family val="2"/>
        <scheme val="major"/>
      </rPr>
      <t>PRODUCT / REGION</t>
    </r>
  </si>
  <si>
    <r>
      <t>COBRE (TMF) /</t>
    </r>
    <r>
      <rPr>
        <i/>
        <sz val="9"/>
        <rFont val="Calibri Light"/>
        <family val="2"/>
        <scheme val="major"/>
      </rPr>
      <t xml:space="preserve"> Copper (FTM)</t>
    </r>
  </si>
  <si>
    <t>ÁNCASH</t>
  </si>
  <si>
    <t>MOQUEGUA</t>
  </si>
  <si>
    <t>APURÍMAC</t>
  </si>
  <si>
    <t>AREQUIPA</t>
  </si>
  <si>
    <t>JUNÍN</t>
  </si>
  <si>
    <t>TACNA</t>
  </si>
  <si>
    <t>CUSCO</t>
  </si>
  <si>
    <t>ICA</t>
  </si>
  <si>
    <t>PASCO</t>
  </si>
  <si>
    <t>LIMA</t>
  </si>
  <si>
    <t>CAJAMARCA</t>
  </si>
  <si>
    <t>HUANCAVELICA</t>
  </si>
  <si>
    <t>HUÁNUCO</t>
  </si>
  <si>
    <t>PUNO</t>
  </si>
  <si>
    <t>AYACUCHO</t>
  </si>
  <si>
    <r>
      <t>ORO* (G FINOS) /</t>
    </r>
    <r>
      <rPr>
        <i/>
        <sz val="8"/>
        <rFont val="Calibri Light"/>
        <family val="2"/>
        <scheme val="major"/>
      </rPr>
      <t xml:space="preserve"> Gold (fg)</t>
    </r>
  </si>
  <si>
    <t>LA LIBERTAD</t>
  </si>
  <si>
    <t>MADRE DE DIOS</t>
  </si>
  <si>
    <t>PIURA</t>
  </si>
  <si>
    <r>
      <t>ZINC (TMF) /</t>
    </r>
    <r>
      <rPr>
        <i/>
        <sz val="8"/>
        <rFont val="Calibri Light"/>
        <family val="2"/>
        <scheme val="major"/>
      </rPr>
      <t xml:space="preserve"> Zinc (FTM)</t>
    </r>
  </si>
  <si>
    <r>
      <t>PLATA (KG FINOS) /</t>
    </r>
    <r>
      <rPr>
        <i/>
        <sz val="8"/>
        <rFont val="Calibri Light"/>
        <family val="2"/>
        <scheme val="major"/>
      </rPr>
      <t xml:space="preserve"> Silver (fkg)</t>
    </r>
  </si>
  <si>
    <r>
      <t>PLOMO (TMF) /</t>
    </r>
    <r>
      <rPr>
        <i/>
        <sz val="8"/>
        <rFont val="Calibri Light"/>
        <family val="2"/>
        <scheme val="major"/>
      </rPr>
      <t xml:space="preserve"> Lead (FTM)</t>
    </r>
  </si>
  <si>
    <r>
      <t>HIERRO (TMF) /</t>
    </r>
    <r>
      <rPr>
        <i/>
        <sz val="8"/>
        <rFont val="Calibri Light"/>
        <family val="2"/>
        <scheme val="major"/>
      </rPr>
      <t xml:space="preserve"> Iron (FTM)</t>
    </r>
  </si>
  <si>
    <r>
      <t xml:space="preserve">ESTAÑO (TMF) / </t>
    </r>
    <r>
      <rPr>
        <i/>
        <sz val="8"/>
        <rFont val="Calibri Light"/>
        <family val="2"/>
        <scheme val="major"/>
      </rPr>
      <t>Tin (FTM)</t>
    </r>
  </si>
  <si>
    <r>
      <t>MOLIBDENO (TMF) /</t>
    </r>
    <r>
      <rPr>
        <i/>
        <sz val="8"/>
        <rFont val="Calibri Light"/>
        <family val="2"/>
        <scheme val="major"/>
      </rPr>
      <t xml:space="preserve"> Molybdenum (FTM)</t>
    </r>
  </si>
  <si>
    <r>
      <t>ARSÉNICO (TMF) /</t>
    </r>
    <r>
      <rPr>
        <i/>
        <sz val="8"/>
        <rFont val="Calibri Light"/>
        <family val="2"/>
        <scheme val="major"/>
      </rPr>
      <t xml:space="preserve"> Arsenic (FTM)</t>
    </r>
  </si>
  <si>
    <r>
      <t>BISMUTO (TMF) /</t>
    </r>
    <r>
      <rPr>
        <i/>
        <sz val="8"/>
        <rFont val="Calibri Light"/>
        <family val="2"/>
        <scheme val="major"/>
      </rPr>
      <t xml:space="preserve"> Bismuth (FTM)</t>
    </r>
  </si>
  <si>
    <r>
      <t>CADMIO (TMF) /</t>
    </r>
    <r>
      <rPr>
        <i/>
        <sz val="8"/>
        <rFont val="Calibri Light"/>
        <family val="2"/>
        <scheme val="major"/>
      </rPr>
      <t xml:space="preserve"> Cadmium (FTM)</t>
    </r>
  </si>
  <si>
    <r>
      <t>MANGANESO (TMF) /</t>
    </r>
    <r>
      <rPr>
        <i/>
        <sz val="8"/>
        <rFont val="Calibri Light"/>
        <family val="2"/>
        <scheme val="major"/>
      </rPr>
      <t xml:space="preserve"> Manganese (FTM)</t>
    </r>
  </si>
  <si>
    <r>
      <t>MAGNESIO (TMF) /</t>
    </r>
    <r>
      <rPr>
        <sz val="8"/>
        <rFont val="Calibri Light"/>
        <family val="2"/>
        <scheme val="major"/>
      </rPr>
      <t xml:space="preserve"> Magnesium (FTM)</t>
    </r>
  </si>
  <si>
    <t>OTROS (2025: 32 titulares mineros, 2026: 31 titulares mineros)</t>
  </si>
  <si>
    <t>OTROS (2025: 82 titulares mineros, 2026: 78 titulares mineros)</t>
  </si>
  <si>
    <t>EL PACIFICO DORADO S.A.C.</t>
  </si>
  <si>
    <r>
      <t xml:space="preserve">Jul. 2026
</t>
    </r>
    <r>
      <rPr>
        <i/>
        <sz val="8"/>
        <color rgb="FF000000"/>
        <rFont val="Calibri Light"/>
        <family val="2"/>
      </rPr>
      <t>(Jul. 2026)</t>
    </r>
  </si>
  <si>
    <r>
      <t>May. /</t>
    </r>
    <r>
      <rPr>
        <i/>
        <sz val="10"/>
        <color rgb="FF000000"/>
        <rFont val="Calibri Light"/>
        <family val="2"/>
      </rPr>
      <t>May.</t>
    </r>
  </si>
  <si>
    <r>
      <t xml:space="preserve">Jun. / </t>
    </r>
    <r>
      <rPr>
        <i/>
        <sz val="10"/>
        <color rgb="FF000000"/>
        <rFont val="Calibri Light"/>
        <family val="2"/>
      </rPr>
      <t>Jun.</t>
    </r>
  </si>
  <si>
    <r>
      <t xml:space="preserve">Jul. / </t>
    </r>
    <r>
      <rPr>
        <i/>
        <sz val="10"/>
        <color rgb="FF000000"/>
        <rFont val="Calibri Light"/>
        <family val="2"/>
      </rPr>
      <t>Jul.</t>
    </r>
  </si>
  <si>
    <r>
      <t>Ago. / Aug</t>
    </r>
    <r>
      <rPr>
        <i/>
        <sz val="10"/>
        <color rgb="FF000000"/>
        <rFont val="Calibri Light"/>
        <family val="2"/>
      </rPr>
      <t>.</t>
    </r>
  </si>
  <si>
    <r>
      <t xml:space="preserve">2026
(Ene-Ago)
</t>
    </r>
    <r>
      <rPr>
        <i/>
        <sz val="8"/>
        <color rgb="FF000000"/>
        <rFont val="Calibri Light"/>
        <family val="2"/>
      </rPr>
      <t>(Jan-Aug)</t>
    </r>
  </si>
  <si>
    <r>
      <t xml:space="preserve">VARIACIÓN INTERANUAL, AGOSTO / </t>
    </r>
    <r>
      <rPr>
        <i/>
        <sz val="8"/>
        <color rgb="FF000000"/>
        <rFont val="Calibri Light"/>
        <family val="2"/>
      </rPr>
      <t>YEAR-OVER-YEAR VARIATION, AUGUST</t>
    </r>
  </si>
  <si>
    <r>
      <t xml:space="preserve">Ago. 2025
</t>
    </r>
    <r>
      <rPr>
        <i/>
        <sz val="8"/>
        <color rgb="FF000000"/>
        <rFont val="Calibri Light"/>
        <family val="2"/>
      </rPr>
      <t>(Aug. 2025)</t>
    </r>
  </si>
  <si>
    <r>
      <t xml:space="preserve">Ago. 2026
</t>
    </r>
    <r>
      <rPr>
        <i/>
        <sz val="8"/>
        <color rgb="FF000000"/>
        <rFont val="Calibri Light"/>
        <family val="2"/>
      </rPr>
      <t>(Aug. 2026)</t>
    </r>
  </si>
  <si>
    <r>
      <t xml:space="preserve">VARIACIÓN INTERANUAL ACUMULADA ENERO-AGOSTO/ </t>
    </r>
    <r>
      <rPr>
        <i/>
        <sz val="8"/>
        <color rgb="FF000000"/>
        <rFont val="Calibri Light"/>
        <family val="2"/>
      </rPr>
      <t>CUMULATIVE YEAR-OVER-YEAR VARIATION, JANUARY–AUGUST</t>
    </r>
  </si>
  <si>
    <r>
      <t xml:space="preserve">Ene-Ago 2025
</t>
    </r>
    <r>
      <rPr>
        <i/>
        <sz val="8"/>
        <color theme="1"/>
        <rFont val="Calibri Light"/>
        <family val="2"/>
      </rPr>
      <t>(Jan-Aug. 2025)</t>
    </r>
  </si>
  <si>
    <r>
      <t xml:space="preserve">Ene-Ago 2026
</t>
    </r>
    <r>
      <rPr>
        <i/>
        <sz val="8"/>
        <color theme="1"/>
        <rFont val="Calibri Light"/>
        <family val="2"/>
      </rPr>
      <t>(Jan-Aug. 2026)</t>
    </r>
  </si>
  <si>
    <r>
      <rPr>
        <u/>
        <sz val="10"/>
        <color rgb="FF000000"/>
        <rFont val="Calibri Light"/>
        <family val="2"/>
      </rPr>
      <t>Fuente</t>
    </r>
    <r>
      <rPr>
        <sz val="10"/>
        <color rgb="FF000000"/>
        <rFont val="Calibri Light"/>
        <family val="2"/>
      </rPr>
      <t xml:space="preserve">:  Dirección de Gestión Minera, DGM. / </t>
    </r>
    <r>
      <rPr>
        <i/>
        <u/>
        <sz val="10"/>
        <color rgb="FF000000"/>
        <rFont val="Calibri Light"/>
        <family val="2"/>
      </rPr>
      <t>Source</t>
    </r>
    <r>
      <rPr>
        <i/>
        <sz val="10"/>
        <color rgb="FF000000"/>
        <rFont val="Calibri Light"/>
        <family val="2"/>
      </rPr>
      <t>: General Directorate of Mining, DGM.</t>
    </r>
    <r>
      <rPr>
        <sz val="10"/>
        <color rgb="FF000000"/>
        <rFont val="Calibri Light"/>
        <family val="2"/>
      </rPr>
      <t xml:space="preserve">
</t>
    </r>
    <r>
      <rPr>
        <u/>
        <sz val="10"/>
        <color rgb="FF000000"/>
        <rFont val="Calibri Light"/>
        <family val="2"/>
      </rPr>
      <t>Fecha de consulta</t>
    </r>
    <r>
      <rPr>
        <sz val="10"/>
        <color rgb="FF000000"/>
        <rFont val="Calibri Light"/>
        <family val="2"/>
      </rPr>
      <t>: 24 de setiembre de 2026. /</t>
    </r>
    <r>
      <rPr>
        <i/>
        <sz val="10"/>
        <color rgb="FF000000"/>
        <rFont val="Calibri Light"/>
        <family val="2"/>
      </rPr>
      <t xml:space="preserve"> </t>
    </r>
    <r>
      <rPr>
        <i/>
        <u/>
        <sz val="10"/>
        <color rgb="FF000000"/>
        <rFont val="Calibri Light"/>
        <family val="2"/>
      </rPr>
      <t>Date of consultation</t>
    </r>
    <r>
      <rPr>
        <i/>
        <sz val="10"/>
        <color rgb="FF000000"/>
        <rFont val="Calibri Light"/>
        <family val="2"/>
      </rPr>
      <t>: September 24, 2026.</t>
    </r>
    <r>
      <rPr>
        <sz val="10"/>
        <color rgb="FF000000"/>
        <rFont val="Calibri Light"/>
        <family val="2"/>
      </rPr>
      <t xml:space="preserve">
</t>
    </r>
    <r>
      <rPr>
        <u/>
        <sz val="10"/>
        <color rgb="FF000000"/>
        <rFont val="Calibri Light"/>
        <family val="2"/>
      </rPr>
      <t>Elaboración</t>
    </r>
    <r>
      <rPr>
        <sz val="10"/>
        <color rgb="FF000000"/>
        <rFont val="Calibri Light"/>
        <family val="2"/>
      </rPr>
      <t xml:space="preserve">: Dirección General de Promoción y Sostenibilidad Minera, DGPSM. / </t>
    </r>
    <r>
      <rPr>
        <i/>
        <u/>
        <sz val="10"/>
        <color rgb="FF000000"/>
        <rFont val="Calibri Light"/>
        <family val="2"/>
      </rPr>
      <t>Prepared by</t>
    </r>
    <r>
      <rPr>
        <i/>
        <sz val="10"/>
        <color rgb="FF000000"/>
        <rFont val="Calibri Light"/>
        <family val="2"/>
      </rPr>
      <t xml:space="preserve">: General Directorate of Mining Promotion and Sustainability, DGPSM.
(*) Información preliminar. Incluye producción aurífera estimada de mineros artesanales de Madre de Dios, Puno, Piura y Arequipa. / (*) Preliminary information. Includes estimated gold production from artisanal miners in Madre de Dios, Puno, Piura, and Arequipa.
</t>
    </r>
    <r>
      <rPr>
        <sz val="10"/>
        <color rgb="FF000000"/>
        <rFont val="Calibri Light"/>
        <family val="2"/>
      </rPr>
      <t xml:space="preserve">N/D: Información no disponible / </t>
    </r>
    <r>
      <rPr>
        <i/>
        <sz val="10"/>
        <color rgb="FF000000"/>
        <rFont val="Calibri Light"/>
        <family val="2"/>
      </rPr>
      <t>N/A: Information not available.</t>
    </r>
  </si>
  <si>
    <r>
      <rPr>
        <u/>
        <sz val="10"/>
        <color theme="1"/>
        <rFont val="Calibri Light"/>
        <family val="2"/>
      </rPr>
      <t>Fuente</t>
    </r>
    <r>
      <rPr>
        <sz val="10"/>
        <color theme="1"/>
        <rFont val="Calibri Light"/>
        <family val="2"/>
      </rPr>
      <t xml:space="preserve">:  Dirección de Gestión Minera, DGM. / </t>
    </r>
    <r>
      <rPr>
        <i/>
        <u/>
        <sz val="10"/>
        <color theme="1"/>
        <rFont val="Calibri Light"/>
        <family val="2"/>
      </rPr>
      <t>Source</t>
    </r>
    <r>
      <rPr>
        <i/>
        <sz val="10"/>
        <color theme="1"/>
        <rFont val="Calibri Light"/>
        <family val="2"/>
      </rPr>
      <t>: Mining Management Directorate, MMD.</t>
    </r>
    <r>
      <rPr>
        <sz val="10"/>
        <color theme="1"/>
        <rFont val="Calibri Light"/>
        <family val="2"/>
      </rPr>
      <t xml:space="preserve">
</t>
    </r>
    <r>
      <rPr>
        <u/>
        <sz val="10"/>
        <color theme="1"/>
        <rFont val="Calibri Light"/>
        <family val="2"/>
      </rPr>
      <t>Fecha de consulta</t>
    </r>
    <r>
      <rPr>
        <sz val="10"/>
        <color theme="1"/>
        <rFont val="Calibri Light"/>
        <family val="2"/>
      </rPr>
      <t xml:space="preserve">: 24 de setiembre de 2026. / </t>
    </r>
    <r>
      <rPr>
        <i/>
        <u/>
        <sz val="10"/>
        <color theme="1"/>
        <rFont val="Calibri Light"/>
        <family val="2"/>
      </rPr>
      <t>Date of consultation</t>
    </r>
    <r>
      <rPr>
        <i/>
        <sz val="10"/>
        <color theme="1"/>
        <rFont val="Calibri Light"/>
        <family val="2"/>
      </rPr>
      <t>: September 24, 2026.</t>
    </r>
    <r>
      <rPr>
        <sz val="10"/>
        <color theme="1"/>
        <rFont val="Calibri Light"/>
        <family val="2"/>
      </rPr>
      <t xml:space="preserve">
</t>
    </r>
    <r>
      <rPr>
        <u/>
        <sz val="10"/>
        <color theme="1"/>
        <rFont val="Calibri Light"/>
        <family val="2"/>
      </rPr>
      <t>Elaboración</t>
    </r>
    <r>
      <rPr>
        <sz val="10"/>
        <color theme="1"/>
        <rFont val="Calibri Light"/>
        <family val="2"/>
      </rPr>
      <t xml:space="preserve">: Dirección General de Promoción y Sostenibilidad Minera, DGPSM. / </t>
    </r>
    <r>
      <rPr>
        <i/>
        <u/>
        <sz val="10"/>
        <color theme="1"/>
        <rFont val="Calibri Light"/>
        <family val="2"/>
      </rPr>
      <t>Prepared by</t>
    </r>
    <r>
      <rPr>
        <i/>
        <sz val="10"/>
        <color theme="1"/>
        <rFont val="Calibri Light"/>
        <family val="2"/>
      </rPr>
      <t>: General Directorate of Mining Promotion and Sustainability, GDPMS.</t>
    </r>
    <r>
      <rPr>
        <sz val="10"/>
        <color theme="1"/>
        <rFont val="Calibri Light"/>
        <family val="2"/>
      </rPr>
      <t xml:space="preserve">
(*) Información preliminar. Incluye producción aurífera estimada de mineros artesanales de Madre de Dios, Puno, Piura y Arequipa. / </t>
    </r>
    <r>
      <rPr>
        <i/>
        <sz val="10"/>
        <color theme="1"/>
        <rFont val="Calibri Light"/>
        <family val="2"/>
      </rPr>
      <t>(*) Preliminary information. Includes estimated gold production from artisanal miners in Madre de Dios, Puno, Piura, and Arequipa.</t>
    </r>
  </si>
  <si>
    <r>
      <t xml:space="preserve">ENERO - AGOSTO
</t>
    </r>
    <r>
      <rPr>
        <i/>
        <sz val="8"/>
        <color theme="1"/>
        <rFont val="Calibri Light"/>
        <family val="2"/>
      </rPr>
      <t>January - August</t>
    </r>
  </si>
  <si>
    <r>
      <t xml:space="preserve">AGOSTO
</t>
    </r>
    <r>
      <rPr>
        <sz val="10"/>
        <color theme="1"/>
        <rFont val="Calibri Light"/>
        <family val="2"/>
      </rPr>
      <t>August</t>
    </r>
  </si>
  <si>
    <t>OTROS (2025: 47 titulares mineros, 2026: 46 titulares mineros)</t>
  </si>
  <si>
    <t>COMPAÑIA MINERA PODEROSA S.A.A.</t>
  </si>
  <si>
    <t>OTROS (2025: 279 titulares mineros, 2026: 296 titulares mineros)</t>
  </si>
  <si>
    <r>
      <rPr>
        <u/>
        <sz val="10"/>
        <color theme="1"/>
        <rFont val="Calibri Light"/>
        <family val="2"/>
      </rPr>
      <t>Fuente</t>
    </r>
    <r>
      <rPr>
        <sz val="10"/>
        <color theme="1"/>
        <rFont val="Calibri Light"/>
        <family val="2"/>
      </rPr>
      <t xml:space="preserve">:  Dirección de Gestión Minera, DGM / </t>
    </r>
    <r>
      <rPr>
        <i/>
        <u/>
        <sz val="10"/>
        <color theme="1"/>
        <rFont val="Calibri Light"/>
        <family val="2"/>
      </rPr>
      <t>Source</t>
    </r>
    <r>
      <rPr>
        <i/>
        <sz val="10"/>
        <color theme="1"/>
        <rFont val="Calibri Light"/>
        <family val="2"/>
      </rPr>
      <t>: General Directorate of Mining, DGM.</t>
    </r>
    <r>
      <rPr>
        <sz val="10"/>
        <color theme="1"/>
        <rFont val="Calibri Light"/>
        <family val="2"/>
      </rPr>
      <t xml:space="preserve">
</t>
    </r>
    <r>
      <rPr>
        <u/>
        <sz val="10"/>
        <color theme="1"/>
        <rFont val="Calibri Light"/>
        <family val="2"/>
      </rPr>
      <t>Fecha de consulta</t>
    </r>
    <r>
      <rPr>
        <sz val="10"/>
        <color theme="1"/>
        <rFont val="Calibri Light"/>
        <family val="2"/>
      </rPr>
      <t>: 24 de setiembre de 2026. /</t>
    </r>
    <r>
      <rPr>
        <i/>
        <sz val="10"/>
        <color theme="1"/>
        <rFont val="Calibri Light"/>
        <family val="2"/>
      </rPr>
      <t xml:space="preserve"> </t>
    </r>
    <r>
      <rPr>
        <i/>
        <u/>
        <sz val="10"/>
        <color theme="1"/>
        <rFont val="Calibri Light"/>
        <family val="2"/>
      </rPr>
      <t>Date of consultation</t>
    </r>
    <r>
      <rPr>
        <i/>
        <sz val="10"/>
        <color theme="1"/>
        <rFont val="Calibri Light"/>
        <family val="2"/>
      </rPr>
      <t>: September 24, 2026.</t>
    </r>
    <r>
      <rPr>
        <sz val="10"/>
        <color theme="1"/>
        <rFont val="Calibri Light"/>
        <family val="2"/>
      </rPr>
      <t xml:space="preserve">
</t>
    </r>
    <r>
      <rPr>
        <u/>
        <sz val="10"/>
        <color theme="1"/>
        <rFont val="Calibri Light"/>
        <family val="2"/>
      </rPr>
      <t>Elaboración</t>
    </r>
    <r>
      <rPr>
        <sz val="10"/>
        <color theme="1"/>
        <rFont val="Calibri Light"/>
        <family val="2"/>
      </rPr>
      <t xml:space="preserve">: Dirección de Promoción y Sostenibilidad Minera, DGPSM. / </t>
    </r>
    <r>
      <rPr>
        <i/>
        <u/>
        <sz val="10"/>
        <color theme="1"/>
        <rFont val="Calibri Light"/>
        <family val="2"/>
      </rPr>
      <t>Prepared by</t>
    </r>
    <r>
      <rPr>
        <i/>
        <sz val="10"/>
        <color theme="1"/>
        <rFont val="Calibri Light"/>
        <family val="2"/>
      </rPr>
      <t>: General Directorate of Mining Promotion and Sustainability, DGPSM.</t>
    </r>
    <r>
      <rPr>
        <sz val="10"/>
        <color theme="1"/>
        <rFont val="Calibri Light"/>
        <family val="2"/>
      </rPr>
      <t xml:space="preserve">
(*)Incluye producción cuprífera por proceso de flotación (TMF), lixiviación y electro-obtención (TM). / </t>
    </r>
    <r>
      <rPr>
        <i/>
        <sz val="10"/>
        <color theme="1"/>
        <rFont val="Calibri Light"/>
        <family val="2"/>
      </rPr>
      <t>(*) Includes copper production through flotation process (FMT), leaching, and electrowinning (MT).</t>
    </r>
    <r>
      <rPr>
        <sz val="10"/>
        <color theme="1"/>
        <rFont val="Calibri Light"/>
        <family val="2"/>
      </rPr>
      <t xml:space="preserve">
(**) Información preliminar. Incluye producción aurífera estimada de mineros artesanales de Madre de Dios, Puno, Piura y Arequipa. / </t>
    </r>
    <r>
      <rPr>
        <i/>
        <sz val="10"/>
        <color theme="1"/>
        <rFont val="Calibri Light"/>
        <family val="2"/>
      </rPr>
      <t>(**) Preliminary information. Includes estimated gold production from artisanal miners in Madre de Dios, Puno, Piura, and Arequipa.</t>
    </r>
  </si>
  <si>
    <t>OTROS** (2025: 2 departamentos, 2026: 3 departamentos)</t>
  </si>
  <si>
    <r>
      <rPr>
        <u/>
        <sz val="10"/>
        <color theme="1"/>
        <rFont val="Calibri Light"/>
        <family val="2"/>
      </rPr>
      <t>Fuente</t>
    </r>
    <r>
      <rPr>
        <sz val="10"/>
        <color theme="1"/>
        <rFont val="Calibri Light"/>
        <family val="2"/>
      </rPr>
      <t xml:space="preserve">:  Dirección de Gestión Minera, DGM / </t>
    </r>
    <r>
      <rPr>
        <i/>
        <u/>
        <sz val="10"/>
        <color theme="1"/>
        <rFont val="Calibri Light"/>
        <family val="2"/>
      </rPr>
      <t>Source</t>
    </r>
    <r>
      <rPr>
        <i/>
        <sz val="10"/>
        <color theme="1"/>
        <rFont val="Calibri Light"/>
        <family val="2"/>
      </rPr>
      <t>: General Directorate of Mining, DGM.</t>
    </r>
    <r>
      <rPr>
        <sz val="10"/>
        <color theme="1"/>
        <rFont val="Calibri Light"/>
        <family val="2"/>
      </rPr>
      <t xml:space="preserve">
</t>
    </r>
    <r>
      <rPr>
        <u/>
        <sz val="10"/>
        <color theme="1"/>
        <rFont val="Calibri Light"/>
        <family val="2"/>
      </rPr>
      <t>Fecha de consulta</t>
    </r>
    <r>
      <rPr>
        <sz val="10"/>
        <color theme="1"/>
        <rFont val="Calibri Light"/>
        <family val="2"/>
      </rPr>
      <t xml:space="preserve">: 24 de setiembre de 2026. / </t>
    </r>
    <r>
      <rPr>
        <i/>
        <u/>
        <sz val="10"/>
        <color theme="1"/>
        <rFont val="Calibri Light"/>
        <family val="2"/>
      </rPr>
      <t>Date of consultation</t>
    </r>
    <r>
      <rPr>
        <i/>
        <sz val="10"/>
        <color theme="1"/>
        <rFont val="Calibri Light"/>
        <family val="2"/>
      </rPr>
      <t>: September 24, 2026.</t>
    </r>
    <r>
      <rPr>
        <sz val="10"/>
        <color theme="1"/>
        <rFont val="Calibri Light"/>
        <family val="2"/>
      </rPr>
      <t xml:space="preserve">
</t>
    </r>
    <r>
      <rPr>
        <u/>
        <sz val="10"/>
        <color theme="1"/>
        <rFont val="Calibri Light"/>
        <family val="2"/>
      </rPr>
      <t>Elaboración</t>
    </r>
    <r>
      <rPr>
        <sz val="10"/>
        <color theme="1"/>
        <rFont val="Calibri Light"/>
        <family val="2"/>
      </rPr>
      <t xml:space="preserve">: Dirección de Promoción y Sostenibilidad Minera, DGPSM. / </t>
    </r>
    <r>
      <rPr>
        <i/>
        <u/>
        <sz val="10"/>
        <color theme="1"/>
        <rFont val="Calibri Light"/>
        <family val="2"/>
      </rPr>
      <t>Prepared by</t>
    </r>
    <r>
      <rPr>
        <i/>
        <sz val="10"/>
        <color theme="1"/>
        <rFont val="Calibri Light"/>
        <family val="2"/>
      </rPr>
      <t>: General Directorate of Mining Promotion and Sustainability, DGPSM.</t>
    </r>
    <r>
      <rPr>
        <sz val="10"/>
        <color theme="1"/>
        <rFont val="Calibri Light"/>
        <family val="2"/>
      </rPr>
      <t xml:space="preserve">
(*) Información preliminar. Incluye producción aurífera estimada de mineros artesanales de Madre de Dios, Puno, Piura y Arequipa. /</t>
    </r>
    <r>
      <rPr>
        <i/>
        <sz val="10"/>
        <color theme="1"/>
        <rFont val="Calibri Light"/>
        <family val="2"/>
      </rPr>
      <t xml:space="preserve"> (*) Preliminary information. Includes estimated gold production from artisanal miners in Madre de Dios, Puno, Piura, and Arequipa.
(**) Contempla la producción metálica de molibdeno de los departamentos de Apurímac, Cusc</t>
    </r>
    <r>
      <rPr>
        <sz val="10"/>
        <color theme="1"/>
        <rFont val="Calibri Light"/>
        <family val="2"/>
      </rPr>
      <t>o y Junín (el titular Minera Chinalco Perú S.A. es el único que reporta molibdeno como subproducto dentro del proceso de flotación en planta para la obtención de cobre como su producto principal. Es importante mencionar que, para efectos estadísticos se está contemplando tanto la producción de producto principal como subproducto; no obstante, se precisa que Minera Chinalco Perú S.A no produce ni comercializa molibdeno). /</t>
    </r>
    <r>
      <rPr>
        <i/>
        <sz val="10"/>
        <color theme="1"/>
        <rFont val="Calibri Light"/>
        <family val="2"/>
      </rPr>
      <t xml:space="preserve"> It considers the metallic molybdenum production from the departments of Apurímac, Cusco, and Junín (the titleholder Minera Chinalco Perú S.A. is the only company reporting molybdenum as a byproduct within the flotation plant process for obtaining copper as its main product. It is important to mention that, for statistical purposes, both main product and byproduct production are taken into account; however, it should be noted that Minera Chinalco Perú S.A. neither produces nor markets molybdenum).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</si>
</sst>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_-* #,##0_-;\-* #,##0_-;_-* &quot;-&quot;??_-;_-@_-"/>
    <numFmt numFmtId="166" formatCode="0.0%"/>
    <numFmt numFmtId="167" formatCode="_ * #,##0.00_ ;_ * \-#,##0.00_ ;_ * &quot;-&quot;??_ ;_ @_ "/>
    <numFmt numFmtId="168" formatCode="_ * #,##0_ ;_ * \-#,##0_ ;_ * &quot;-&quot;??_ ;_ @_ "/>
    <numFmt numFmtId="169" formatCode="0.000%"/>
  </numFmts>
  <fonts count="45" x14ac:knownFonts="1">
    <font>
      <sz val="11"/>
      <color theme="1"/>
      <name val="Calibri"/>
    </font>
    <font>
      <sz val="11"/>
      <color theme="1"/>
      <name val="Calibri"/>
      <family val="2"/>
    </font>
    <font>
      <sz val="11"/>
      <color rgb="FF000000"/>
      <name val="Calibri"/>
      <family val="2"/>
    </font>
    <font>
      <b/>
      <sz val="12"/>
      <color rgb="FF000000"/>
      <name val="Calibri Light"/>
      <family val="2"/>
    </font>
    <font>
      <sz val="10"/>
      <color theme="1"/>
      <name val="Calibri Light"/>
      <family val="2"/>
    </font>
    <font>
      <i/>
      <sz val="9"/>
      <color rgb="FF000000"/>
      <name val="Calibri Light"/>
      <family val="2"/>
    </font>
    <font>
      <b/>
      <sz val="10"/>
      <color rgb="FF000000"/>
      <name val="Calibri Light"/>
      <family val="2"/>
    </font>
    <font>
      <sz val="10"/>
      <color rgb="FF000000"/>
      <name val="Calibri Light"/>
      <family val="2"/>
    </font>
    <font>
      <b/>
      <sz val="16"/>
      <color rgb="FF000000"/>
      <name val="Calibri Light"/>
      <family val="2"/>
    </font>
    <font>
      <sz val="10"/>
      <color theme="0"/>
      <name val="Calibri Light"/>
      <family val="2"/>
    </font>
    <font>
      <i/>
      <sz val="9"/>
      <color theme="1"/>
      <name val="Calibri Light"/>
      <family val="2"/>
    </font>
    <font>
      <b/>
      <sz val="10"/>
      <color theme="1"/>
      <name val="Calibri Light"/>
      <family val="2"/>
    </font>
    <font>
      <i/>
      <sz val="10"/>
      <color rgb="FF000000"/>
      <name val="Calibri Light"/>
      <family val="2"/>
    </font>
    <font>
      <sz val="10"/>
      <name val="Calibri Light"/>
      <family val="2"/>
    </font>
    <font>
      <b/>
      <sz val="10"/>
      <name val="Calibri Light"/>
      <family val="2"/>
    </font>
    <font>
      <sz val="9"/>
      <color theme="1"/>
      <name val="Calibri"/>
      <family val="2"/>
    </font>
    <font>
      <sz val="11"/>
      <color theme="0"/>
      <name val="Calibri Light"/>
      <family val="2"/>
    </font>
    <font>
      <sz val="11"/>
      <color theme="1"/>
      <name val="Calibri Light"/>
      <family val="2"/>
    </font>
    <font>
      <b/>
      <sz val="10"/>
      <color indexed="8"/>
      <name val="Calibri Light"/>
      <family val="2"/>
    </font>
    <font>
      <b/>
      <sz val="12"/>
      <color theme="1"/>
      <name val="Calibri Light"/>
      <family val="2"/>
    </font>
    <font>
      <b/>
      <i/>
      <sz val="10"/>
      <color theme="0" tint="-0.49995422223578601"/>
      <name val="Calibri Light"/>
      <family val="2"/>
    </font>
    <font>
      <b/>
      <sz val="11"/>
      <color theme="1"/>
      <name val="Calibri Light"/>
      <family val="2"/>
    </font>
    <font>
      <b/>
      <sz val="12"/>
      <name val="Calibri Light"/>
      <family val="2"/>
    </font>
    <font>
      <i/>
      <sz val="9"/>
      <name val="Calibri Light"/>
      <family val="2"/>
    </font>
    <font>
      <i/>
      <sz val="10"/>
      <color theme="1"/>
      <name val="Calibri Light"/>
      <family val="2"/>
      <scheme val="major"/>
    </font>
    <font>
      <i/>
      <sz val="8"/>
      <color rgb="FF000000"/>
      <name val="Calibri Light"/>
      <family val="2"/>
      <scheme val="major"/>
    </font>
    <font>
      <i/>
      <sz val="10"/>
      <color rgb="FF000000"/>
      <name val="Calibri Light"/>
      <family val="2"/>
      <scheme val="major"/>
    </font>
    <font>
      <b/>
      <sz val="10"/>
      <color indexed="8"/>
      <name val="Calibri Light"/>
      <family val="2"/>
      <scheme val="major"/>
    </font>
    <font>
      <i/>
      <sz val="8"/>
      <color theme="1"/>
      <name val="Calibri Light"/>
      <family val="2"/>
      <scheme val="major"/>
    </font>
    <font>
      <b/>
      <sz val="10"/>
      <color theme="1"/>
      <name val="Calibri Light"/>
      <family val="2"/>
      <scheme val="major"/>
    </font>
    <font>
      <sz val="10"/>
      <color theme="1"/>
      <name val="Calibri Light"/>
      <family val="2"/>
      <scheme val="major"/>
    </font>
    <font>
      <i/>
      <sz val="9"/>
      <color theme="1"/>
      <name val="Calibri Light"/>
      <family val="2"/>
      <scheme val="major"/>
    </font>
    <font>
      <b/>
      <sz val="11"/>
      <color theme="1"/>
      <name val="Calibri Light"/>
      <family val="2"/>
      <scheme val="major"/>
    </font>
    <font>
      <sz val="11"/>
      <color theme="1"/>
      <name val="Calibri Light"/>
      <family val="2"/>
      <scheme val="major"/>
    </font>
    <font>
      <i/>
      <sz val="9"/>
      <name val="Calibri Light"/>
      <family val="2"/>
      <scheme val="major"/>
    </font>
    <font>
      <i/>
      <sz val="8"/>
      <name val="Calibri Light"/>
      <family val="2"/>
      <scheme val="major"/>
    </font>
    <font>
      <sz val="8"/>
      <name val="Calibri Light"/>
      <family val="2"/>
      <scheme val="major"/>
    </font>
    <font>
      <i/>
      <sz val="10"/>
      <color theme="1"/>
      <name val="Calibri Light"/>
      <family val="2"/>
    </font>
    <font>
      <u/>
      <sz val="10"/>
      <color theme="1"/>
      <name val="Calibri Light"/>
      <family val="2"/>
    </font>
    <font>
      <i/>
      <u/>
      <sz val="10"/>
      <color theme="1"/>
      <name val="Calibri Light"/>
      <family val="2"/>
    </font>
    <font>
      <sz val="10"/>
      <color rgb="FF000000"/>
      <name val="Calibri Light"/>
      <family val="2"/>
    </font>
    <font>
      <i/>
      <sz val="8"/>
      <color rgb="FF000000"/>
      <name val="Calibri Light"/>
      <family val="2"/>
    </font>
    <font>
      <i/>
      <sz val="8"/>
      <color theme="1"/>
      <name val="Calibri Light"/>
      <family val="2"/>
    </font>
    <font>
      <u/>
      <sz val="10"/>
      <color rgb="FF000000"/>
      <name val="Calibri Light"/>
      <family val="2"/>
    </font>
    <font>
      <i/>
      <u/>
      <sz val="10"/>
      <color rgb="FF000000"/>
      <name val="Calibri Light"/>
      <family val="2"/>
    </font>
  </fonts>
  <fills count="10">
    <fill>
      <patternFill patternType="none"/>
    </fill>
    <fill>
      <patternFill patternType="gray125"/>
    </fill>
    <fill>
      <patternFill patternType="solid">
        <fgColor rgb="FFFFFFFF"/>
      </patternFill>
    </fill>
    <fill>
      <patternFill patternType="solid">
        <fgColor theme="0"/>
      </patternFill>
    </fill>
    <fill>
      <patternFill patternType="solid">
        <fgColor theme="2" tint="-9.9978637043366805E-2"/>
        <bgColor indexed="65"/>
      </patternFill>
    </fill>
    <fill>
      <patternFill patternType="solid">
        <fgColor rgb="FFF2F2F2"/>
      </patternFill>
    </fill>
    <fill>
      <patternFill patternType="solid">
        <fgColor rgb="FFD9D9D9"/>
      </patternFill>
    </fill>
    <fill>
      <patternFill patternType="solid">
        <fgColor theme="0" tint="-0.14999847407452621"/>
        <bgColor indexed="65"/>
      </patternFill>
    </fill>
    <fill>
      <patternFill patternType="solid">
        <fgColor theme="0" tint="-0.14999847407452621"/>
        <bgColor indexed="65"/>
      </patternFill>
    </fill>
    <fill>
      <patternFill patternType="solid">
        <fgColor rgb="FFD0CECE"/>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15" fillId="3" borderId="0">
      <alignment horizontal="left"/>
    </xf>
    <xf numFmtId="167" fontId="1" fillId="0" borderId="0" applyFont="0" applyFill="0" applyBorder="0" applyAlignment="0" applyProtection="0"/>
  </cellStyleXfs>
  <cellXfs count="253">
    <xf numFmtId="0" fontId="0" fillId="0" borderId="0" xfId="0"/>
    <xf numFmtId="0" fontId="3" fillId="2" borderId="0" xfId="3" applyFont="1" applyFill="1" applyAlignment="1">
      <alignment vertical="center"/>
    </xf>
    <xf numFmtId="0" fontId="4" fillId="3" borderId="0" xfId="0" applyFont="1" applyFill="1" applyAlignment="1">
      <alignment vertical="center"/>
    </xf>
    <xf numFmtId="0" fontId="6" fillId="2" borderId="0" xfId="3" applyFont="1" applyFill="1" applyAlignment="1">
      <alignment horizontal="center" vertical="center"/>
    </xf>
    <xf numFmtId="0" fontId="6" fillId="2" borderId="0" xfId="3" applyFont="1" applyFill="1" applyAlignment="1">
      <alignment vertical="center"/>
    </xf>
    <xf numFmtId="0" fontId="7" fillId="2" borderId="0" xfId="3" applyFont="1" applyFill="1" applyAlignment="1">
      <alignment horizontal="center" vertical="center"/>
    </xf>
    <xf numFmtId="0" fontId="7" fillId="0" borderId="0" xfId="3" applyFont="1" applyAlignment="1">
      <alignment horizontal="center" vertical="center"/>
    </xf>
    <xf numFmtId="0" fontId="8" fillId="0" borderId="0" xfId="3" applyFont="1" applyAlignment="1">
      <alignment horizontal="center" vertical="center"/>
    </xf>
    <xf numFmtId="0" fontId="9" fillId="3" borderId="0" xfId="0" applyFont="1" applyFill="1" applyAlignment="1">
      <alignment vertical="center"/>
    </xf>
    <xf numFmtId="0" fontId="3" fillId="2" borderId="0" xfId="3" applyFont="1" applyFill="1" applyAlignment="1">
      <alignment horizontal="left" vertical="center" wrapText="1"/>
    </xf>
    <xf numFmtId="0" fontId="10" fillId="0" borderId="0" xfId="0" applyFont="1" applyAlignment="1">
      <alignment vertical="center"/>
    </xf>
    <xf numFmtId="0" fontId="11" fillId="4" borderId="1" xfId="3" applyFont="1" applyFill="1" applyBorder="1" applyAlignment="1">
      <alignment horizontal="center" vertical="center" wrapText="1"/>
    </xf>
    <xf numFmtId="0" fontId="11" fillId="4" borderId="2" xfId="3" applyFont="1" applyFill="1" applyBorder="1" applyAlignment="1">
      <alignment horizontal="center" vertical="center" wrapText="1"/>
    </xf>
    <xf numFmtId="0" fontId="11" fillId="4" borderId="3" xfId="3" applyFont="1" applyFill="1" applyBorder="1" applyAlignment="1">
      <alignment horizontal="center" vertical="center" wrapText="1"/>
    </xf>
    <xf numFmtId="0" fontId="9" fillId="3" borderId="0" xfId="0" applyFont="1" applyFill="1" applyAlignment="1">
      <alignment horizontal="center" vertical="center" wrapText="1"/>
    </xf>
    <xf numFmtId="0" fontId="4" fillId="3" borderId="0" xfId="0" applyFont="1" applyFill="1" applyAlignment="1">
      <alignment horizontal="center" vertical="center" wrapText="1"/>
    </xf>
    <xf numFmtId="0" fontId="7" fillId="0" borderId="4" xfId="3" applyFont="1" applyBorder="1" applyAlignment="1">
      <alignment horizontal="center" vertical="center"/>
    </xf>
    <xf numFmtId="0" fontId="7" fillId="0" borderId="5" xfId="3" applyFont="1" applyBorder="1" applyAlignment="1">
      <alignment horizontal="center" vertical="center" wrapText="1"/>
    </xf>
    <xf numFmtId="0" fontId="7" fillId="0" borderId="6" xfId="3" applyFont="1" applyBorder="1" applyAlignment="1">
      <alignment horizontal="center" vertical="center" wrapText="1"/>
    </xf>
    <xf numFmtId="0" fontId="7" fillId="0" borderId="7" xfId="3" applyFont="1" applyBorder="1" applyAlignment="1">
      <alignment horizontal="center" vertical="center"/>
    </xf>
    <xf numFmtId="3" fontId="7" fillId="0" borderId="0" xfId="3" applyNumberFormat="1" applyFont="1" applyAlignment="1">
      <alignment horizontal="center" vertical="center"/>
    </xf>
    <xf numFmtId="3" fontId="7" fillId="0" borderId="8" xfId="3" applyNumberFormat="1" applyFont="1" applyBorder="1" applyAlignment="1">
      <alignment horizontal="center" vertical="center"/>
    </xf>
    <xf numFmtId="3" fontId="9" fillId="0" borderId="0" xfId="3" applyNumberFormat="1" applyFont="1" applyAlignment="1">
      <alignment horizontal="center" vertical="center"/>
    </xf>
    <xf numFmtId="43" fontId="4" fillId="3" borderId="0" xfId="1" applyFont="1" applyFill="1" applyAlignment="1">
      <alignment vertical="center"/>
    </xf>
    <xf numFmtId="3" fontId="4" fillId="3" borderId="0" xfId="0" applyNumberFormat="1" applyFont="1" applyFill="1" applyAlignment="1">
      <alignment vertical="center"/>
    </xf>
    <xf numFmtId="3" fontId="6" fillId="4" borderId="10" xfId="3" applyNumberFormat="1" applyFont="1" applyFill="1" applyBorder="1" applyAlignment="1">
      <alignment horizontal="center" vertical="center"/>
    </xf>
    <xf numFmtId="3" fontId="9" fillId="2" borderId="0" xfId="3" applyNumberFormat="1" applyFont="1" applyFill="1" applyAlignment="1">
      <alignment horizontal="center" vertical="center"/>
    </xf>
    <xf numFmtId="165" fontId="4" fillId="3" borderId="0" xfId="1" applyNumberFormat="1" applyFont="1" applyFill="1" applyAlignment="1">
      <alignment vertical="center"/>
    </xf>
    <xf numFmtId="2" fontId="7" fillId="0" borderId="7" xfId="3" applyNumberFormat="1" applyFont="1" applyBorder="1" applyAlignment="1">
      <alignment horizontal="center" vertical="center"/>
    </xf>
    <xf numFmtId="3" fontId="7" fillId="2" borderId="0" xfId="3" applyNumberFormat="1" applyFont="1" applyFill="1" applyAlignment="1">
      <alignment horizontal="center" vertical="center"/>
    </xf>
    <xf numFmtId="164" fontId="7" fillId="2" borderId="8" xfId="3" applyNumberFormat="1" applyFont="1" applyFill="1" applyBorder="1" applyAlignment="1">
      <alignment horizontal="center" vertical="center"/>
    </xf>
    <xf numFmtId="2" fontId="7" fillId="2" borderId="7" xfId="3" applyNumberFormat="1" applyFont="1" applyFill="1" applyBorder="1" applyAlignment="1">
      <alignment horizontal="left" vertical="center"/>
    </xf>
    <xf numFmtId="0" fontId="6" fillId="5" borderId="9" xfId="3" applyFont="1" applyFill="1" applyBorder="1" applyAlignment="1">
      <alignment horizontal="left" vertical="center"/>
    </xf>
    <xf numFmtId="0" fontId="7" fillId="5" borderId="10" xfId="3" applyFont="1" applyFill="1" applyBorder="1" applyAlignment="1">
      <alignment horizontal="center" vertical="center"/>
    </xf>
    <xf numFmtId="3" fontId="7" fillId="5" borderId="10" xfId="3" applyNumberFormat="1" applyFont="1" applyFill="1" applyBorder="1" applyAlignment="1">
      <alignment horizontal="center" vertical="center"/>
    </xf>
    <xf numFmtId="0" fontId="7" fillId="5" borderId="11" xfId="3" applyFont="1" applyFill="1" applyBorder="1" applyAlignment="1">
      <alignment horizontal="center" vertical="center"/>
    </xf>
    <xf numFmtId="0" fontId="4" fillId="3" borderId="0" xfId="0" applyFont="1" applyFill="1" applyAlignment="1">
      <alignment horizontal="left" vertical="center"/>
    </xf>
    <xf numFmtId="3" fontId="9" fillId="3" borderId="0" xfId="0" applyNumberFormat="1" applyFont="1" applyFill="1" applyAlignment="1">
      <alignment vertical="center"/>
    </xf>
    <xf numFmtId="0" fontId="6" fillId="6" borderId="9" xfId="3" applyFont="1" applyFill="1" applyBorder="1" applyAlignment="1">
      <alignment horizontal="center" vertical="center"/>
    </xf>
    <xf numFmtId="166" fontId="6" fillId="6" borderId="10" xfId="3" applyNumberFormat="1" applyFont="1" applyFill="1" applyBorder="1" applyAlignment="1">
      <alignment horizontal="center" vertical="center"/>
    </xf>
    <xf numFmtId="166" fontId="14" fillId="6" borderId="10" xfId="3" applyNumberFormat="1" applyFont="1" applyFill="1" applyBorder="1" applyAlignment="1">
      <alignment horizontal="center" vertical="center"/>
    </xf>
    <xf numFmtId="166" fontId="6" fillId="6" borderId="11" xfId="3" applyNumberFormat="1" applyFont="1" applyFill="1" applyBorder="1" applyAlignment="1">
      <alignment horizontal="center" vertical="center"/>
    </xf>
    <xf numFmtId="0" fontId="14" fillId="7" borderId="9" xfId="4" applyFont="1" applyFill="1" applyBorder="1" applyAlignment="1">
      <alignment horizontal="center" vertical="center"/>
    </xf>
    <xf numFmtId="166" fontId="14" fillId="8" borderId="10" xfId="3" applyNumberFormat="1" applyFont="1" applyFill="1" applyBorder="1" applyAlignment="1">
      <alignment horizontal="center" vertical="center"/>
    </xf>
    <xf numFmtId="166" fontId="6" fillId="8" borderId="10" xfId="3" applyNumberFormat="1" applyFont="1" applyFill="1" applyBorder="1" applyAlignment="1">
      <alignment horizontal="center" vertical="center"/>
    </xf>
    <xf numFmtId="166" fontId="6" fillId="8" borderId="11" xfId="3" applyNumberFormat="1" applyFont="1" applyFill="1" applyBorder="1" applyAlignment="1">
      <alignment horizontal="center" vertical="center"/>
    </xf>
    <xf numFmtId="3" fontId="13" fillId="3" borderId="0" xfId="4" applyNumberFormat="1" applyFont="1" applyAlignment="1">
      <alignment horizontal="center" vertical="center"/>
    </xf>
    <xf numFmtId="0" fontId="6" fillId="8" borderId="9" xfId="3" applyFont="1" applyFill="1" applyBorder="1" applyAlignment="1">
      <alignment horizontal="center" vertical="center"/>
    </xf>
    <xf numFmtId="0" fontId="6" fillId="2" borderId="1" xfId="3" applyFont="1" applyFill="1" applyBorder="1" applyAlignment="1">
      <alignment horizontal="left" vertical="center"/>
    </xf>
    <xf numFmtId="10" fontId="6" fillId="2" borderId="2" xfId="3" applyNumberFormat="1" applyFont="1" applyFill="1" applyBorder="1" applyAlignment="1">
      <alignment horizontal="center" vertical="center"/>
    </xf>
    <xf numFmtId="10" fontId="14" fillId="2" borderId="2" xfId="3" applyNumberFormat="1" applyFont="1" applyFill="1" applyBorder="1" applyAlignment="1">
      <alignment horizontal="center" vertical="center"/>
    </xf>
    <xf numFmtId="10" fontId="6" fillId="2" borderId="3" xfId="3" applyNumberFormat="1" applyFont="1" applyFill="1" applyBorder="1" applyAlignment="1">
      <alignment horizontal="center" vertical="center"/>
    </xf>
    <xf numFmtId="0" fontId="16" fillId="0" borderId="0" xfId="0" applyFont="1" applyAlignment="1">
      <alignment vertical="center"/>
    </xf>
    <xf numFmtId="0" fontId="17" fillId="0" borderId="0" xfId="0" applyFont="1" applyAlignment="1">
      <alignment vertical="center"/>
    </xf>
    <xf numFmtId="0" fontId="4" fillId="3" borderId="5" xfId="0" applyFont="1" applyFill="1" applyBorder="1" applyAlignment="1">
      <alignment vertical="center"/>
    </xf>
    <xf numFmtId="10" fontId="17" fillId="0" borderId="0" xfId="0" applyNumberFormat="1" applyFont="1" applyAlignment="1">
      <alignment horizontal="center" vertical="center"/>
    </xf>
    <xf numFmtId="0" fontId="17" fillId="0" borderId="0" xfId="0" applyFont="1" applyAlignment="1">
      <alignment horizontal="center" vertical="center"/>
    </xf>
    <xf numFmtId="0" fontId="19" fillId="3" borderId="0" xfId="0" applyFont="1" applyFill="1" applyAlignment="1">
      <alignment horizontal="left" vertical="center"/>
    </xf>
    <xf numFmtId="168" fontId="4" fillId="3" borderId="0" xfId="5" applyNumberFormat="1" applyFont="1" applyFill="1" applyAlignment="1">
      <alignment horizontal="center" vertical="center"/>
    </xf>
    <xf numFmtId="10" fontId="4" fillId="3" borderId="0" xfId="2" applyNumberFormat="1" applyFont="1" applyFill="1" applyAlignment="1">
      <alignment horizontal="center" vertical="center"/>
    </xf>
    <xf numFmtId="0" fontId="10" fillId="3" borderId="0" xfId="4" applyFont="1" applyAlignment="1">
      <alignment horizontal="left" vertical="center"/>
    </xf>
    <xf numFmtId="168" fontId="20" fillId="3" borderId="0" xfId="5" applyNumberFormat="1" applyFont="1" applyFill="1" applyAlignment="1">
      <alignment horizontal="center" vertical="center"/>
    </xf>
    <xf numFmtId="10" fontId="20" fillId="3" borderId="0" xfId="2" applyNumberFormat="1" applyFont="1" applyFill="1" applyAlignment="1">
      <alignment horizontal="center" vertical="center"/>
    </xf>
    <xf numFmtId="0" fontId="4" fillId="3" borderId="0" xfId="4" applyFont="1" applyAlignment="1">
      <alignment horizontal="left" vertical="center"/>
    </xf>
    <xf numFmtId="0" fontId="11" fillId="4" borderId="12" xfId="4" applyFont="1" applyFill="1" applyBorder="1" applyAlignment="1">
      <alignment horizontal="left" vertical="center" wrapText="1"/>
    </xf>
    <xf numFmtId="0" fontId="17" fillId="4" borderId="12" xfId="0" applyFont="1" applyFill="1" applyBorder="1" applyAlignment="1">
      <alignment vertical="center"/>
    </xf>
    <xf numFmtId="0" fontId="4" fillId="0" borderId="14" xfId="4" applyFont="1" applyFill="1" applyBorder="1" applyAlignment="1">
      <alignment horizontal="left" vertical="center"/>
    </xf>
    <xf numFmtId="0" fontId="13" fillId="0" borderId="15" xfId="4" applyFont="1" applyFill="1" applyBorder="1" applyAlignment="1">
      <alignment horizontal="left" vertical="center"/>
    </xf>
    <xf numFmtId="0" fontId="21" fillId="4" borderId="12" xfId="0" applyFont="1" applyFill="1" applyBorder="1" applyAlignment="1">
      <alignment vertical="center"/>
    </xf>
    <xf numFmtId="0" fontId="4" fillId="0" borderId="15" xfId="4" applyFont="1" applyFill="1" applyBorder="1" applyAlignment="1">
      <alignment horizontal="left" vertical="center"/>
    </xf>
    <xf numFmtId="0" fontId="4" fillId="0" borderId="13" xfId="4" applyFont="1" applyFill="1" applyBorder="1" applyAlignment="1">
      <alignment horizontal="left" vertical="center"/>
    </xf>
    <xf numFmtId="0" fontId="21" fillId="9" borderId="12" xfId="0" applyFont="1" applyFill="1" applyBorder="1" applyAlignment="1">
      <alignment vertical="center"/>
    </xf>
    <xf numFmtId="0" fontId="5" fillId="2" borderId="0" xfId="3" applyFont="1" applyFill="1" applyAlignment="1">
      <alignment vertical="center"/>
    </xf>
    <xf numFmtId="0" fontId="22" fillId="3" borderId="0" xfId="0" applyFont="1" applyFill="1" applyAlignment="1">
      <alignment horizontal="left" vertical="center"/>
    </xf>
    <xf numFmtId="166" fontId="13" fillId="3" borderId="0" xfId="2" applyNumberFormat="1" applyFont="1" applyFill="1" applyAlignment="1">
      <alignment horizontal="center" vertical="center"/>
    </xf>
    <xf numFmtId="0" fontId="23" fillId="3" borderId="0" xfId="4" applyFont="1" applyAlignment="1">
      <alignment horizontal="left" vertical="center"/>
    </xf>
    <xf numFmtId="168" fontId="13" fillId="3" borderId="0" xfId="5" applyNumberFormat="1" applyFont="1" applyFill="1" applyAlignment="1">
      <alignment horizontal="center" vertical="center"/>
    </xf>
    <xf numFmtId="0" fontId="9" fillId="3" borderId="0" xfId="4" applyFont="1" applyAlignment="1">
      <alignment horizontal="left" vertical="center"/>
    </xf>
    <xf numFmtId="0" fontId="11" fillId="4" borderId="9" xfId="4" applyFont="1" applyFill="1" applyBorder="1" applyAlignment="1">
      <alignment horizontal="left" vertical="center" wrapText="1"/>
    </xf>
    <xf numFmtId="0" fontId="14" fillId="4" borderId="12" xfId="4" applyFont="1" applyFill="1" applyBorder="1" applyAlignment="1">
      <alignment horizontal="left" vertical="center"/>
    </xf>
    <xf numFmtId="0" fontId="13" fillId="3" borderId="14" xfId="4" applyFont="1" applyBorder="1" applyAlignment="1">
      <alignment horizontal="left" vertical="center"/>
    </xf>
    <xf numFmtId="0" fontId="13" fillId="0" borderId="14" xfId="5" applyNumberFormat="1" applyFont="1" applyFill="1" applyBorder="1" applyAlignment="1">
      <alignment horizontal="left" vertical="center"/>
    </xf>
    <xf numFmtId="0" fontId="13" fillId="0" borderId="14" xfId="4" applyFont="1" applyFill="1" applyBorder="1" applyAlignment="1">
      <alignment horizontal="left" vertical="center"/>
    </xf>
    <xf numFmtId="0" fontId="13" fillId="3" borderId="13" xfId="4" applyFont="1" applyBorder="1" applyAlignment="1">
      <alignment horizontal="left" vertical="center"/>
    </xf>
    <xf numFmtId="0" fontId="13" fillId="0" borderId="12" xfId="4" applyFont="1" applyFill="1" applyBorder="1" applyAlignment="1">
      <alignment horizontal="left" vertical="center"/>
    </xf>
    <xf numFmtId="0" fontId="4" fillId="0" borderId="9" xfId="4" applyFont="1" applyFill="1" applyBorder="1" applyAlignment="1">
      <alignment horizontal="left" vertical="center"/>
    </xf>
    <xf numFmtId="168" fontId="17" fillId="0" borderId="0" xfId="0" applyNumberFormat="1" applyFont="1" applyAlignment="1">
      <alignment vertical="center"/>
    </xf>
    <xf numFmtId="166" fontId="17" fillId="0" borderId="0" xfId="0" applyNumberFormat="1" applyFont="1" applyAlignment="1">
      <alignment horizontal="center" vertical="center"/>
    </xf>
    <xf numFmtId="0" fontId="11" fillId="4" borderId="10" xfId="5" applyNumberFormat="1" applyFont="1" applyFill="1" applyBorder="1" applyAlignment="1">
      <alignment horizontal="center" vertical="center"/>
    </xf>
    <xf numFmtId="0" fontId="11" fillId="4" borderId="9" xfId="5" applyNumberFormat="1" applyFont="1" applyFill="1" applyBorder="1" applyAlignment="1">
      <alignment horizontal="center" vertical="center"/>
    </xf>
    <xf numFmtId="3" fontId="11" fillId="4" borderId="10" xfId="5" applyNumberFormat="1" applyFont="1" applyFill="1" applyBorder="1" applyAlignment="1">
      <alignment horizontal="center" vertical="center"/>
    </xf>
    <xf numFmtId="3" fontId="4" fillId="3" borderId="1" xfId="5" applyNumberFormat="1" applyFont="1" applyFill="1" applyBorder="1" applyAlignment="1">
      <alignment horizontal="center" vertical="center"/>
    </xf>
    <xf numFmtId="3" fontId="4" fillId="3" borderId="2" xfId="5" applyNumberFormat="1" applyFont="1" applyFill="1" applyBorder="1" applyAlignment="1">
      <alignment horizontal="center" vertical="center"/>
    </xf>
    <xf numFmtId="3" fontId="4" fillId="3" borderId="7" xfId="5" applyNumberFormat="1" applyFont="1" applyFill="1" applyBorder="1" applyAlignment="1">
      <alignment horizontal="center" vertical="center"/>
    </xf>
    <xf numFmtId="3" fontId="4" fillId="3" borderId="0" xfId="5" applyNumberFormat="1" applyFont="1" applyFill="1" applyBorder="1" applyAlignment="1">
      <alignment horizontal="center" vertical="center"/>
    </xf>
    <xf numFmtId="3" fontId="4" fillId="0" borderId="7" xfId="5" applyNumberFormat="1" applyFont="1" applyFill="1" applyBorder="1" applyAlignment="1">
      <alignment horizontal="center" vertical="center"/>
    </xf>
    <xf numFmtId="3" fontId="4" fillId="0" borderId="0" xfId="5" applyNumberFormat="1" applyFont="1" applyFill="1" applyBorder="1" applyAlignment="1">
      <alignment horizontal="center" vertical="center"/>
    </xf>
    <xf numFmtId="3" fontId="4" fillId="0" borderId="4" xfId="5" applyNumberFormat="1" applyFont="1" applyFill="1" applyBorder="1" applyAlignment="1">
      <alignment horizontal="center" vertical="center"/>
    </xf>
    <xf numFmtId="3" fontId="4" fillId="0" borderId="5" xfId="5" applyNumberFormat="1" applyFont="1" applyFill="1" applyBorder="1" applyAlignment="1">
      <alignment horizontal="center" vertical="center"/>
    </xf>
    <xf numFmtId="3" fontId="11" fillId="4" borderId="9" xfId="5" applyNumberFormat="1" applyFont="1" applyFill="1" applyBorder="1" applyAlignment="1">
      <alignment horizontal="center" vertical="center"/>
    </xf>
    <xf numFmtId="166" fontId="11" fillId="4" borderId="11" xfId="2" applyNumberFormat="1" applyFont="1" applyFill="1" applyBorder="1" applyAlignment="1">
      <alignment horizontal="center" vertical="center"/>
    </xf>
    <xf numFmtId="166" fontId="11" fillId="4" borderId="12" xfId="2" applyNumberFormat="1" applyFont="1" applyFill="1" applyBorder="1" applyAlignment="1">
      <alignment horizontal="center" vertical="center"/>
    </xf>
    <xf numFmtId="166" fontId="4" fillId="3" borderId="3" xfId="2" applyNumberFormat="1" applyFont="1" applyFill="1" applyBorder="1" applyAlignment="1">
      <alignment horizontal="center" vertical="center"/>
    </xf>
    <xf numFmtId="166" fontId="4" fillId="3" borderId="0" xfId="2" applyNumberFormat="1" applyFont="1" applyFill="1" applyBorder="1" applyAlignment="1">
      <alignment horizontal="center" vertical="center"/>
    </xf>
    <xf numFmtId="166" fontId="4" fillId="3" borderId="13" xfId="2" applyNumberFormat="1" applyFont="1" applyFill="1" applyBorder="1" applyAlignment="1">
      <alignment horizontal="center" vertical="center"/>
    </xf>
    <xf numFmtId="166" fontId="4" fillId="3" borderId="8" xfId="2" applyNumberFormat="1" applyFont="1" applyFill="1" applyBorder="1" applyAlignment="1">
      <alignment horizontal="center" vertical="center"/>
    </xf>
    <xf numFmtId="166" fontId="4" fillId="3" borderId="14" xfId="2" applyNumberFormat="1" applyFont="1" applyFill="1" applyBorder="1" applyAlignment="1">
      <alignment horizontal="center" vertical="center"/>
    </xf>
    <xf numFmtId="166" fontId="4" fillId="3" borderId="6" xfId="2" applyNumberFormat="1" applyFont="1" applyFill="1" applyBorder="1" applyAlignment="1">
      <alignment horizontal="center" vertical="center"/>
    </xf>
    <xf numFmtId="166" fontId="4" fillId="3" borderId="15" xfId="2" applyNumberFormat="1" applyFont="1" applyFill="1" applyBorder="1" applyAlignment="1">
      <alignment horizontal="center" vertical="center"/>
    </xf>
    <xf numFmtId="166" fontId="4" fillId="0" borderId="6" xfId="2" applyNumberFormat="1" applyFont="1" applyFill="1" applyBorder="1" applyAlignment="1">
      <alignment horizontal="center" vertical="center"/>
    </xf>
    <xf numFmtId="3" fontId="4" fillId="0" borderId="1" xfId="5" applyNumberFormat="1" applyFont="1" applyFill="1" applyBorder="1" applyAlignment="1">
      <alignment horizontal="center" vertical="center"/>
    </xf>
    <xf numFmtId="3" fontId="4" fillId="0" borderId="2" xfId="5" applyNumberFormat="1" applyFont="1" applyFill="1" applyBorder="1" applyAlignment="1">
      <alignment horizontal="center" vertical="center"/>
    </xf>
    <xf numFmtId="166" fontId="4" fillId="0" borderId="3" xfId="2" applyNumberFormat="1" applyFont="1" applyFill="1" applyBorder="1" applyAlignment="1">
      <alignment horizontal="center" vertical="center"/>
    </xf>
    <xf numFmtId="166" fontId="4" fillId="0" borderId="13" xfId="2" applyNumberFormat="1" applyFont="1" applyFill="1" applyBorder="1" applyAlignment="1">
      <alignment horizontal="center" vertical="center"/>
    </xf>
    <xf numFmtId="166" fontId="4" fillId="0" borderId="8" xfId="2" applyNumberFormat="1" applyFont="1" applyFill="1" applyBorder="1" applyAlignment="1">
      <alignment horizontal="center" vertical="center"/>
    </xf>
    <xf numFmtId="166" fontId="4" fillId="0" borderId="14" xfId="2" applyNumberFormat="1" applyFont="1" applyFill="1" applyBorder="1" applyAlignment="1">
      <alignment horizontal="center" vertical="center"/>
    </xf>
    <xf numFmtId="166" fontId="4" fillId="0" borderId="15" xfId="2" applyNumberFormat="1" applyFont="1" applyFill="1" applyBorder="1" applyAlignment="1">
      <alignment horizontal="center" vertical="center"/>
    </xf>
    <xf numFmtId="3" fontId="4" fillId="3" borderId="4" xfId="5" applyNumberFormat="1" applyFont="1" applyFill="1" applyBorder="1" applyAlignment="1">
      <alignment horizontal="center" vertical="center"/>
    </xf>
    <xf numFmtId="3" fontId="4" fillId="3" borderId="5" xfId="5" applyNumberFormat="1" applyFont="1" applyFill="1" applyBorder="1" applyAlignment="1">
      <alignment horizontal="center" vertical="center"/>
    </xf>
    <xf numFmtId="3" fontId="4" fillId="3" borderId="10" xfId="5" applyNumberFormat="1" applyFont="1" applyFill="1" applyBorder="1" applyAlignment="1">
      <alignment horizontal="center" vertical="center"/>
    </xf>
    <xf numFmtId="166" fontId="4" fillId="3" borderId="11" xfId="2" applyNumberFormat="1" applyFont="1" applyFill="1" applyBorder="1" applyAlignment="1">
      <alignment horizontal="center" vertical="center"/>
    </xf>
    <xf numFmtId="3" fontId="4" fillId="0" borderId="7" xfId="5" applyNumberFormat="1" applyFont="1" applyBorder="1" applyAlignment="1">
      <alignment horizontal="center" vertical="center"/>
    </xf>
    <xf numFmtId="3" fontId="4" fillId="0" borderId="0" xfId="5" applyNumberFormat="1" applyFont="1" applyBorder="1" applyAlignment="1">
      <alignment horizontal="center" vertical="center"/>
    </xf>
    <xf numFmtId="3" fontId="13" fillId="0" borderId="7" xfId="5" applyNumberFormat="1" applyFont="1" applyFill="1" applyBorder="1" applyAlignment="1">
      <alignment horizontal="center" vertical="center"/>
    </xf>
    <xf numFmtId="3" fontId="4" fillId="3" borderId="1" xfId="2" applyNumberFormat="1" applyFont="1" applyFill="1" applyBorder="1" applyAlignment="1">
      <alignment horizontal="center" vertical="center"/>
    </xf>
    <xf numFmtId="3" fontId="4" fillId="3" borderId="0" xfId="2" applyNumberFormat="1" applyFont="1" applyFill="1" applyBorder="1" applyAlignment="1">
      <alignment horizontal="center" vertical="center"/>
    </xf>
    <xf numFmtId="166" fontId="4" fillId="3" borderId="2" xfId="2" applyNumberFormat="1" applyFont="1" applyFill="1" applyBorder="1" applyAlignment="1">
      <alignment horizontal="center" vertical="center"/>
    </xf>
    <xf numFmtId="3" fontId="4" fillId="3" borderId="7" xfId="2" applyNumberFormat="1" applyFont="1" applyFill="1" applyBorder="1" applyAlignment="1">
      <alignment horizontal="center" vertical="center"/>
    </xf>
    <xf numFmtId="3" fontId="4" fillId="3" borderId="2" xfId="2" applyNumberFormat="1" applyFont="1" applyFill="1" applyBorder="1" applyAlignment="1">
      <alignment horizontal="center" vertical="center"/>
    </xf>
    <xf numFmtId="10" fontId="11" fillId="4" borderId="11" xfId="2" applyNumberFormat="1" applyFont="1" applyFill="1" applyBorder="1" applyAlignment="1">
      <alignment horizontal="center" vertical="center"/>
    </xf>
    <xf numFmtId="10" fontId="11" fillId="4" borderId="12" xfId="2" applyNumberFormat="1" applyFont="1" applyFill="1" applyBorder="1" applyAlignment="1">
      <alignment horizontal="center" vertical="center"/>
    </xf>
    <xf numFmtId="3" fontId="4" fillId="3" borderId="7" xfId="1" applyNumberFormat="1" applyFont="1" applyFill="1" applyBorder="1" applyAlignment="1">
      <alignment horizontal="center" vertical="center"/>
    </xf>
    <xf numFmtId="3" fontId="14" fillId="4" borderId="10" xfId="5" applyNumberFormat="1" applyFont="1" applyFill="1" applyBorder="1" applyAlignment="1">
      <alignment horizontal="center" vertical="center"/>
    </xf>
    <xf numFmtId="3" fontId="13" fillId="3" borderId="0" xfId="5" applyNumberFormat="1" applyFont="1" applyFill="1" applyBorder="1" applyAlignment="1">
      <alignment horizontal="center" vertical="center"/>
    </xf>
    <xf numFmtId="3" fontId="13" fillId="0" borderId="0" xfId="5" applyNumberFormat="1" applyFont="1" applyFill="1" applyBorder="1" applyAlignment="1">
      <alignment horizontal="center" vertical="center"/>
    </xf>
    <xf numFmtId="3" fontId="13" fillId="0" borderId="5" xfId="5" applyNumberFormat="1" applyFont="1" applyFill="1" applyBorder="1" applyAlignment="1">
      <alignment horizontal="center" vertical="center"/>
    </xf>
    <xf numFmtId="3" fontId="14" fillId="4" borderId="9" xfId="5" applyNumberFormat="1" applyFont="1" applyFill="1" applyBorder="1" applyAlignment="1">
      <alignment horizontal="center" vertical="center"/>
    </xf>
    <xf numFmtId="3" fontId="13" fillId="3" borderId="0" xfId="5" applyNumberFormat="1" applyFont="1" applyFill="1" applyAlignment="1">
      <alignment horizontal="center" vertical="center"/>
    </xf>
    <xf numFmtId="3" fontId="13" fillId="0" borderId="0" xfId="5" applyNumberFormat="1" applyFont="1" applyFill="1" applyAlignment="1">
      <alignment horizontal="center" vertical="center"/>
    </xf>
    <xf numFmtId="3" fontId="13" fillId="0" borderId="0" xfId="1" applyNumberFormat="1" applyFont="1" applyFill="1" applyBorder="1" applyAlignment="1">
      <alignment horizontal="center" vertical="center"/>
    </xf>
    <xf numFmtId="3" fontId="13" fillId="3" borderId="1" xfId="5" applyNumberFormat="1" applyFont="1" applyFill="1" applyBorder="1" applyAlignment="1">
      <alignment horizontal="center" vertical="center"/>
    </xf>
    <xf numFmtId="3" fontId="13" fillId="3" borderId="2" xfId="5" applyNumberFormat="1" applyFont="1" applyFill="1" applyBorder="1" applyAlignment="1">
      <alignment horizontal="center" vertical="center"/>
    </xf>
    <xf numFmtId="3" fontId="13" fillId="3" borderId="7" xfId="5" applyNumberFormat="1" applyFont="1" applyFill="1" applyBorder="1" applyAlignment="1">
      <alignment horizontal="center" vertical="center"/>
    </xf>
    <xf numFmtId="3" fontId="13" fillId="0" borderId="7" xfId="1" applyNumberFormat="1" applyFont="1" applyFill="1" applyBorder="1" applyAlignment="1">
      <alignment horizontal="center" vertical="center"/>
    </xf>
    <xf numFmtId="3" fontId="13" fillId="0" borderId="0" xfId="1" applyNumberFormat="1" applyFont="1" applyFill="1" applyAlignment="1">
      <alignment horizontal="center" vertical="center"/>
    </xf>
    <xf numFmtId="3" fontId="13" fillId="0" borderId="9" xfId="5" applyNumberFormat="1" applyFont="1" applyFill="1" applyBorder="1" applyAlignment="1">
      <alignment horizontal="center" vertical="center"/>
    </xf>
    <xf numFmtId="3" fontId="13" fillId="0" borderId="10" xfId="5" applyNumberFormat="1" applyFont="1" applyFill="1" applyBorder="1" applyAlignment="1">
      <alignment horizontal="center" vertical="center"/>
    </xf>
    <xf numFmtId="3" fontId="13" fillId="3" borderId="4" xfId="5" applyNumberFormat="1" applyFont="1" applyFill="1" applyBorder="1" applyAlignment="1">
      <alignment horizontal="center" vertical="center"/>
    </xf>
    <xf numFmtId="3" fontId="13" fillId="3" borderId="5" xfId="5" applyNumberFormat="1" applyFont="1" applyFill="1" applyBorder="1" applyAlignment="1">
      <alignment horizontal="center" vertical="center"/>
    </xf>
    <xf numFmtId="3" fontId="13" fillId="3" borderId="0" xfId="1" applyNumberFormat="1" applyFont="1" applyFill="1" applyBorder="1" applyAlignment="1">
      <alignment horizontal="center" vertical="center"/>
    </xf>
    <xf numFmtId="3" fontId="13" fillId="3" borderId="9" xfId="5" applyNumberFormat="1" applyFont="1" applyFill="1" applyBorder="1" applyAlignment="1">
      <alignment horizontal="center" vertical="center"/>
    </xf>
    <xf numFmtId="3" fontId="13" fillId="3" borderId="10" xfId="5" applyNumberFormat="1" applyFont="1" applyFill="1" applyBorder="1" applyAlignment="1">
      <alignment horizontal="center" vertical="center"/>
    </xf>
    <xf numFmtId="10" fontId="11" fillId="4" borderId="10" xfId="2" applyNumberFormat="1" applyFont="1" applyFill="1" applyBorder="1" applyAlignment="1">
      <alignment horizontal="center" vertical="center"/>
    </xf>
    <xf numFmtId="166" fontId="14" fillId="4" borderId="10" xfId="2" applyNumberFormat="1" applyFont="1" applyFill="1" applyBorder="1" applyAlignment="1">
      <alignment horizontal="center" vertical="center"/>
    </xf>
    <xf numFmtId="166" fontId="13" fillId="3" borderId="0" xfId="2" applyNumberFormat="1" applyFont="1" applyFill="1" applyBorder="1" applyAlignment="1">
      <alignment horizontal="center" vertical="center"/>
    </xf>
    <xf numFmtId="166" fontId="14" fillId="4" borderId="11" xfId="2" applyNumberFormat="1" applyFont="1" applyFill="1" applyBorder="1" applyAlignment="1">
      <alignment horizontal="center" vertical="center"/>
    </xf>
    <xf numFmtId="166" fontId="13" fillId="3" borderId="3" xfId="2" applyNumberFormat="1" applyFont="1" applyFill="1" applyBorder="1" applyAlignment="1">
      <alignment horizontal="center" vertical="center"/>
    </xf>
    <xf numFmtId="166" fontId="13" fillId="3" borderId="8" xfId="2" applyNumberFormat="1" applyFont="1" applyFill="1" applyBorder="1" applyAlignment="1">
      <alignment horizontal="center" vertical="center"/>
    </xf>
    <xf numFmtId="166" fontId="13" fillId="3" borderId="11" xfId="2" applyNumberFormat="1" applyFont="1" applyFill="1" applyBorder="1" applyAlignment="1">
      <alignment horizontal="center" vertical="center"/>
    </xf>
    <xf numFmtId="166" fontId="4" fillId="3" borderId="10" xfId="2" applyNumberFormat="1" applyFont="1" applyFill="1" applyBorder="1" applyAlignment="1">
      <alignment horizontal="center" vertical="center"/>
    </xf>
    <xf numFmtId="168" fontId="17" fillId="0" borderId="0" xfId="0" applyNumberFormat="1" applyFont="1" applyAlignment="1">
      <alignment horizontal="center" vertical="center"/>
    </xf>
    <xf numFmtId="166" fontId="14" fillId="4" borderId="0" xfId="2" applyNumberFormat="1" applyFont="1" applyFill="1" applyBorder="1" applyAlignment="1">
      <alignment horizontal="center" vertical="center"/>
    </xf>
    <xf numFmtId="166" fontId="14" fillId="4" borderId="12" xfId="2" applyNumberFormat="1" applyFont="1" applyFill="1" applyBorder="1" applyAlignment="1">
      <alignment horizontal="center" vertical="center"/>
    </xf>
    <xf numFmtId="166" fontId="13" fillId="3" borderId="13" xfId="2" applyNumberFormat="1" applyFont="1" applyFill="1" applyBorder="1" applyAlignment="1">
      <alignment horizontal="center" vertical="center"/>
    </xf>
    <xf numFmtId="166" fontId="13" fillId="3" borderId="14" xfId="2" applyNumberFormat="1" applyFont="1" applyFill="1" applyBorder="1" applyAlignment="1">
      <alignment horizontal="center" vertical="center"/>
    </xf>
    <xf numFmtId="166" fontId="13" fillId="3" borderId="12" xfId="2" applyNumberFormat="1" applyFont="1" applyFill="1" applyBorder="1" applyAlignment="1">
      <alignment horizontal="center" vertical="center"/>
    </xf>
    <xf numFmtId="0" fontId="17" fillId="4" borderId="11" xfId="0" applyFont="1" applyFill="1" applyBorder="1" applyAlignment="1">
      <alignment vertical="center"/>
    </xf>
    <xf numFmtId="0" fontId="17" fillId="0" borderId="8" xfId="0" applyFont="1" applyBorder="1" applyAlignment="1">
      <alignment vertical="center"/>
    </xf>
    <xf numFmtId="166" fontId="11" fillId="4" borderId="6" xfId="2" applyNumberFormat="1" applyFont="1" applyFill="1" applyBorder="1" applyAlignment="1">
      <alignment horizontal="center" vertical="center"/>
    </xf>
    <xf numFmtId="0" fontId="21" fillId="4" borderId="11" xfId="0" applyFont="1" applyFill="1" applyBorder="1" applyAlignment="1">
      <alignment vertical="center"/>
    </xf>
    <xf numFmtId="3" fontId="11" fillId="4" borderId="2" xfId="5" applyNumberFormat="1" applyFont="1" applyFill="1" applyBorder="1" applyAlignment="1">
      <alignment horizontal="center" vertical="center"/>
    </xf>
    <xf numFmtId="3" fontId="14" fillId="4" borderId="0" xfId="5" applyNumberFormat="1" applyFont="1" applyFill="1" applyBorder="1" applyAlignment="1">
      <alignment horizontal="center" vertical="center"/>
    </xf>
    <xf numFmtId="3" fontId="4" fillId="3" borderId="9" xfId="5" applyNumberFormat="1" applyFont="1" applyFill="1" applyBorder="1" applyAlignment="1">
      <alignment horizontal="center" vertical="center"/>
    </xf>
    <xf numFmtId="0" fontId="13" fillId="0" borderId="13" xfId="4" applyFont="1" applyFill="1" applyBorder="1" applyAlignment="1">
      <alignment horizontal="left" vertical="center"/>
    </xf>
    <xf numFmtId="3" fontId="13" fillId="0" borderId="1" xfId="5" applyNumberFormat="1" applyFont="1" applyFill="1" applyBorder="1" applyAlignment="1">
      <alignment horizontal="center" vertical="center"/>
    </xf>
    <xf numFmtId="3" fontId="13" fillId="0" borderId="2" xfId="5" applyNumberFormat="1" applyFont="1" applyFill="1" applyBorder="1" applyAlignment="1">
      <alignment horizontal="center" vertical="center"/>
    </xf>
    <xf numFmtId="166" fontId="13" fillId="0" borderId="15" xfId="2" applyNumberFormat="1" applyFont="1" applyFill="1" applyBorder="1" applyAlignment="1">
      <alignment horizontal="center" vertical="center"/>
    </xf>
    <xf numFmtId="166" fontId="13" fillId="0" borderId="14" xfId="2" applyNumberFormat="1" applyFont="1" applyFill="1" applyBorder="1" applyAlignment="1">
      <alignment horizontal="center" vertical="center"/>
    </xf>
    <xf numFmtId="3" fontId="7" fillId="0" borderId="6" xfId="3" applyNumberFormat="1" applyFont="1" applyBorder="1" applyAlignment="1">
      <alignment horizontal="center" vertical="center"/>
    </xf>
    <xf numFmtId="3" fontId="7" fillId="0" borderId="3" xfId="3" applyNumberFormat="1" applyFont="1" applyBorder="1" applyAlignment="1">
      <alignment horizontal="center" vertical="center"/>
    </xf>
    <xf numFmtId="164" fontId="7" fillId="0" borderId="0" xfId="3" applyNumberFormat="1" applyFont="1" applyAlignment="1">
      <alignment horizontal="center" vertical="center"/>
    </xf>
    <xf numFmtId="4" fontId="7" fillId="0" borderId="8" xfId="3" applyNumberFormat="1" applyFont="1" applyBorder="1" applyAlignment="1">
      <alignment horizontal="center" vertical="center"/>
    </xf>
    <xf numFmtId="0" fontId="13" fillId="0" borderId="15" xfId="4" applyFont="1" applyFill="1" applyBorder="1">
      <alignment horizontal="left"/>
    </xf>
    <xf numFmtId="0" fontId="4" fillId="0" borderId="3" xfId="4" applyFont="1" applyFill="1" applyBorder="1" applyAlignment="1">
      <alignment horizontal="left" vertical="center"/>
    </xf>
    <xf numFmtId="0" fontId="4" fillId="0" borderId="8" xfId="4" applyFont="1" applyFill="1" applyBorder="1" applyAlignment="1">
      <alignment horizontal="left" vertical="center"/>
    </xf>
    <xf numFmtId="0" fontId="13" fillId="0" borderId="6" xfId="4" applyFont="1" applyFill="1" applyBorder="1">
      <alignment horizontal="left"/>
    </xf>
    <xf numFmtId="0" fontId="13" fillId="0" borderId="8" xfId="4" applyFont="1" applyFill="1" applyBorder="1">
      <alignment horizontal="left"/>
    </xf>
    <xf numFmtId="0" fontId="4" fillId="3" borderId="8" xfId="4" applyFont="1" applyBorder="1" applyAlignment="1">
      <alignment horizontal="left" vertical="center"/>
    </xf>
    <xf numFmtId="0" fontId="17" fillId="0" borderId="0" xfId="0" applyFont="1" applyAlignment="1">
      <alignment horizontal="right" vertical="center"/>
    </xf>
    <xf numFmtId="43" fontId="4" fillId="0" borderId="0" xfId="1" applyFont="1" applyFill="1" applyAlignment="1">
      <alignment vertical="center"/>
    </xf>
    <xf numFmtId="0" fontId="6" fillId="0" borderId="0" xfId="3" applyFont="1" applyAlignment="1">
      <alignment vertical="center"/>
    </xf>
    <xf numFmtId="3" fontId="4" fillId="0" borderId="7" xfId="1" applyNumberFormat="1" applyFont="1" applyFill="1" applyBorder="1" applyAlignment="1">
      <alignment horizontal="center" vertical="center"/>
    </xf>
    <xf numFmtId="3" fontId="4" fillId="0" borderId="9" xfId="5" applyNumberFormat="1" applyFont="1" applyFill="1" applyBorder="1" applyAlignment="1">
      <alignment horizontal="center" vertical="center"/>
    </xf>
    <xf numFmtId="3" fontId="4" fillId="0" borderId="10" xfId="5" applyNumberFormat="1" applyFont="1" applyFill="1" applyBorder="1" applyAlignment="1">
      <alignment horizontal="center" vertical="center"/>
    </xf>
    <xf numFmtId="0" fontId="4" fillId="0" borderId="4" xfId="0" applyFont="1" applyBorder="1" applyAlignment="1">
      <alignment horizontal="center" vertical="center"/>
    </xf>
    <xf numFmtId="3" fontId="4" fillId="0" borderId="0" xfId="0" applyNumberFormat="1" applyFont="1" applyAlignment="1">
      <alignment vertical="center"/>
    </xf>
    <xf numFmtId="0" fontId="4" fillId="0" borderId="0" xfId="0" applyFont="1" applyAlignment="1">
      <alignment vertical="center"/>
    </xf>
    <xf numFmtId="2" fontId="40" fillId="0" borderId="1" xfId="3" applyNumberFormat="1" applyFont="1" applyBorder="1" applyAlignment="1">
      <alignment horizontal="center" vertical="center" wrapText="1"/>
    </xf>
    <xf numFmtId="2" fontId="40" fillId="0" borderId="7" xfId="3" applyNumberFormat="1" applyFont="1" applyBorder="1" applyAlignment="1">
      <alignment horizontal="center" vertical="center"/>
    </xf>
    <xf numFmtId="3" fontId="4" fillId="3" borderId="5" xfId="2" applyNumberFormat="1" applyFont="1" applyFill="1" applyBorder="1" applyAlignment="1">
      <alignment horizontal="center" vertical="center"/>
    </xf>
    <xf numFmtId="164" fontId="7" fillId="0" borderId="8" xfId="3" applyNumberFormat="1" applyFont="1" applyBorder="1" applyAlignment="1">
      <alignment horizontal="center" vertical="center"/>
    </xf>
    <xf numFmtId="10" fontId="4" fillId="0" borderId="0" xfId="2" applyNumberFormat="1" applyFont="1" applyFill="1" applyBorder="1" applyAlignment="1">
      <alignment horizontal="center" vertical="center"/>
    </xf>
    <xf numFmtId="10" fontId="4" fillId="3" borderId="14" xfId="2" applyNumberFormat="1" applyFont="1" applyFill="1" applyBorder="1" applyAlignment="1">
      <alignment horizontal="center" vertical="center"/>
    </xf>
    <xf numFmtId="164" fontId="4" fillId="3" borderId="0" xfId="2" applyNumberFormat="1" applyFont="1" applyFill="1" applyBorder="1" applyAlignment="1">
      <alignment horizontal="center" vertical="center"/>
    </xf>
    <xf numFmtId="4" fontId="4" fillId="3" borderId="7" xfId="1" applyNumberFormat="1" applyFont="1" applyFill="1" applyBorder="1" applyAlignment="1">
      <alignment horizontal="center" vertical="center"/>
    </xf>
    <xf numFmtId="4" fontId="4" fillId="3" borderId="0" xfId="2" applyNumberFormat="1" applyFont="1" applyFill="1" applyBorder="1" applyAlignment="1">
      <alignment horizontal="center" vertical="center"/>
    </xf>
    <xf numFmtId="164" fontId="4" fillId="3" borderId="7" xfId="5" applyNumberFormat="1" applyFont="1" applyFill="1" applyBorder="1" applyAlignment="1">
      <alignment horizontal="center" vertical="center"/>
    </xf>
    <xf numFmtId="4" fontId="4" fillId="3" borderId="0" xfId="1" applyNumberFormat="1" applyFont="1" applyFill="1" applyBorder="1" applyAlignment="1">
      <alignment horizontal="center" vertical="center"/>
    </xf>
    <xf numFmtId="164" fontId="4" fillId="3" borderId="7" xfId="2" applyNumberFormat="1" applyFont="1" applyFill="1" applyBorder="1" applyAlignment="1">
      <alignment horizontal="center" vertical="center"/>
    </xf>
    <xf numFmtId="164" fontId="4" fillId="0" borderId="7" xfId="5" applyNumberFormat="1" applyFont="1" applyFill="1" applyBorder="1" applyAlignment="1">
      <alignment horizontal="center" vertical="center"/>
    </xf>
    <xf numFmtId="164" fontId="4" fillId="0" borderId="0" xfId="5" applyNumberFormat="1" applyFont="1" applyFill="1" applyBorder="1" applyAlignment="1">
      <alignment horizontal="center" vertical="center"/>
    </xf>
    <xf numFmtId="10" fontId="13" fillId="3" borderId="0" xfId="2" applyNumberFormat="1" applyFont="1" applyFill="1" applyBorder="1" applyAlignment="1">
      <alignment horizontal="center" vertical="center"/>
    </xf>
    <xf numFmtId="10" fontId="13" fillId="3" borderId="8" xfId="2" applyNumberFormat="1" applyFont="1" applyFill="1" applyBorder="1" applyAlignment="1">
      <alignment horizontal="center" vertical="center"/>
    </xf>
    <xf numFmtId="169" fontId="13" fillId="3" borderId="8" xfId="2" applyNumberFormat="1" applyFont="1" applyFill="1" applyBorder="1" applyAlignment="1">
      <alignment horizontal="center" vertical="center"/>
    </xf>
    <xf numFmtId="10" fontId="13" fillId="3" borderId="14" xfId="2" applyNumberFormat="1" applyFont="1" applyFill="1" applyBorder="1" applyAlignment="1">
      <alignment horizontal="center" vertical="center"/>
    </xf>
    <xf numFmtId="169" fontId="13" fillId="3" borderId="14" xfId="2" applyNumberFormat="1" applyFont="1" applyFill="1" applyBorder="1" applyAlignment="1">
      <alignment horizontal="center" vertical="center"/>
    </xf>
    <xf numFmtId="4" fontId="4" fillId="0" borderId="4" xfId="5" applyNumberFormat="1" applyFont="1" applyFill="1" applyBorder="1" applyAlignment="1">
      <alignment horizontal="center" vertical="center"/>
    </xf>
    <xf numFmtId="4" fontId="4" fillId="0" borderId="5" xfId="5" applyNumberFormat="1" applyFont="1" applyFill="1" applyBorder="1" applyAlignment="1">
      <alignment horizontal="center" vertical="center"/>
    </xf>
    <xf numFmtId="10" fontId="13" fillId="0" borderId="14" xfId="2" applyNumberFormat="1" applyFont="1" applyFill="1" applyBorder="1" applyAlignment="1">
      <alignment horizontal="center" vertical="center"/>
    </xf>
    <xf numFmtId="164" fontId="4" fillId="3" borderId="5" xfId="5" applyNumberFormat="1" applyFont="1" applyFill="1" applyBorder="1" applyAlignment="1">
      <alignment horizontal="center" vertical="center"/>
    </xf>
    <xf numFmtId="2" fontId="7" fillId="0" borderId="9" xfId="3" applyNumberFormat="1" applyFont="1" applyBorder="1" applyAlignment="1">
      <alignment horizontal="center" vertical="center"/>
    </xf>
    <xf numFmtId="3" fontId="7" fillId="0" borderId="10" xfId="3" applyNumberFormat="1" applyFont="1" applyBorder="1" applyAlignment="1">
      <alignment horizontal="center" vertical="center"/>
    </xf>
    <xf numFmtId="164" fontId="7" fillId="0" borderId="10" xfId="3" applyNumberFormat="1" applyFont="1" applyBorder="1" applyAlignment="1">
      <alignment horizontal="center" vertical="center"/>
    </xf>
    <xf numFmtId="4" fontId="7" fillId="0" borderId="11" xfId="3" applyNumberFormat="1" applyFont="1" applyBorder="1" applyAlignment="1">
      <alignment horizontal="center" vertical="center"/>
    </xf>
    <xf numFmtId="0" fontId="6" fillId="4" borderId="9" xfId="3" applyFont="1" applyFill="1" applyBorder="1" applyAlignment="1">
      <alignment horizontal="center" vertical="center" wrapText="1"/>
    </xf>
    <xf numFmtId="0" fontId="7" fillId="2" borderId="7" xfId="3" applyFont="1" applyFill="1" applyBorder="1" applyAlignment="1">
      <alignment horizontal="center" vertical="center" wrapText="1"/>
    </xf>
    <xf numFmtId="0" fontId="7" fillId="2" borderId="4" xfId="3" applyFont="1" applyFill="1" applyBorder="1" applyAlignment="1">
      <alignment horizontal="center" vertical="center" wrapText="1"/>
    </xf>
    <xf numFmtId="0" fontId="4" fillId="3" borderId="7" xfId="4" applyFont="1" applyBorder="1" applyAlignment="1">
      <alignment horizontal="center" vertical="center" wrapText="1"/>
    </xf>
    <xf numFmtId="3" fontId="7" fillId="2" borderId="7" xfId="3" applyNumberFormat="1" applyFont="1" applyFill="1" applyBorder="1" applyAlignment="1">
      <alignment horizontal="center" vertical="center" wrapText="1"/>
    </xf>
    <xf numFmtId="3" fontId="7" fillId="2" borderId="4" xfId="3" applyNumberFormat="1" applyFont="1" applyFill="1" applyBorder="1" applyAlignment="1">
      <alignment horizontal="center" vertical="center" wrapText="1"/>
    </xf>
    <xf numFmtId="164" fontId="11" fillId="4" borderId="10" xfId="5" applyNumberFormat="1" applyFont="1" applyFill="1" applyBorder="1" applyAlignment="1">
      <alignment horizontal="center" vertical="center"/>
    </xf>
    <xf numFmtId="0" fontId="4" fillId="3" borderId="9"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3" fillId="2" borderId="0" xfId="3" applyFont="1" applyFill="1" applyAlignment="1">
      <alignment horizontal="center" vertical="center"/>
    </xf>
    <xf numFmtId="0" fontId="5" fillId="2" borderId="0" xfId="3" applyFont="1" applyFill="1" applyAlignment="1">
      <alignment horizontal="center" vertical="center"/>
    </xf>
    <xf numFmtId="0" fontId="3" fillId="2" borderId="0" xfId="3" applyFont="1" applyFill="1" applyAlignment="1">
      <alignment horizontal="left" vertical="center" wrapText="1"/>
    </xf>
    <xf numFmtId="0" fontId="7" fillId="0" borderId="7" xfId="3" applyFont="1" applyBorder="1" applyAlignment="1">
      <alignment horizontal="left" vertical="center" wrapText="1"/>
    </xf>
    <xf numFmtId="0" fontId="7" fillId="0" borderId="0" xfId="3" applyFont="1" applyAlignment="1">
      <alignment horizontal="left" vertical="center" wrapText="1"/>
    </xf>
    <xf numFmtId="0" fontId="7" fillId="0" borderId="8" xfId="3" applyFont="1" applyBorder="1" applyAlignment="1">
      <alignment horizontal="left" vertical="center" wrapText="1"/>
    </xf>
    <xf numFmtId="0" fontId="7" fillId="0" borderId="4" xfId="3" applyFont="1" applyBorder="1" applyAlignment="1">
      <alignment horizontal="left" vertical="center" wrapText="1"/>
    </xf>
    <xf numFmtId="0" fontId="7" fillId="0" borderId="5" xfId="3" applyFont="1" applyBorder="1" applyAlignment="1">
      <alignment horizontal="left" vertical="center" wrapText="1"/>
    </xf>
    <xf numFmtId="0" fontId="7" fillId="0" borderId="6" xfId="3" applyFont="1" applyBorder="1" applyAlignment="1">
      <alignment horizontal="left" vertical="center" wrapText="1"/>
    </xf>
    <xf numFmtId="0" fontId="18" fillId="0" borderId="0" xfId="0" applyFont="1" applyAlignment="1">
      <alignment horizontal="center" vertical="center" wrapText="1"/>
    </xf>
    <xf numFmtId="0" fontId="12" fillId="2" borderId="0" xfId="3" applyFont="1" applyFill="1" applyAlignment="1">
      <alignment horizontal="center" vertical="center"/>
    </xf>
    <xf numFmtId="3" fontId="11" fillId="4" borderId="1" xfId="4" applyNumberFormat="1" applyFont="1" applyFill="1" applyBorder="1" applyAlignment="1">
      <alignment horizontal="center" vertical="center" wrapText="1"/>
    </xf>
    <xf numFmtId="3" fontId="11" fillId="4" borderId="2" xfId="4" applyNumberFormat="1" applyFont="1" applyFill="1" applyBorder="1" applyAlignment="1">
      <alignment horizontal="center" vertical="center"/>
    </xf>
    <xf numFmtId="3" fontId="11" fillId="4" borderId="9" xfId="4" applyNumberFormat="1" applyFont="1" applyFill="1" applyBorder="1" applyAlignment="1">
      <alignment horizontal="center" vertical="center" wrapText="1"/>
    </xf>
    <xf numFmtId="3" fontId="11" fillId="4" borderId="10" xfId="4" applyNumberFormat="1" applyFont="1" applyFill="1" applyBorder="1" applyAlignment="1">
      <alignment horizontal="center" vertical="center"/>
    </xf>
    <xf numFmtId="3" fontId="11" fillId="4" borderId="11" xfId="4" applyNumberFormat="1" applyFont="1" applyFill="1" applyBorder="1" applyAlignment="1">
      <alignment horizontal="center" vertical="center"/>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cellXfs>
  <cellStyles count="6">
    <cellStyle name="Millares" xfId="1" xr:uid="{00000000-0005-0000-0000-000000000000}"/>
    <cellStyle name="Millares 2 3" xfId="5" xr:uid="{00000000-0005-0000-0000-000001000000}"/>
    <cellStyle name="Normal" xfId="0" builtinId="0"/>
    <cellStyle name="Normal 4 3" xfId="3" xr:uid="{00000000-0005-0000-0000-000003000000}"/>
    <cellStyle name="Porcentaje" xfId="2" xr:uid="{00000000-0005-0000-0000-000004000000}"/>
    <cellStyle name="TEXTO NORMAL" xfId="4" xr:uid="{00000000-0005-0000-0000-000005000000}"/>
  </cellStyles>
  <dxfs count="1">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C00000">
                <a:alpha val="29804"/>
              </a:srgbClr>
            </a:solidFill>
          </c:spPr>
          <c:invertIfNegative val="1"/>
          <c:dPt>
            <c:idx val="10"/>
            <c:invertIfNegative val="1"/>
            <c:bubble3D val="0"/>
            <c:spPr>
              <a:solidFill>
                <a:srgbClr val="C00000"/>
              </a:solidFill>
            </c:spPr>
            <c:extLst>
              <c:ext xmlns:c16="http://schemas.microsoft.com/office/drawing/2014/chart" uri="{C3380CC4-5D6E-409C-BE32-E72D297353CC}">
                <c16:uniqueId val="{00000001-2451-46D3-9F33-792DADB58AB2}"/>
              </c:ext>
            </c:extLst>
          </c:dPt>
          <c:dLbls>
            <c:dLbl>
              <c:idx val="10"/>
              <c:spPr>
                <a:noFill/>
                <a:ln>
                  <a:noFill/>
                </a:ln>
              </c:spPr>
              <c:txPr>
                <a:bodyPr anchorCtr="1"/>
                <a:lstStyle/>
                <a:p>
                  <a:pPr>
                    <a:defRPr sz="1100" b="1"/>
                  </a:pPr>
                  <a:endParaRPr lang="es-PE"/>
                </a:p>
              </c:txPr>
              <c:dLblPos val="outEnd"/>
              <c:showLegendKey val="0"/>
              <c:showVal val="1"/>
              <c:showCatName val="0"/>
              <c:showSerName val="0"/>
              <c:showPercent val="0"/>
              <c:showBubbleSize val="0"/>
              <c:extLst>
                <c:ext xmlns:c16="http://schemas.microsoft.com/office/drawing/2014/chart" uri="{C3380CC4-5D6E-409C-BE32-E72D297353CC}">
                  <c16:uniqueId val="{00000001-2451-46D3-9F33-792DADB58AB2}"/>
                </c:ext>
              </c:extLst>
            </c:dLbl>
            <c:spPr>
              <a:noFill/>
              <a:ln>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'S01.C01'!$C$27:$C$37</c:f>
              <c:strCache>
                <c:ptCount val="11"/>
                <c:pt idx="0">
                  <c:v>2016</c:v>
                </c:pt>
                <c:pt idx="1">
                  <c:v>2017</c:v>
                </c:pt>
                <c:pt idx="2">
                  <c:v>2018</c:v>
                </c:pt>
                <c:pt idx="3">
                  <c:v>2019</c:v>
                </c:pt>
                <c:pt idx="4">
                  <c:v>2020</c:v>
                </c:pt>
                <c:pt idx="5">
                  <c:v>2021</c:v>
                </c:pt>
                <c:pt idx="6">
                  <c:v>2022</c:v>
                </c:pt>
                <c:pt idx="7">
                  <c:v>2023</c:v>
                </c:pt>
                <c:pt idx="8">
                  <c:v>2024</c:v>
                </c:pt>
                <c:pt idx="9">
                  <c:v>2025</c:v>
                </c:pt>
                <c:pt idx="10">
                  <c:v>2026
(Ene-Ago)
(Jan-Aug)</c:v>
                </c:pt>
              </c:strCache>
            </c:strRef>
          </c:cat>
          <c:val>
            <c:numRef>
              <c:f>'S01.C01'!$Q$27:$Q$37</c:f>
              <c:numCache>
                <c:formatCode>#,##0</c:formatCode>
                <c:ptCount val="11"/>
                <c:pt idx="0">
                  <c:v>2352.9595047380653</c:v>
                </c:pt>
                <c:pt idx="1">
                  <c:v>2440.1811105834286</c:v>
                </c:pt>
                <c:pt idx="2">
                  <c:v>2416.8811002070697</c:v>
                </c:pt>
                <c:pt idx="3">
                  <c:v>2437.9253739027731</c:v>
                </c:pt>
                <c:pt idx="4">
                  <c:v>2150.1259121219628</c:v>
                </c:pt>
                <c:pt idx="5">
                  <c:v>2326.0353089323735</c:v>
                </c:pt>
                <c:pt idx="6">
                  <c:v>2445.2708303173977</c:v>
                </c:pt>
                <c:pt idx="7">
                  <c:v>2755.2443167853276</c:v>
                </c:pt>
                <c:pt idx="8">
                  <c:v>2736.2371072517244</c:v>
                </c:pt>
                <c:pt idx="9">
                  <c:v>2765.9945368234012</c:v>
                </c:pt>
                <c:pt idx="10">
                  <c:v>1829.7904759988965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2451-46D3-9F33-792DADB58AB2}"/>
            </c:ext>
          </c:extLst>
        </c:ser>
        <c:dLbls>
          <c:dLblPos val="outEnd"/>
          <c:showLegendKey val="0"/>
          <c:showVal val="1"/>
          <c:showCatName val="0"/>
          <c:showSerName val="0"/>
          <c:showPercent val="0"/>
          <c:showBubbleSize val="0"/>
        </c:dLbls>
        <c:gapWidth val="150"/>
        <c:axId val="173291776"/>
        <c:axId val="173301760"/>
      </c:barChart>
      <c:catAx>
        <c:axId val="173291776"/>
        <c:scaling>
          <c:orientation val="minMax"/>
        </c:scaling>
        <c:delete val="0"/>
        <c:axPos val="b"/>
        <c:numFmt formatCode="General" sourceLinked="0"/>
        <c:majorTickMark val="out"/>
        <c:minorTickMark val="none"/>
        <c:tickLblPos val="nextTo"/>
        <c:crossAx val="173301760"/>
        <c:crosses val="autoZero"/>
        <c:auto val="1"/>
        <c:lblAlgn val="ctr"/>
        <c:lblOffset val="100"/>
        <c:noMultiLvlLbl val="0"/>
      </c:catAx>
      <c:valAx>
        <c:axId val="173301760"/>
        <c:scaling>
          <c:orientation val="minMax"/>
        </c:scaling>
        <c:delete val="0"/>
        <c:axPos val="l"/>
        <c:numFmt formatCode="#,##0" sourceLinked="1"/>
        <c:majorTickMark val="out"/>
        <c:minorTickMark val="none"/>
        <c:tickLblPos val="nextTo"/>
        <c:crossAx val="173291776"/>
        <c:crosses val="autoZero"/>
        <c:crossBetween val="between"/>
        <c:majorUnit val="1000"/>
      </c:valAx>
    </c:plotArea>
    <c:plotVisOnly val="1"/>
    <c:dispBlanksAs val="zero"/>
    <c:showDLblsOverMax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63207</xdr:colOff>
      <xdr:row>65</xdr:row>
      <xdr:rowOff>19050</xdr:rowOff>
    </xdr:from>
    <xdr:to>
      <xdr:col>15</xdr:col>
      <xdr:colOff>542924</xdr:colOff>
      <xdr:row>72</xdr:row>
      <xdr:rowOff>1</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C3:AJ74"/>
  <sheetViews>
    <sheetView showGridLines="0" view="pageBreakPreview" zoomScaleNormal="100" zoomScaleSheetLayoutView="100" workbookViewId="0">
      <selection activeCell="C3" sqref="C3:P3"/>
    </sheetView>
  </sheetViews>
  <sheetFormatPr baseColWidth="10" defaultColWidth="11.42578125" defaultRowHeight="12.75" x14ac:dyDescent="0.25"/>
  <cols>
    <col min="1" max="2" width="2.7109375" style="2" customWidth="1"/>
    <col min="3" max="3" width="11.42578125" style="36" customWidth="1"/>
    <col min="4" max="4" width="12.42578125" style="2" customWidth="1"/>
    <col min="5" max="5" width="13.28515625" style="2" customWidth="1"/>
    <col min="6" max="16" width="12.42578125" style="2" customWidth="1"/>
    <col min="17" max="17" width="2.42578125" style="8" customWidth="1"/>
    <col min="18" max="18" width="11.42578125" style="2"/>
    <col min="19" max="19" width="12.42578125" style="2" customWidth="1"/>
    <col min="20" max="20" width="14.42578125" style="2" customWidth="1"/>
    <col min="21" max="22" width="12.42578125" style="2" customWidth="1"/>
    <col min="23" max="23" width="11.5703125" style="2" customWidth="1"/>
    <col min="24" max="24" width="13.42578125" style="2" customWidth="1"/>
    <col min="25" max="26" width="11.5703125" style="2" customWidth="1"/>
    <col min="27" max="27" width="11.42578125" style="2"/>
    <col min="28" max="28" width="11.5703125" style="2" customWidth="1"/>
    <col min="29" max="29" width="13.42578125" style="2" customWidth="1"/>
    <col min="30" max="32" width="11.5703125" style="2" customWidth="1"/>
    <col min="33" max="33" width="12.42578125" style="2" customWidth="1"/>
    <col min="34" max="35" width="11.5703125" style="2" customWidth="1"/>
    <col min="36" max="16384" width="11.42578125" style="2"/>
  </cols>
  <sheetData>
    <row r="3" spans="3:17" ht="15.75" customHeight="1" x14ac:dyDescent="0.25">
      <c r="C3" s="234" t="s">
        <v>0</v>
      </c>
      <c r="D3" s="234"/>
      <c r="E3" s="234"/>
      <c r="F3" s="234"/>
      <c r="G3" s="234"/>
      <c r="H3" s="234"/>
      <c r="I3" s="234"/>
      <c r="J3" s="234"/>
      <c r="K3" s="234"/>
      <c r="L3" s="234"/>
      <c r="M3" s="234"/>
      <c r="N3" s="234"/>
      <c r="O3" s="234"/>
      <c r="P3" s="234"/>
      <c r="Q3" s="1"/>
    </row>
    <row r="4" spans="3:17" ht="14.25" customHeight="1" x14ac:dyDescent="0.25">
      <c r="C4" s="235" t="s">
        <v>1</v>
      </c>
      <c r="D4" s="235"/>
      <c r="E4" s="235"/>
      <c r="F4" s="235"/>
      <c r="G4" s="235"/>
      <c r="H4" s="235"/>
      <c r="I4" s="235"/>
      <c r="J4" s="235"/>
      <c r="K4" s="235"/>
      <c r="L4" s="235"/>
      <c r="M4" s="235"/>
      <c r="N4" s="235"/>
      <c r="O4" s="235"/>
      <c r="P4" s="235"/>
      <c r="Q4" s="3"/>
    </row>
    <row r="5" spans="3:17" ht="9" customHeight="1" x14ac:dyDescent="0.25">
      <c r="C5" s="190"/>
      <c r="D5" s="5"/>
      <c r="E5" s="5"/>
      <c r="F5" s="5"/>
      <c r="G5" s="5"/>
      <c r="H5" s="6"/>
      <c r="I5" s="7"/>
      <c r="J5" s="6"/>
      <c r="K5" s="5"/>
      <c r="L5" s="5"/>
      <c r="M5" s="5"/>
      <c r="N5" s="5"/>
      <c r="O5" s="5"/>
      <c r="P5" s="5"/>
    </row>
    <row r="6" spans="3:17" ht="14.45" customHeight="1" x14ac:dyDescent="0.25">
      <c r="C6" s="236" t="s">
        <v>2</v>
      </c>
      <c r="D6" s="236"/>
      <c r="E6" s="236"/>
      <c r="F6" s="236"/>
      <c r="G6" s="236"/>
      <c r="H6" s="236"/>
      <c r="I6" s="236"/>
      <c r="J6" s="236"/>
      <c r="K6" s="236"/>
      <c r="L6" s="9"/>
      <c r="M6" s="9"/>
      <c r="N6" s="9"/>
      <c r="O6" s="9"/>
      <c r="P6" s="9"/>
    </row>
    <row r="7" spans="3:17" ht="14.45" customHeight="1" x14ac:dyDescent="0.25">
      <c r="C7" s="10" t="s">
        <v>3</v>
      </c>
      <c r="D7" s="9"/>
      <c r="E7" s="9"/>
      <c r="F7" s="9"/>
      <c r="G7" s="9"/>
      <c r="H7" s="9"/>
      <c r="I7" s="9"/>
      <c r="J7" s="9"/>
      <c r="K7" s="9"/>
      <c r="L7" s="9"/>
      <c r="M7" s="9"/>
      <c r="N7" s="9"/>
      <c r="O7" s="9"/>
      <c r="P7" s="9"/>
    </row>
    <row r="8" spans="3:17" x14ac:dyDescent="0.25">
      <c r="C8" s="5"/>
      <c r="D8" s="5"/>
      <c r="E8" s="5"/>
      <c r="F8" s="5"/>
      <c r="G8" s="5"/>
      <c r="H8" s="5"/>
      <c r="I8" s="5"/>
      <c r="J8" s="5"/>
      <c r="K8" s="5"/>
      <c r="L8" s="5"/>
      <c r="M8" s="5"/>
      <c r="N8" s="5"/>
      <c r="O8" s="5"/>
      <c r="P8" s="5"/>
    </row>
    <row r="9" spans="3:17" s="15" customFormat="1" ht="29.25" customHeight="1" x14ac:dyDescent="0.25">
      <c r="C9" s="11" t="s">
        <v>4</v>
      </c>
      <c r="D9" s="12" t="s">
        <v>5</v>
      </c>
      <c r="E9" s="12" t="s">
        <v>6</v>
      </c>
      <c r="F9" s="12" t="s">
        <v>7</v>
      </c>
      <c r="G9" s="12" t="s">
        <v>8</v>
      </c>
      <c r="H9" s="12" t="s">
        <v>9</v>
      </c>
      <c r="I9" s="12" t="s">
        <v>10</v>
      </c>
      <c r="J9" s="12" t="s">
        <v>11</v>
      </c>
      <c r="K9" s="12" t="s">
        <v>12</v>
      </c>
      <c r="L9" s="12" t="s">
        <v>13</v>
      </c>
      <c r="M9" s="12" t="s">
        <v>14</v>
      </c>
      <c r="N9" s="12" t="s">
        <v>15</v>
      </c>
      <c r="O9" s="12" t="s">
        <v>16</v>
      </c>
      <c r="P9" s="13" t="s">
        <v>17</v>
      </c>
      <c r="Q9" s="14"/>
    </row>
    <row r="10" spans="3:17" ht="24" x14ac:dyDescent="0.25">
      <c r="C10" s="16"/>
      <c r="D10" s="17" t="s">
        <v>18</v>
      </c>
      <c r="E10" s="17" t="s">
        <v>19</v>
      </c>
      <c r="F10" s="17" t="s">
        <v>18</v>
      </c>
      <c r="G10" s="17" t="s">
        <v>20</v>
      </c>
      <c r="H10" s="17" t="s">
        <v>18</v>
      </c>
      <c r="I10" s="17" t="s">
        <v>18</v>
      </c>
      <c r="J10" s="17" t="s">
        <v>18</v>
      </c>
      <c r="K10" s="17" t="s">
        <v>18</v>
      </c>
      <c r="L10" s="17" t="s">
        <v>18</v>
      </c>
      <c r="M10" s="17" t="s">
        <v>18</v>
      </c>
      <c r="N10" s="17" t="s">
        <v>18</v>
      </c>
      <c r="O10" s="17" t="s">
        <v>18</v>
      </c>
      <c r="P10" s="18" t="s">
        <v>18</v>
      </c>
    </row>
    <row r="11" spans="3:17" x14ac:dyDescent="0.25">
      <c r="C11" s="19">
        <v>2000</v>
      </c>
      <c r="D11" s="20">
        <v>553924</v>
      </c>
      <c r="E11" s="20">
        <v>132585078.00000001</v>
      </c>
      <c r="F11" s="20">
        <v>910303</v>
      </c>
      <c r="G11" s="20">
        <v>2437706</v>
      </c>
      <c r="H11" s="20">
        <v>270576</v>
      </c>
      <c r="I11" s="20">
        <v>2812784.7804642497</v>
      </c>
      <c r="J11" s="20">
        <v>37410</v>
      </c>
      <c r="K11" s="20">
        <v>7193</v>
      </c>
      <c r="L11" s="20" t="s">
        <v>21</v>
      </c>
      <c r="M11" s="20" t="s">
        <v>21</v>
      </c>
      <c r="N11" s="20" t="s">
        <v>21</v>
      </c>
      <c r="O11" s="20" t="s">
        <v>21</v>
      </c>
      <c r="P11" s="21" t="s">
        <v>21</v>
      </c>
    </row>
    <row r="12" spans="3:17" x14ac:dyDescent="0.25">
      <c r="C12" s="19">
        <v>2001</v>
      </c>
      <c r="D12" s="20">
        <v>722355.34555900015</v>
      </c>
      <c r="E12" s="20">
        <v>138522109.261338</v>
      </c>
      <c r="F12" s="20">
        <v>1056629.375614</v>
      </c>
      <c r="G12" s="20">
        <v>2571113.7884550001</v>
      </c>
      <c r="H12" s="20">
        <v>289546.06610700005</v>
      </c>
      <c r="I12" s="20">
        <v>3038401.494655</v>
      </c>
      <c r="J12" s="20">
        <v>38182.076774000001</v>
      </c>
      <c r="K12" s="20">
        <v>9499.2289039999996</v>
      </c>
      <c r="L12" s="20" t="s">
        <v>21</v>
      </c>
      <c r="M12" s="20" t="s">
        <v>21</v>
      </c>
      <c r="N12" s="20" t="s">
        <v>21</v>
      </c>
      <c r="O12" s="20" t="s">
        <v>21</v>
      </c>
      <c r="P12" s="21" t="s">
        <v>21</v>
      </c>
    </row>
    <row r="13" spans="3:17" x14ac:dyDescent="0.25">
      <c r="C13" s="19">
        <v>2002</v>
      </c>
      <c r="D13" s="20">
        <v>844552.87496099994</v>
      </c>
      <c r="E13" s="20">
        <v>157529918.53579301</v>
      </c>
      <c r="F13" s="20">
        <v>1232996.9204689998</v>
      </c>
      <c r="G13" s="20">
        <v>2869638.9847490001</v>
      </c>
      <c r="H13" s="20">
        <v>305650.71951300005</v>
      </c>
      <c r="I13" s="20">
        <v>3056055.2522</v>
      </c>
      <c r="J13" s="20">
        <v>38815.044966000001</v>
      </c>
      <c r="K13" s="20">
        <v>8612.8507310000005</v>
      </c>
      <c r="L13" s="20" t="s">
        <v>21</v>
      </c>
      <c r="M13" s="20" t="s">
        <v>21</v>
      </c>
      <c r="N13" s="20" t="s">
        <v>21</v>
      </c>
      <c r="O13" s="20" t="s">
        <v>21</v>
      </c>
      <c r="P13" s="21" t="s">
        <v>21</v>
      </c>
    </row>
    <row r="14" spans="3:17" x14ac:dyDescent="0.25">
      <c r="C14" s="19">
        <v>2003</v>
      </c>
      <c r="D14" s="20">
        <v>842605.07863000024</v>
      </c>
      <c r="E14" s="20">
        <v>172624629.84419996</v>
      </c>
      <c r="F14" s="20">
        <v>1373792.267121</v>
      </c>
      <c r="G14" s="20">
        <v>2923686.4022500003</v>
      </c>
      <c r="H14" s="20">
        <v>309163.88219000009</v>
      </c>
      <c r="I14" s="20">
        <v>3484900.3702520002</v>
      </c>
      <c r="J14" s="20">
        <v>40202.178839999993</v>
      </c>
      <c r="K14" s="20">
        <v>9589.5781260000003</v>
      </c>
      <c r="L14" s="20" t="s">
        <v>21</v>
      </c>
      <c r="M14" s="20" t="s">
        <v>21</v>
      </c>
      <c r="N14" s="20" t="s">
        <v>21</v>
      </c>
      <c r="O14" s="20" t="s">
        <v>21</v>
      </c>
      <c r="P14" s="21" t="s">
        <v>21</v>
      </c>
    </row>
    <row r="15" spans="3:17" x14ac:dyDescent="0.25">
      <c r="C15" s="19">
        <v>2004</v>
      </c>
      <c r="D15" s="20">
        <v>1035574.04973</v>
      </c>
      <c r="E15" s="20">
        <v>173223817.38585296</v>
      </c>
      <c r="F15" s="20">
        <v>1209005.7091610003</v>
      </c>
      <c r="G15" s="20">
        <v>3059961.8968920005</v>
      </c>
      <c r="H15" s="20">
        <v>306210.77793799998</v>
      </c>
      <c r="I15" s="20">
        <v>4247173.7726000007</v>
      </c>
      <c r="J15" s="20">
        <v>41613.363517999998</v>
      </c>
      <c r="K15" s="20">
        <v>14246.326868</v>
      </c>
      <c r="L15" s="20" t="s">
        <v>21</v>
      </c>
      <c r="M15" s="20" t="s">
        <v>21</v>
      </c>
      <c r="N15" s="20" t="s">
        <v>21</v>
      </c>
      <c r="O15" s="20" t="s">
        <v>21</v>
      </c>
      <c r="P15" s="21" t="s">
        <v>21</v>
      </c>
    </row>
    <row r="16" spans="3:17" x14ac:dyDescent="0.25">
      <c r="C16" s="19">
        <v>2005</v>
      </c>
      <c r="D16" s="20">
        <v>1009897.918423</v>
      </c>
      <c r="E16" s="20">
        <v>208001717.81876829</v>
      </c>
      <c r="F16" s="20">
        <v>1201670.9143999997</v>
      </c>
      <c r="G16" s="20">
        <v>3193145.5305729993</v>
      </c>
      <c r="H16" s="20">
        <v>319344.80289899989</v>
      </c>
      <c r="I16" s="20">
        <v>4564989.1370999999</v>
      </c>
      <c r="J16" s="20">
        <v>42144.586211000002</v>
      </c>
      <c r="K16" s="20">
        <v>17325.373315000004</v>
      </c>
      <c r="L16" s="20" t="s">
        <v>21</v>
      </c>
      <c r="M16" s="20" t="s">
        <v>21</v>
      </c>
      <c r="N16" s="20" t="s">
        <v>21</v>
      </c>
      <c r="O16" s="20" t="s">
        <v>21</v>
      </c>
      <c r="P16" s="21" t="s">
        <v>21</v>
      </c>
    </row>
    <row r="17" spans="3:36" x14ac:dyDescent="0.25">
      <c r="C17" s="19">
        <v>2006</v>
      </c>
      <c r="D17" s="20">
        <v>1048472.4635900002</v>
      </c>
      <c r="E17" s="20">
        <v>202825998.65453294</v>
      </c>
      <c r="F17" s="20">
        <v>1203364.0679980002</v>
      </c>
      <c r="G17" s="20">
        <v>3470661.2430209992</v>
      </c>
      <c r="H17" s="20">
        <v>313332.28608800005</v>
      </c>
      <c r="I17" s="20">
        <v>4784600.5820000004</v>
      </c>
      <c r="J17" s="20">
        <v>38469.547186000011</v>
      </c>
      <c r="K17" s="20">
        <v>17209.346067999999</v>
      </c>
      <c r="L17" s="20" t="s">
        <v>21</v>
      </c>
      <c r="M17" s="20" t="s">
        <v>21</v>
      </c>
      <c r="N17" s="20" t="s">
        <v>21</v>
      </c>
      <c r="O17" s="20" t="s">
        <v>21</v>
      </c>
      <c r="P17" s="21" t="s">
        <v>21</v>
      </c>
    </row>
    <row r="18" spans="3:36" x14ac:dyDescent="0.25">
      <c r="C18" s="19">
        <v>2007</v>
      </c>
      <c r="D18" s="20">
        <v>1190273.6039159999</v>
      </c>
      <c r="E18" s="20">
        <v>170127538.95581597</v>
      </c>
      <c r="F18" s="20">
        <v>1444361.4378260002</v>
      </c>
      <c r="G18" s="20">
        <v>3501461.9256330007</v>
      </c>
      <c r="H18" s="20">
        <v>329164.77903499996</v>
      </c>
      <c r="I18" s="20">
        <v>5103597.2635999992</v>
      </c>
      <c r="J18" s="20">
        <v>39018.915689000001</v>
      </c>
      <c r="K18" s="20">
        <v>16786.886077000003</v>
      </c>
      <c r="L18" s="20" t="s">
        <v>21</v>
      </c>
      <c r="M18" s="20" t="s">
        <v>21</v>
      </c>
      <c r="N18" s="20" t="s">
        <v>21</v>
      </c>
      <c r="O18" s="20" t="s">
        <v>21</v>
      </c>
      <c r="P18" s="21" t="s">
        <v>21</v>
      </c>
    </row>
    <row r="19" spans="3:36" x14ac:dyDescent="0.25">
      <c r="C19" s="19">
        <v>2008</v>
      </c>
      <c r="D19" s="20">
        <v>1267866.5800789997</v>
      </c>
      <c r="E19" s="20">
        <v>179870472.99560794</v>
      </c>
      <c r="F19" s="20">
        <v>1602597.0080210003</v>
      </c>
      <c r="G19" s="20">
        <v>3685931.0012759985</v>
      </c>
      <c r="H19" s="20">
        <v>345109.27027199999</v>
      </c>
      <c r="I19" s="20">
        <v>5160707.0164000001</v>
      </c>
      <c r="J19" s="20">
        <v>39037.065935000006</v>
      </c>
      <c r="K19" s="20">
        <v>16720.528117000002</v>
      </c>
      <c r="L19" s="20" t="s">
        <v>21</v>
      </c>
      <c r="M19" s="20" t="s">
        <v>21</v>
      </c>
      <c r="N19" s="20" t="s">
        <v>21</v>
      </c>
      <c r="O19" s="20" t="s">
        <v>21</v>
      </c>
      <c r="P19" s="21" t="s">
        <v>21</v>
      </c>
    </row>
    <row r="20" spans="3:36" x14ac:dyDescent="0.25">
      <c r="C20" s="19">
        <v>2009</v>
      </c>
      <c r="D20" s="20">
        <v>1276249.2028349997</v>
      </c>
      <c r="E20" s="20">
        <v>183994691.50778204</v>
      </c>
      <c r="F20" s="20">
        <v>1512931.0674320005</v>
      </c>
      <c r="G20" s="20">
        <v>3922708.3963299985</v>
      </c>
      <c r="H20" s="20">
        <v>302459.11290999997</v>
      </c>
      <c r="I20" s="20">
        <v>4418768.325600001</v>
      </c>
      <c r="J20" s="20">
        <v>37502.627191</v>
      </c>
      <c r="K20" s="20">
        <v>12297.103142</v>
      </c>
      <c r="L20" s="20" t="s">
        <v>21</v>
      </c>
      <c r="M20" s="20" t="s">
        <v>21</v>
      </c>
      <c r="N20" s="20" t="s">
        <v>21</v>
      </c>
      <c r="O20" s="20" t="s">
        <v>21</v>
      </c>
      <c r="P20" s="21" t="s">
        <v>21</v>
      </c>
    </row>
    <row r="21" spans="3:36" x14ac:dyDescent="0.25">
      <c r="C21" s="19">
        <v>2010</v>
      </c>
      <c r="D21" s="20">
        <v>1247184.0293920001</v>
      </c>
      <c r="E21" s="20">
        <v>164084388.90122896</v>
      </c>
      <c r="F21" s="20">
        <v>1470449.7064990005</v>
      </c>
      <c r="G21" s="20">
        <v>3640465.4641499999</v>
      </c>
      <c r="H21" s="20">
        <v>261989.60579399997</v>
      </c>
      <c r="I21" s="20">
        <v>6042644.2223000005</v>
      </c>
      <c r="J21" s="20">
        <v>33847.813441999999</v>
      </c>
      <c r="K21" s="20">
        <v>16963.268973000002</v>
      </c>
      <c r="L21" s="20" t="s">
        <v>21</v>
      </c>
      <c r="M21" s="20" t="s">
        <v>21</v>
      </c>
      <c r="N21" s="20" t="s">
        <v>21</v>
      </c>
      <c r="O21" s="20" t="s">
        <v>21</v>
      </c>
      <c r="P21" s="21" t="s">
        <v>21</v>
      </c>
    </row>
    <row r="22" spans="3:36" x14ac:dyDescent="0.25">
      <c r="C22" s="19">
        <v>2011</v>
      </c>
      <c r="D22" s="20">
        <v>1235345.068018001</v>
      </c>
      <c r="E22" s="20">
        <v>166186716.98165271</v>
      </c>
      <c r="F22" s="20">
        <v>1256382.6002109998</v>
      </c>
      <c r="G22" s="20">
        <v>3418862.1174220056</v>
      </c>
      <c r="H22" s="20">
        <v>230199.08238500016</v>
      </c>
      <c r="I22" s="20">
        <v>7010937.8915999997</v>
      </c>
      <c r="J22" s="20">
        <v>28881.790965999993</v>
      </c>
      <c r="K22" s="20">
        <v>19141.078052000001</v>
      </c>
      <c r="L22" s="20" t="s">
        <v>21</v>
      </c>
      <c r="M22" s="20" t="s">
        <v>21</v>
      </c>
      <c r="N22" s="20" t="s">
        <v>21</v>
      </c>
      <c r="O22" s="20" t="s">
        <v>21</v>
      </c>
      <c r="P22" s="21" t="s">
        <v>21</v>
      </c>
      <c r="Q22" s="22">
        <f t="shared" ref="Q22:Q37" si="0">D22/1000</f>
        <v>1235.345068018001</v>
      </c>
      <c r="AB22" s="23"/>
      <c r="AC22" s="23"/>
      <c r="AD22" s="23"/>
      <c r="AE22" s="23"/>
      <c r="AF22" s="23"/>
      <c r="AG22" s="23"/>
      <c r="AH22" s="23"/>
      <c r="AI22" s="23"/>
      <c r="AJ22" s="24"/>
    </row>
    <row r="23" spans="3:36" x14ac:dyDescent="0.25">
      <c r="C23" s="19">
        <v>2012</v>
      </c>
      <c r="D23" s="20">
        <v>1289916.9346156276</v>
      </c>
      <c r="E23" s="20">
        <v>153780960.26084191</v>
      </c>
      <c r="F23" s="20">
        <v>1281282.431485241</v>
      </c>
      <c r="G23" s="20">
        <v>3452004.3609873233</v>
      </c>
      <c r="H23" s="20">
        <v>249236.15747171015</v>
      </c>
      <c r="I23" s="20">
        <v>6684539.3918000003</v>
      </c>
      <c r="J23" s="20">
        <v>26104.854505400006</v>
      </c>
      <c r="K23" s="20">
        <v>16790.374244900002</v>
      </c>
      <c r="L23" s="20" t="s">
        <v>21</v>
      </c>
      <c r="M23" s="20" t="s">
        <v>21</v>
      </c>
      <c r="N23" s="20" t="s">
        <v>21</v>
      </c>
      <c r="O23" s="20" t="s">
        <v>21</v>
      </c>
      <c r="P23" s="21" t="s">
        <v>21</v>
      </c>
      <c r="Q23" s="22">
        <f t="shared" si="0"/>
        <v>1289.9169346156277</v>
      </c>
      <c r="R23" s="24"/>
      <c r="AB23" s="23"/>
      <c r="AC23" s="23"/>
      <c r="AD23" s="23"/>
      <c r="AE23" s="23"/>
      <c r="AF23" s="23"/>
      <c r="AG23" s="23"/>
      <c r="AH23" s="23"/>
      <c r="AI23" s="23"/>
    </row>
    <row r="24" spans="3:36" x14ac:dyDescent="0.25">
      <c r="C24" s="19">
        <v>2013</v>
      </c>
      <c r="D24" s="20">
        <v>1363452.9126998207</v>
      </c>
      <c r="E24" s="20">
        <v>143716837.41998193</v>
      </c>
      <c r="F24" s="20">
        <v>1351048.7423302194</v>
      </c>
      <c r="G24" s="20">
        <v>3648503.3400407191</v>
      </c>
      <c r="H24" s="20">
        <v>266312.71547875</v>
      </c>
      <c r="I24" s="20">
        <v>6680658.79</v>
      </c>
      <c r="J24" s="20">
        <v>23667.787451500008</v>
      </c>
      <c r="K24" s="20">
        <v>18139.597244000001</v>
      </c>
      <c r="L24" s="20" t="s">
        <v>21</v>
      </c>
      <c r="M24" s="20" t="s">
        <v>21</v>
      </c>
      <c r="N24" s="20" t="s">
        <v>21</v>
      </c>
      <c r="O24" s="20" t="s">
        <v>21</v>
      </c>
      <c r="P24" s="21" t="s">
        <v>21</v>
      </c>
      <c r="Q24" s="22">
        <f t="shared" si="0"/>
        <v>1363.4529126998207</v>
      </c>
      <c r="R24" s="24"/>
      <c r="AB24" s="23"/>
      <c r="AC24" s="23"/>
      <c r="AD24" s="23"/>
      <c r="AE24" s="23"/>
      <c r="AF24" s="23"/>
      <c r="AG24" s="23"/>
      <c r="AH24" s="23"/>
      <c r="AI24" s="23"/>
    </row>
    <row r="25" spans="3:36" x14ac:dyDescent="0.25">
      <c r="C25" s="19">
        <v>2014</v>
      </c>
      <c r="D25" s="20">
        <v>1377373.7760182077</v>
      </c>
      <c r="E25" s="20">
        <v>129946243.44281495</v>
      </c>
      <c r="F25" s="20">
        <v>1315221.0230463955</v>
      </c>
      <c r="G25" s="20">
        <v>3738279.9180184668</v>
      </c>
      <c r="H25" s="20">
        <v>277116.52714844397</v>
      </c>
      <c r="I25" s="20">
        <v>7192591.9308000002</v>
      </c>
      <c r="J25" s="20">
        <v>23105.261867800007</v>
      </c>
      <c r="K25" s="20">
        <v>17017.692464999996</v>
      </c>
      <c r="L25" s="20" t="s">
        <v>21</v>
      </c>
      <c r="M25" s="20" t="s">
        <v>21</v>
      </c>
      <c r="N25" s="20" t="s">
        <v>21</v>
      </c>
      <c r="O25" s="20" t="s">
        <v>21</v>
      </c>
      <c r="P25" s="21" t="s">
        <v>21</v>
      </c>
      <c r="Q25" s="22">
        <f t="shared" si="0"/>
        <v>1377.3737760182078</v>
      </c>
      <c r="R25" s="24"/>
      <c r="AB25" s="23"/>
      <c r="AC25" s="23"/>
      <c r="AD25" s="23"/>
      <c r="AE25" s="23"/>
      <c r="AF25" s="23"/>
      <c r="AG25" s="23"/>
      <c r="AH25" s="23"/>
      <c r="AI25" s="23"/>
    </row>
    <row r="26" spans="3:36" x14ac:dyDescent="0.25">
      <c r="C26" s="19">
        <v>2015</v>
      </c>
      <c r="D26" s="20">
        <v>1699939.7432781935</v>
      </c>
      <c r="E26" s="20">
        <v>137378305.7952458</v>
      </c>
      <c r="F26" s="20">
        <v>1415823.5863843861</v>
      </c>
      <c r="G26" s="20">
        <v>4071094.9244271382</v>
      </c>
      <c r="H26" s="20">
        <v>314011.10750861233</v>
      </c>
      <c r="I26" s="20">
        <v>7320806.8477000007</v>
      </c>
      <c r="J26" s="20">
        <v>19510.729779199999</v>
      </c>
      <c r="K26" s="20">
        <v>20153.237616000009</v>
      </c>
      <c r="L26" s="20" t="s">
        <v>21</v>
      </c>
      <c r="M26" s="20" t="s">
        <v>21</v>
      </c>
      <c r="N26" s="20" t="s">
        <v>21</v>
      </c>
      <c r="O26" s="20" t="s">
        <v>21</v>
      </c>
      <c r="P26" s="21" t="s">
        <v>21</v>
      </c>
      <c r="Q26" s="22">
        <f t="shared" si="0"/>
        <v>1699.9397432781934</v>
      </c>
      <c r="R26" s="24"/>
      <c r="AB26" s="23"/>
      <c r="AC26" s="23"/>
      <c r="AD26" s="23"/>
      <c r="AE26" s="23"/>
      <c r="AF26" s="23"/>
      <c r="AG26" s="23"/>
      <c r="AH26" s="23"/>
      <c r="AI26" s="23"/>
    </row>
    <row r="27" spans="3:36" x14ac:dyDescent="0.25">
      <c r="C27" s="19">
        <v>2016</v>
      </c>
      <c r="D27" s="20">
        <v>2352959.5047380654</v>
      </c>
      <c r="E27" s="20">
        <v>142230636.69316867</v>
      </c>
      <c r="F27" s="20">
        <v>1329178.0227656392</v>
      </c>
      <c r="G27" s="20">
        <v>4329179.7629066529</v>
      </c>
      <c r="H27" s="20">
        <v>312806.40109176951</v>
      </c>
      <c r="I27" s="20">
        <v>7663123.9877000004</v>
      </c>
      <c r="J27" s="20">
        <v>18789.0047614</v>
      </c>
      <c r="K27" s="20">
        <v>25756.505005499999</v>
      </c>
      <c r="L27" s="20">
        <v>23251.82108854</v>
      </c>
      <c r="M27" s="20">
        <v>187.59719447999996</v>
      </c>
      <c r="N27" s="20" t="s">
        <v>21</v>
      </c>
      <c r="O27" s="20">
        <v>1194.0643193499998</v>
      </c>
      <c r="P27" s="21" t="s">
        <v>21</v>
      </c>
      <c r="Q27" s="22">
        <f t="shared" si="0"/>
        <v>2352.9595047380653</v>
      </c>
      <c r="R27" s="24"/>
      <c r="AB27" s="23"/>
      <c r="AC27" s="23"/>
      <c r="AD27" s="23"/>
      <c r="AE27" s="23"/>
      <c r="AF27" s="23"/>
      <c r="AG27" s="23"/>
      <c r="AH27" s="23"/>
      <c r="AI27" s="23"/>
    </row>
    <row r="28" spans="3:36" x14ac:dyDescent="0.25">
      <c r="C28" s="19">
        <v>2017</v>
      </c>
      <c r="D28" s="20">
        <v>2440181.1105834288</v>
      </c>
      <c r="E28" s="20">
        <v>138425832.76156646</v>
      </c>
      <c r="F28" s="20">
        <v>1466521.468671351</v>
      </c>
      <c r="G28" s="20">
        <v>4318324.2784375055</v>
      </c>
      <c r="H28" s="20">
        <v>305279.59941443987</v>
      </c>
      <c r="I28" s="20">
        <v>8668091.618999999</v>
      </c>
      <c r="J28" s="20">
        <v>17790.363566100001</v>
      </c>
      <c r="K28" s="20">
        <v>28141.125214199987</v>
      </c>
      <c r="L28" s="20">
        <v>22403.407244680002</v>
      </c>
      <c r="M28" s="20">
        <v>123.17674860000001</v>
      </c>
      <c r="N28" s="20" t="s">
        <v>21</v>
      </c>
      <c r="O28" s="20">
        <v>1133.2781170000001</v>
      </c>
      <c r="P28" s="21" t="s">
        <v>21</v>
      </c>
      <c r="Q28" s="22">
        <f t="shared" si="0"/>
        <v>2440.1811105834286</v>
      </c>
      <c r="R28" s="24"/>
      <c r="AB28" s="23"/>
      <c r="AC28" s="23"/>
      <c r="AD28" s="23"/>
      <c r="AE28" s="23"/>
      <c r="AF28" s="23"/>
      <c r="AG28" s="23"/>
      <c r="AH28" s="23"/>
      <c r="AI28" s="23"/>
    </row>
    <row r="29" spans="3:36" ht="12" customHeight="1" x14ac:dyDescent="0.25">
      <c r="C29" s="19">
        <v>2018</v>
      </c>
      <c r="D29" s="20">
        <v>2416881.1002070699</v>
      </c>
      <c r="E29" s="20">
        <v>125933914.4370804</v>
      </c>
      <c r="F29" s="20">
        <v>1471845.936649523</v>
      </c>
      <c r="G29" s="20">
        <v>3999990.1319625694</v>
      </c>
      <c r="H29" s="20">
        <v>288796.22529555805</v>
      </c>
      <c r="I29" s="20">
        <v>9096993.8719999995</v>
      </c>
      <c r="J29" s="20">
        <v>18601.344508400005</v>
      </c>
      <c r="K29" s="20">
        <v>27604.218841510006</v>
      </c>
      <c r="L29" s="20">
        <v>20407.598393799999</v>
      </c>
      <c r="M29" s="20">
        <v>145.236144</v>
      </c>
      <c r="N29" s="20" t="s">
        <v>21</v>
      </c>
      <c r="O29" s="20">
        <v>20879.636489500001</v>
      </c>
      <c r="P29" s="21" t="s">
        <v>21</v>
      </c>
      <c r="Q29" s="22">
        <f t="shared" si="0"/>
        <v>2416.8811002070697</v>
      </c>
      <c r="R29" s="24"/>
      <c r="AB29" s="23"/>
      <c r="AC29" s="23"/>
      <c r="AD29" s="23"/>
      <c r="AE29" s="23"/>
      <c r="AF29" s="23"/>
      <c r="AG29" s="23"/>
      <c r="AH29" s="23"/>
      <c r="AI29" s="23"/>
    </row>
    <row r="30" spans="3:36" x14ac:dyDescent="0.25">
      <c r="C30" s="19">
        <v>2019</v>
      </c>
      <c r="D30" s="20">
        <v>2437925.373902773</v>
      </c>
      <c r="E30" s="20">
        <v>113586028.97131993</v>
      </c>
      <c r="F30" s="20">
        <v>1382753.4838439696</v>
      </c>
      <c r="G30" s="20">
        <v>3706760.2491151234</v>
      </c>
      <c r="H30" s="20">
        <v>307020.88310454384</v>
      </c>
      <c r="I30" s="20">
        <v>9666411.8718999997</v>
      </c>
      <c r="J30" s="20">
        <v>19853.168399999995</v>
      </c>
      <c r="K30" s="20">
        <v>30441.359039579998</v>
      </c>
      <c r="L30" s="20">
        <v>24914.734069159997</v>
      </c>
      <c r="M30" s="20">
        <v>72.514848099999995</v>
      </c>
      <c r="N30" s="20" t="s">
        <v>21</v>
      </c>
      <c r="O30" s="20">
        <v>18814.2028421</v>
      </c>
      <c r="P30" s="21" t="s">
        <v>21</v>
      </c>
      <c r="Q30" s="22">
        <f t="shared" si="0"/>
        <v>2437.9253739027731</v>
      </c>
      <c r="R30" s="24"/>
      <c r="AB30" s="23"/>
      <c r="AC30" s="23"/>
      <c r="AD30" s="23"/>
      <c r="AE30" s="23"/>
      <c r="AF30" s="23"/>
      <c r="AG30" s="23"/>
      <c r="AH30" s="23"/>
      <c r="AI30" s="23"/>
    </row>
    <row r="31" spans="3:36" x14ac:dyDescent="0.25">
      <c r="C31" s="19">
        <v>2020</v>
      </c>
      <c r="D31" s="20">
        <v>2150125.9121219628</v>
      </c>
      <c r="E31" s="20">
        <v>85368457.367976174</v>
      </c>
      <c r="F31" s="20">
        <v>1334570.4777680759</v>
      </c>
      <c r="G31" s="20">
        <v>2721461.1368655483</v>
      </c>
      <c r="H31" s="20">
        <v>241547.91303967001</v>
      </c>
      <c r="I31" s="20">
        <v>8893971.5276180003</v>
      </c>
      <c r="J31" s="20">
        <v>20646.581029499997</v>
      </c>
      <c r="K31" s="20">
        <v>32184.625879069805</v>
      </c>
      <c r="L31" s="20">
        <v>19013.894022044497</v>
      </c>
      <c r="M31" s="20">
        <v>73.906293489500015</v>
      </c>
      <c r="N31" s="20">
        <v>235.52044689999997</v>
      </c>
      <c r="O31" s="20">
        <v>10119.873510295998</v>
      </c>
      <c r="P31" s="21" t="s">
        <v>21</v>
      </c>
      <c r="Q31" s="22">
        <f t="shared" si="0"/>
        <v>2150.1259121219628</v>
      </c>
      <c r="R31" s="24"/>
      <c r="AB31" s="23"/>
      <c r="AC31" s="23"/>
      <c r="AD31" s="23"/>
      <c r="AE31" s="23"/>
      <c r="AF31" s="23"/>
      <c r="AG31" s="23"/>
      <c r="AH31" s="23"/>
      <c r="AI31" s="23"/>
    </row>
    <row r="32" spans="3:36" x14ac:dyDescent="0.25">
      <c r="C32" s="19">
        <v>2021</v>
      </c>
      <c r="D32" s="20">
        <v>2326035.3089323733</v>
      </c>
      <c r="E32" s="20">
        <v>97492951.121057257</v>
      </c>
      <c r="F32" s="20">
        <v>1533134.9989912319</v>
      </c>
      <c r="G32" s="20">
        <v>3333632.4494976597</v>
      </c>
      <c r="H32" s="20">
        <v>264426.50705023162</v>
      </c>
      <c r="I32" s="20">
        <v>12149273.526027001</v>
      </c>
      <c r="J32" s="20">
        <v>26995.267701000004</v>
      </c>
      <c r="K32" s="20">
        <v>34148.029036760017</v>
      </c>
      <c r="L32" s="20">
        <v>21876.501141209999</v>
      </c>
      <c r="M32" s="20">
        <v>247.486251065</v>
      </c>
      <c r="N32" s="20">
        <v>278.81457949999998</v>
      </c>
      <c r="O32" s="20">
        <v>11390.682832689996</v>
      </c>
      <c r="P32" s="21" t="s">
        <v>21</v>
      </c>
      <c r="Q32" s="22">
        <f t="shared" si="0"/>
        <v>2326.0353089323735</v>
      </c>
      <c r="R32" s="24"/>
      <c r="AB32" s="23"/>
      <c r="AC32" s="23"/>
      <c r="AD32" s="23"/>
      <c r="AE32" s="23"/>
      <c r="AF32" s="23"/>
      <c r="AG32" s="23"/>
      <c r="AH32" s="23"/>
      <c r="AI32" s="23"/>
    </row>
    <row r="33" spans="3:35" x14ac:dyDescent="0.25">
      <c r="C33" s="19">
        <v>2022</v>
      </c>
      <c r="D33" s="20">
        <v>2445270.8303173976</v>
      </c>
      <c r="E33" s="20">
        <v>96965977.163885579</v>
      </c>
      <c r="F33" s="20">
        <v>1369649.1117797941</v>
      </c>
      <c r="G33" s="20">
        <v>3084038.7076613051</v>
      </c>
      <c r="H33" s="20">
        <v>255442.99715858512</v>
      </c>
      <c r="I33" s="20">
        <v>12936826.381839</v>
      </c>
      <c r="J33" s="20">
        <v>28231.359913</v>
      </c>
      <c r="K33" s="20">
        <v>31587.568951759989</v>
      </c>
      <c r="L33" s="20">
        <v>25378.500620530005</v>
      </c>
      <c r="M33" s="20">
        <v>251.24793746000006</v>
      </c>
      <c r="N33" s="20">
        <v>263.99886950000001</v>
      </c>
      <c r="O33" s="20">
        <v>1169.1241914</v>
      </c>
      <c r="P33" s="21" t="s">
        <v>21</v>
      </c>
      <c r="Q33" s="22">
        <f t="shared" si="0"/>
        <v>2445.2708303173977</v>
      </c>
      <c r="R33" s="24"/>
      <c r="AB33" s="23"/>
      <c r="AC33" s="23"/>
      <c r="AD33" s="23"/>
      <c r="AE33" s="23"/>
      <c r="AF33" s="23"/>
      <c r="AG33" s="23"/>
      <c r="AH33" s="23"/>
      <c r="AI33" s="23"/>
    </row>
    <row r="34" spans="3:35" x14ac:dyDescent="0.25">
      <c r="C34" s="19">
        <v>2023</v>
      </c>
      <c r="D34" s="20">
        <v>2755244.3167853276</v>
      </c>
      <c r="E34" s="20">
        <v>100985631.43873213</v>
      </c>
      <c r="F34" s="20">
        <v>1469127.1631768667</v>
      </c>
      <c r="G34" s="20">
        <v>3041393.6459926581</v>
      </c>
      <c r="H34" s="20">
        <v>273335.49825696991</v>
      </c>
      <c r="I34" s="20">
        <v>12986023.244491</v>
      </c>
      <c r="J34" s="20">
        <v>26230.046980000003</v>
      </c>
      <c r="K34" s="20">
        <v>33475.6190292315</v>
      </c>
      <c r="L34" s="20">
        <v>31161.763995300007</v>
      </c>
      <c r="M34" s="20">
        <v>303.74941249999995</v>
      </c>
      <c r="N34" s="20">
        <v>331.35815600000001</v>
      </c>
      <c r="O34" s="20">
        <v>1326.7171017999999</v>
      </c>
      <c r="P34" s="21">
        <v>22.705695600000002</v>
      </c>
      <c r="Q34" s="22">
        <f t="shared" si="0"/>
        <v>2755.2443167853276</v>
      </c>
      <c r="R34" s="24"/>
      <c r="AB34" s="23"/>
      <c r="AC34" s="23"/>
      <c r="AD34" s="23"/>
      <c r="AE34" s="23"/>
      <c r="AF34" s="23"/>
      <c r="AG34" s="23"/>
      <c r="AH34" s="23"/>
      <c r="AI34" s="23"/>
    </row>
    <row r="35" spans="3:35" x14ac:dyDescent="0.25">
      <c r="C35" s="19">
        <v>2024</v>
      </c>
      <c r="D35" s="20">
        <v>2736237.1072517242</v>
      </c>
      <c r="E35" s="20">
        <v>109624691.96159829</v>
      </c>
      <c r="F35" s="20">
        <v>1270646.954794979</v>
      </c>
      <c r="G35" s="20">
        <v>3512301.3933015401</v>
      </c>
      <c r="H35" s="20">
        <v>291319.62661629292</v>
      </c>
      <c r="I35" s="20">
        <v>13309265.480335999</v>
      </c>
      <c r="J35" s="20">
        <v>32317.234399999998</v>
      </c>
      <c r="K35" s="20">
        <v>41941.797900007798</v>
      </c>
      <c r="L35" s="20">
        <v>32027.784417279996</v>
      </c>
      <c r="M35" s="20">
        <v>265.34277630000003</v>
      </c>
      <c r="N35" s="20">
        <v>317.31784800000003</v>
      </c>
      <c r="O35" s="20">
        <v>24159.249493900003</v>
      </c>
      <c r="P35" s="21">
        <v>40.573911600000002</v>
      </c>
      <c r="Q35" s="22">
        <f t="shared" si="0"/>
        <v>2736.2371072517244</v>
      </c>
      <c r="R35" s="24"/>
      <c r="AB35" s="23"/>
      <c r="AC35" s="23"/>
      <c r="AD35" s="23"/>
      <c r="AE35" s="23"/>
      <c r="AF35" s="23"/>
      <c r="AG35" s="23"/>
      <c r="AH35" s="23"/>
      <c r="AI35" s="23"/>
    </row>
    <row r="36" spans="3:35" s="196" customFormat="1" x14ac:dyDescent="0.25">
      <c r="C36" s="194">
        <v>2025</v>
      </c>
      <c r="D36" s="20">
        <v>2765994.5368234012</v>
      </c>
      <c r="E36" s="20">
        <v>109952906.89542851</v>
      </c>
      <c r="F36" s="20">
        <v>1510132.3151698592</v>
      </c>
      <c r="G36" s="20">
        <v>3759378.3093358874</v>
      </c>
      <c r="H36" s="20">
        <v>316316.95088795654</v>
      </c>
      <c r="I36" s="20">
        <v>11892474.643507</v>
      </c>
      <c r="J36" s="20">
        <v>33816.1850402415</v>
      </c>
      <c r="K36" s="20">
        <v>38009.426948576402</v>
      </c>
      <c r="L36" s="20">
        <v>28040.647536211498</v>
      </c>
      <c r="M36" s="20">
        <v>283.76478212150005</v>
      </c>
      <c r="N36" s="20">
        <v>311.76211124150007</v>
      </c>
      <c r="O36" s="20">
        <v>39204.828695041506</v>
      </c>
      <c r="P36" s="178">
        <v>35.5320762415</v>
      </c>
      <c r="Q36" s="22">
        <f t="shared" si="0"/>
        <v>2765.9945368234012</v>
      </c>
      <c r="R36" s="195"/>
      <c r="AB36" s="189"/>
      <c r="AC36" s="189"/>
      <c r="AD36" s="189"/>
      <c r="AE36" s="189"/>
      <c r="AF36" s="189"/>
      <c r="AG36" s="189"/>
      <c r="AH36" s="189"/>
      <c r="AI36" s="189"/>
    </row>
    <row r="37" spans="3:35" ht="36.75" x14ac:dyDescent="0.25">
      <c r="C37" s="224" t="s">
        <v>131</v>
      </c>
      <c r="D37" s="25">
        <f>SUM(D38:D45)</f>
        <v>1829790.4759988964</v>
      </c>
      <c r="E37" s="25">
        <f t="shared" ref="E37:P37" si="1">SUM(E38:E45)</f>
        <v>66926973.087066561</v>
      </c>
      <c r="F37" s="25">
        <f t="shared" si="1"/>
        <v>851678.71337466617</v>
      </c>
      <c r="G37" s="25">
        <f t="shared" si="1"/>
        <v>2363917.6817924241</v>
      </c>
      <c r="H37" s="25">
        <f t="shared" si="1"/>
        <v>191533.066450735</v>
      </c>
      <c r="I37" s="25">
        <f t="shared" si="1"/>
        <v>9449020.3268720005</v>
      </c>
      <c r="J37" s="25">
        <f t="shared" si="1"/>
        <v>23477.922262</v>
      </c>
      <c r="K37" s="25">
        <f t="shared" si="1"/>
        <v>25617.342334193399</v>
      </c>
      <c r="L37" s="25">
        <f t="shared" si="1"/>
        <v>17485.7534982</v>
      </c>
      <c r="M37" s="25">
        <f t="shared" si="1"/>
        <v>200.31078959999999</v>
      </c>
      <c r="N37" s="25">
        <f t="shared" si="1"/>
        <v>187.00514899999999</v>
      </c>
      <c r="O37" s="25">
        <f t="shared" si="1"/>
        <v>26546.732107299998</v>
      </c>
      <c r="P37" s="25">
        <f t="shared" si="1"/>
        <v>35.106030000000004</v>
      </c>
      <c r="Q37" s="22">
        <f t="shared" si="0"/>
        <v>1829.7904759988965</v>
      </c>
      <c r="R37" s="24"/>
      <c r="AB37" s="23"/>
      <c r="AC37" s="23"/>
      <c r="AD37" s="23"/>
      <c r="AE37" s="23"/>
      <c r="AF37" s="23"/>
      <c r="AG37" s="23"/>
      <c r="AH37" s="23"/>
      <c r="AI37" s="23"/>
    </row>
    <row r="38" spans="3:35" x14ac:dyDescent="0.25">
      <c r="C38" s="197" t="s">
        <v>22</v>
      </c>
      <c r="D38" s="20">
        <v>226465.13532835097</v>
      </c>
      <c r="E38" s="20">
        <v>8854678.9160302784</v>
      </c>
      <c r="F38" s="20">
        <v>107018.13228034819</v>
      </c>
      <c r="G38" s="20">
        <v>288167.58423592697</v>
      </c>
      <c r="H38" s="20">
        <v>22788.222500706997</v>
      </c>
      <c r="I38" s="20">
        <v>1175604.6615900001</v>
      </c>
      <c r="J38" s="20">
        <v>2638.101392</v>
      </c>
      <c r="K38" s="20">
        <v>3100.2304261199997</v>
      </c>
      <c r="L38" s="20">
        <v>1688.6074727999996</v>
      </c>
      <c r="M38" s="180">
        <v>17.800156399999999</v>
      </c>
      <c r="N38" s="180">
        <v>26.551486000000001</v>
      </c>
      <c r="O38" s="20">
        <v>3476.3602592999996</v>
      </c>
      <c r="P38" s="181">
        <v>3.9908700000000001</v>
      </c>
      <c r="Q38" s="26">
        <v>11138766.849174995</v>
      </c>
      <c r="T38" s="27"/>
      <c r="U38" s="27"/>
      <c r="V38" s="27"/>
      <c r="W38" s="27"/>
      <c r="X38" s="27"/>
      <c r="Y38" s="27"/>
      <c r="Z38" s="27"/>
      <c r="AA38" s="27"/>
      <c r="AB38" s="23"/>
      <c r="AC38" s="23"/>
      <c r="AD38" s="23"/>
      <c r="AE38" s="23"/>
      <c r="AF38" s="23"/>
      <c r="AG38" s="23"/>
      <c r="AH38" s="23"/>
      <c r="AI38" s="23"/>
    </row>
    <row r="39" spans="3:35" x14ac:dyDescent="0.25">
      <c r="C39" s="198" t="s">
        <v>23</v>
      </c>
      <c r="D39" s="20">
        <v>223285.27726754191</v>
      </c>
      <c r="E39" s="20">
        <v>7486935.5034139687</v>
      </c>
      <c r="F39" s="20">
        <v>108417.09502581699</v>
      </c>
      <c r="G39" s="20">
        <v>289956.75850244495</v>
      </c>
      <c r="H39" s="20">
        <v>21536.775960890009</v>
      </c>
      <c r="I39" s="20">
        <v>1138826.6746080001</v>
      </c>
      <c r="J39" s="20">
        <v>2611.0019500000003</v>
      </c>
      <c r="K39" s="20">
        <v>3116.1079425219996</v>
      </c>
      <c r="L39" s="20">
        <v>2087.2887541999999</v>
      </c>
      <c r="M39" s="180">
        <v>18.494443</v>
      </c>
      <c r="N39" s="180">
        <v>22.429242000000002</v>
      </c>
      <c r="O39" s="20">
        <v>3321.9614590000001</v>
      </c>
      <c r="P39" s="181">
        <v>4.047072</v>
      </c>
      <c r="Q39" s="26"/>
      <c r="T39" s="27"/>
      <c r="U39" s="27"/>
      <c r="V39" s="27"/>
      <c r="W39" s="27"/>
      <c r="X39" s="27"/>
      <c r="Y39" s="27"/>
      <c r="Z39" s="27"/>
      <c r="AA39" s="27"/>
      <c r="AB39" s="23"/>
      <c r="AC39" s="23"/>
      <c r="AD39" s="23"/>
      <c r="AE39" s="23"/>
      <c r="AF39" s="23"/>
      <c r="AG39" s="23"/>
      <c r="AH39" s="23"/>
      <c r="AI39" s="23"/>
    </row>
    <row r="40" spans="3:35" x14ac:dyDescent="0.25">
      <c r="C40" s="28" t="s">
        <v>24</v>
      </c>
      <c r="D40" s="20">
        <v>238463.97373834343</v>
      </c>
      <c r="E40" s="20">
        <v>8647862.0769819953</v>
      </c>
      <c r="F40" s="20">
        <v>112647.478523602</v>
      </c>
      <c r="G40" s="20">
        <v>303515.09163658979</v>
      </c>
      <c r="H40" s="20">
        <v>23836.885576989011</v>
      </c>
      <c r="I40" s="20">
        <v>1254443.352592</v>
      </c>
      <c r="J40" s="20">
        <v>2743.6943419999998</v>
      </c>
      <c r="K40" s="20">
        <v>3507.1413508700002</v>
      </c>
      <c r="L40" s="20">
        <v>1923.9981766000001</v>
      </c>
      <c r="M40" s="180">
        <v>24.4855892</v>
      </c>
      <c r="N40" s="180">
        <v>22.518574000000001</v>
      </c>
      <c r="O40" s="20">
        <v>3189.6974124000003</v>
      </c>
      <c r="P40" s="200">
        <v>5.5070579999999998</v>
      </c>
      <c r="Q40" s="26"/>
      <c r="T40" s="27"/>
      <c r="U40" s="27"/>
      <c r="V40" s="27"/>
      <c r="W40" s="27"/>
      <c r="X40" s="27"/>
      <c r="Y40" s="27"/>
      <c r="Z40" s="27"/>
      <c r="AA40" s="27"/>
      <c r="AB40" s="23"/>
      <c r="AC40" s="23"/>
      <c r="AD40" s="23"/>
      <c r="AE40" s="23"/>
      <c r="AF40" s="23"/>
      <c r="AG40" s="23"/>
      <c r="AH40" s="23"/>
      <c r="AI40" s="23"/>
    </row>
    <row r="41" spans="3:35" x14ac:dyDescent="0.25">
      <c r="C41" s="28" t="s">
        <v>25</v>
      </c>
      <c r="D41" s="20">
        <v>230069.22009788002</v>
      </c>
      <c r="E41" s="20">
        <v>8516107.9898368828</v>
      </c>
      <c r="F41" s="20">
        <v>109969.57998020601</v>
      </c>
      <c r="G41" s="20">
        <v>305270.79588996101</v>
      </c>
      <c r="H41" s="20">
        <v>23631.853880305993</v>
      </c>
      <c r="I41" s="20">
        <v>1114153.7374539999</v>
      </c>
      <c r="J41" s="20">
        <v>3064.913102</v>
      </c>
      <c r="K41" s="20">
        <v>3178.84068884</v>
      </c>
      <c r="L41" s="20">
        <v>2173.9089795999998</v>
      </c>
      <c r="M41" s="180">
        <v>25.714176999999999</v>
      </c>
      <c r="N41" s="180">
        <v>22.187384000000002</v>
      </c>
      <c r="O41" s="20">
        <v>4010.9459781999999</v>
      </c>
      <c r="P41" s="200">
        <v>4.3102679999999998</v>
      </c>
      <c r="Q41" s="26"/>
      <c r="T41" s="27"/>
      <c r="U41" s="27"/>
      <c r="V41" s="27"/>
      <c r="W41" s="27"/>
      <c r="X41" s="27"/>
      <c r="Y41" s="27"/>
      <c r="Z41" s="27"/>
      <c r="AA41" s="27"/>
      <c r="AB41" s="23"/>
      <c r="AC41" s="23"/>
      <c r="AD41" s="23"/>
      <c r="AE41" s="23"/>
      <c r="AF41" s="23"/>
      <c r="AG41" s="23"/>
      <c r="AH41" s="23"/>
      <c r="AI41" s="23"/>
    </row>
    <row r="42" spans="3:35" x14ac:dyDescent="0.25">
      <c r="C42" s="198" t="s">
        <v>127</v>
      </c>
      <c r="D42" s="20">
        <v>226083.84848298298</v>
      </c>
      <c r="E42" s="20">
        <v>8406686.3624021597</v>
      </c>
      <c r="F42" s="20">
        <v>104727.58935069098</v>
      </c>
      <c r="G42" s="20">
        <v>279548.38802998757</v>
      </c>
      <c r="H42" s="20">
        <v>23262.244831822001</v>
      </c>
      <c r="I42" s="20">
        <v>1240371.767396</v>
      </c>
      <c r="J42" s="20">
        <v>3301.3702799999996</v>
      </c>
      <c r="K42" s="20">
        <v>2845.6354515879998</v>
      </c>
      <c r="L42" s="20">
        <v>1988.2823851000003</v>
      </c>
      <c r="M42" s="180">
        <v>28.570499000000002</v>
      </c>
      <c r="N42" s="180">
        <v>21.732047000000001</v>
      </c>
      <c r="O42" s="20">
        <v>3105.3971604000008</v>
      </c>
      <c r="P42" s="200">
        <v>3.9205589999999999</v>
      </c>
      <c r="Q42" s="26"/>
      <c r="T42" s="27"/>
      <c r="U42" s="27"/>
      <c r="V42" s="27"/>
      <c r="W42" s="27"/>
      <c r="X42" s="27"/>
      <c r="Y42" s="27"/>
      <c r="Z42" s="27"/>
      <c r="AA42" s="27"/>
      <c r="AB42" s="23"/>
      <c r="AC42" s="23"/>
      <c r="AD42" s="23"/>
      <c r="AE42" s="23"/>
      <c r="AF42" s="23"/>
      <c r="AG42" s="23"/>
      <c r="AH42" s="23"/>
      <c r="AI42" s="23"/>
    </row>
    <row r="43" spans="3:35" x14ac:dyDescent="0.25">
      <c r="C43" s="198" t="s">
        <v>128</v>
      </c>
      <c r="D43" s="20">
        <v>218232.08372879706</v>
      </c>
      <c r="E43" s="20">
        <v>7941508.7744702762</v>
      </c>
      <c r="F43" s="20">
        <v>101132.97571300203</v>
      </c>
      <c r="G43" s="20">
        <v>282494.02233459521</v>
      </c>
      <c r="H43" s="20">
        <v>24196.878218021004</v>
      </c>
      <c r="I43" s="20">
        <v>1205876.703828</v>
      </c>
      <c r="J43" s="20">
        <v>3155.2792760000002</v>
      </c>
      <c r="K43" s="20">
        <v>3029.2893922533999</v>
      </c>
      <c r="L43" s="20">
        <v>3039.2595268999999</v>
      </c>
      <c r="M43" s="180">
        <v>27.428760999999998</v>
      </c>
      <c r="N43" s="180">
        <v>26.299002999999999</v>
      </c>
      <c r="O43" s="20">
        <v>3319.0097819999996</v>
      </c>
      <c r="P43" s="200">
        <v>5.3677859999999997</v>
      </c>
      <c r="Q43" s="26"/>
      <c r="T43" s="27"/>
      <c r="U43" s="27"/>
      <c r="V43" s="27"/>
      <c r="W43" s="27"/>
      <c r="X43" s="27"/>
      <c r="Y43" s="27"/>
      <c r="Z43" s="27"/>
      <c r="AA43" s="27"/>
      <c r="AB43" s="23"/>
      <c r="AC43" s="23"/>
      <c r="AD43" s="23"/>
      <c r="AE43" s="23"/>
      <c r="AF43" s="23"/>
      <c r="AG43" s="23"/>
      <c r="AH43" s="23"/>
      <c r="AI43" s="23"/>
    </row>
    <row r="44" spans="3:35" x14ac:dyDescent="0.25">
      <c r="C44" s="198" t="s">
        <v>129</v>
      </c>
      <c r="D44" s="20">
        <v>236515.08868000004</v>
      </c>
      <c r="E44" s="20">
        <v>8449019.5969850011</v>
      </c>
      <c r="F44" s="20">
        <v>102140.65417500002</v>
      </c>
      <c r="G44" s="20">
        <v>302718.58791891823</v>
      </c>
      <c r="H44" s="20">
        <v>26122.493078999989</v>
      </c>
      <c r="I44" s="20">
        <v>1066370.64986</v>
      </c>
      <c r="J44" s="20">
        <v>3230.7702250000002</v>
      </c>
      <c r="K44" s="20">
        <v>3606.7932000000001</v>
      </c>
      <c r="L44" s="20">
        <v>2277.090549</v>
      </c>
      <c r="M44" s="180">
        <v>24.117539999999998</v>
      </c>
      <c r="N44" s="180">
        <v>21.496898000000002</v>
      </c>
      <c r="O44" s="20">
        <v>3460.9957440000003</v>
      </c>
      <c r="P44" s="200">
        <v>3.2440980000000001</v>
      </c>
      <c r="Q44" s="26"/>
      <c r="T44" s="27"/>
      <c r="U44" s="27"/>
      <c r="V44" s="27"/>
      <c r="W44" s="27"/>
      <c r="X44" s="27"/>
      <c r="Y44" s="27"/>
      <c r="Z44" s="27"/>
      <c r="AA44" s="27"/>
      <c r="AB44" s="23"/>
      <c r="AC44" s="23"/>
      <c r="AD44" s="23"/>
      <c r="AE44" s="23"/>
      <c r="AF44" s="23"/>
      <c r="AG44" s="23"/>
      <c r="AH44" s="23"/>
      <c r="AI44" s="23"/>
    </row>
    <row r="45" spans="3:35" x14ac:dyDescent="0.25">
      <c r="C45" s="28" t="s">
        <v>130</v>
      </c>
      <c r="D45" s="20">
        <v>230675.84867499999</v>
      </c>
      <c r="E45" s="20">
        <v>8624173.8669460006</v>
      </c>
      <c r="F45" s="20">
        <v>105625.20832600008</v>
      </c>
      <c r="G45" s="20">
        <v>312246.45324400009</v>
      </c>
      <c r="H45" s="20">
        <v>26157.712403000005</v>
      </c>
      <c r="I45" s="20">
        <v>1253372.779544</v>
      </c>
      <c r="J45" s="20">
        <v>2732.7916949999999</v>
      </c>
      <c r="K45" s="20">
        <v>3233.3038820000002</v>
      </c>
      <c r="L45" s="20">
        <v>2307.3176539999999</v>
      </c>
      <c r="M45" s="180">
        <v>33.699624</v>
      </c>
      <c r="N45" s="180">
        <v>23.790514999999999</v>
      </c>
      <c r="O45" s="20">
        <v>2662.3643119999997</v>
      </c>
      <c r="P45" s="200">
        <v>4.7183190000000002</v>
      </c>
      <c r="Q45" s="26"/>
      <c r="T45" s="27"/>
      <c r="U45" s="27"/>
      <c r="V45" s="27"/>
      <c r="W45" s="27"/>
      <c r="X45" s="27"/>
      <c r="Y45" s="27"/>
      <c r="Z45" s="27"/>
      <c r="AA45" s="27"/>
      <c r="AB45" s="23"/>
      <c r="AC45" s="23"/>
      <c r="AD45" s="23"/>
      <c r="AE45" s="23"/>
      <c r="AF45" s="23"/>
      <c r="AG45" s="23"/>
      <c r="AH45" s="23"/>
      <c r="AI45" s="23"/>
    </row>
    <row r="46" spans="3:35" x14ac:dyDescent="0.25">
      <c r="C46" s="220"/>
      <c r="D46" s="221"/>
      <c r="E46" s="221"/>
      <c r="F46" s="221"/>
      <c r="G46" s="221"/>
      <c r="H46" s="221"/>
      <c r="I46" s="221"/>
      <c r="J46" s="221"/>
      <c r="K46" s="221"/>
      <c r="L46" s="221"/>
      <c r="M46" s="222"/>
      <c r="N46" s="221"/>
      <c r="O46" s="221"/>
      <c r="P46" s="223"/>
      <c r="Q46" s="26"/>
      <c r="T46" s="27"/>
      <c r="U46" s="27"/>
      <c r="V46" s="27"/>
      <c r="W46" s="27"/>
      <c r="X46" s="27"/>
      <c r="Y46" s="27"/>
      <c r="Z46" s="27"/>
      <c r="AA46" s="27"/>
      <c r="AB46" s="23"/>
      <c r="AC46" s="23"/>
      <c r="AD46" s="23"/>
      <c r="AE46" s="23"/>
      <c r="AF46" s="23"/>
      <c r="AG46" s="23"/>
      <c r="AH46" s="23"/>
      <c r="AI46" s="23"/>
    </row>
    <row r="47" spans="3:35" x14ac:dyDescent="0.25">
      <c r="C47" s="32" t="s">
        <v>132</v>
      </c>
      <c r="D47" s="33"/>
      <c r="E47" s="33"/>
      <c r="F47" s="34"/>
      <c r="G47" s="33"/>
      <c r="H47" s="33"/>
      <c r="I47" s="33"/>
      <c r="J47" s="33"/>
      <c r="K47" s="33"/>
      <c r="L47" s="33"/>
      <c r="M47" s="33"/>
      <c r="N47" s="33"/>
      <c r="O47" s="33"/>
      <c r="P47" s="35"/>
      <c r="R47" s="24"/>
      <c r="S47" s="36"/>
    </row>
    <row r="48" spans="3:35" ht="24" x14ac:dyDescent="0.25">
      <c r="C48" s="225" t="s">
        <v>133</v>
      </c>
      <c r="D48" s="20">
        <v>242791.94776674092</v>
      </c>
      <c r="E48" s="20">
        <v>9894307.6985394824</v>
      </c>
      <c r="F48" s="20">
        <v>146826.35025126263</v>
      </c>
      <c r="G48" s="20">
        <v>348630.27056469861</v>
      </c>
      <c r="H48" s="20">
        <v>27179.629468529609</v>
      </c>
      <c r="I48" s="20">
        <v>1148061.4364120001</v>
      </c>
      <c r="J48" s="20">
        <v>2934.8496</v>
      </c>
      <c r="K48" s="20">
        <v>2874.9100077799999</v>
      </c>
      <c r="L48" s="20">
        <v>2570.0481632000001</v>
      </c>
      <c r="M48" s="20">
        <v>28.906146999999997</v>
      </c>
      <c r="N48" s="20">
        <v>24.351747</v>
      </c>
      <c r="O48" s="20">
        <v>3892.8888760000004</v>
      </c>
      <c r="P48" s="21">
        <v>2.8652799999999998</v>
      </c>
      <c r="R48" s="24"/>
      <c r="S48" s="36"/>
    </row>
    <row r="49" spans="3:35" ht="24" x14ac:dyDescent="0.25">
      <c r="C49" s="226" t="s">
        <v>134</v>
      </c>
      <c r="D49" s="20">
        <v>230675.84867499999</v>
      </c>
      <c r="E49" s="20">
        <v>8624173.8669460006</v>
      </c>
      <c r="F49" s="20">
        <v>105625.20832600008</v>
      </c>
      <c r="G49" s="20">
        <v>312246.45324400009</v>
      </c>
      <c r="H49" s="20">
        <v>26157.712403000005</v>
      </c>
      <c r="I49" s="20">
        <v>1253372.779544</v>
      </c>
      <c r="J49" s="20">
        <v>2732.7916949999999</v>
      </c>
      <c r="K49" s="20">
        <v>3233.3038820000002</v>
      </c>
      <c r="L49" s="20">
        <v>2307.3176539999999</v>
      </c>
      <c r="M49" s="20">
        <v>33.699624</v>
      </c>
      <c r="N49" s="20">
        <v>23.790514999999999</v>
      </c>
      <c r="O49" s="20">
        <v>2662.3643119999997</v>
      </c>
      <c r="P49" s="178">
        <v>4.7183190000000002</v>
      </c>
      <c r="Q49" s="37"/>
      <c r="R49" s="24"/>
      <c r="S49" s="23"/>
      <c r="T49" s="23"/>
      <c r="U49" s="23"/>
      <c r="V49" s="23"/>
      <c r="W49" s="23"/>
      <c r="X49" s="23"/>
      <c r="Y49" s="23"/>
      <c r="Z49" s="23"/>
    </row>
    <row r="50" spans="3:35" x14ac:dyDescent="0.25">
      <c r="C50" s="38" t="s">
        <v>26</v>
      </c>
      <c r="D50" s="39">
        <f t="shared" ref="D50:P50" si="2">+D49/D48-1</f>
        <v>-4.9903216326520505E-2</v>
      </c>
      <c r="E50" s="39">
        <f>+E49/E48-1</f>
        <v>-0.1283701568914184</v>
      </c>
      <c r="F50" s="40">
        <f>+F49/F48-1</f>
        <v>-0.28061136066350079</v>
      </c>
      <c r="G50" s="40">
        <f>+G49/G48-1</f>
        <v>-0.10436218651285023</v>
      </c>
      <c r="H50" s="40">
        <f t="shared" si="2"/>
        <v>-3.7598638594865563E-2</v>
      </c>
      <c r="I50" s="40">
        <f t="shared" si="2"/>
        <v>9.1729710442261858E-2</v>
      </c>
      <c r="J50" s="39">
        <f t="shared" si="2"/>
        <v>-6.8847788656699827E-2</v>
      </c>
      <c r="K50" s="39">
        <f t="shared" si="2"/>
        <v>0.12466264100445756</v>
      </c>
      <c r="L50" s="39">
        <f t="shared" si="2"/>
        <v>-0.10222785431105341</v>
      </c>
      <c r="M50" s="39">
        <f t="shared" si="2"/>
        <v>0.16582898440252181</v>
      </c>
      <c r="N50" s="39">
        <f t="shared" si="2"/>
        <v>-2.3046888586679248E-2</v>
      </c>
      <c r="O50" s="39">
        <f t="shared" si="2"/>
        <v>-0.31609547644328917</v>
      </c>
      <c r="P50" s="41">
        <f t="shared" si="2"/>
        <v>0.64672178635246835</v>
      </c>
      <c r="R50" s="24"/>
      <c r="S50" s="23"/>
      <c r="T50" s="23"/>
      <c r="U50" s="23"/>
      <c r="V50" s="23"/>
      <c r="W50" s="23"/>
      <c r="X50" s="23"/>
      <c r="Y50" s="23"/>
      <c r="Z50" s="23"/>
    </row>
    <row r="51" spans="3:35" x14ac:dyDescent="0.25">
      <c r="C51" s="31"/>
      <c r="D51" s="29"/>
      <c r="E51" s="29"/>
      <c r="F51" s="29"/>
      <c r="G51" s="29"/>
      <c r="H51" s="29"/>
      <c r="I51" s="29"/>
      <c r="J51" s="29"/>
      <c r="K51" s="29"/>
      <c r="L51" s="29"/>
      <c r="M51" s="29"/>
      <c r="N51" s="29"/>
      <c r="O51" s="29"/>
      <c r="P51" s="30"/>
      <c r="Q51" s="26"/>
      <c r="T51" s="27"/>
      <c r="U51" s="27"/>
      <c r="V51" s="27"/>
      <c r="W51" s="27"/>
      <c r="X51" s="27"/>
      <c r="Y51" s="27"/>
      <c r="Z51" s="27"/>
      <c r="AA51" s="27"/>
      <c r="AB51" s="23"/>
      <c r="AC51" s="23"/>
      <c r="AD51" s="23"/>
      <c r="AE51" s="23"/>
      <c r="AF51" s="23"/>
      <c r="AG51" s="23"/>
      <c r="AH51" s="23"/>
      <c r="AI51" s="23"/>
    </row>
    <row r="52" spans="3:35" x14ac:dyDescent="0.25">
      <c r="C52" s="32" t="s">
        <v>135</v>
      </c>
      <c r="D52" s="33"/>
      <c r="E52" s="33"/>
      <c r="F52" s="34"/>
      <c r="G52" s="33"/>
      <c r="H52" s="33"/>
      <c r="I52" s="33"/>
      <c r="J52" s="33"/>
      <c r="K52" s="33"/>
      <c r="L52" s="33"/>
      <c r="M52" s="33"/>
      <c r="N52" s="33"/>
      <c r="O52" s="33"/>
      <c r="P52" s="35"/>
      <c r="R52" s="24"/>
      <c r="S52" s="23"/>
      <c r="T52" s="23"/>
      <c r="U52" s="23"/>
      <c r="V52" s="23"/>
      <c r="W52" s="23"/>
      <c r="X52" s="23"/>
      <c r="Y52" s="23"/>
      <c r="Z52" s="23"/>
    </row>
    <row r="53" spans="3:35" ht="36.75" x14ac:dyDescent="0.25">
      <c r="C53" s="227" t="s">
        <v>136</v>
      </c>
      <c r="D53" s="20">
        <v>1807884.0662264246</v>
      </c>
      <c r="E53" s="20">
        <v>72158474.913977593</v>
      </c>
      <c r="F53" s="20">
        <v>994769.26225287432</v>
      </c>
      <c r="G53" s="20">
        <v>2451293.9884172659</v>
      </c>
      <c r="H53" s="20">
        <v>207357.66615463048</v>
      </c>
      <c r="I53" s="20">
        <v>7241037.3594579995</v>
      </c>
      <c r="J53" s="20">
        <v>22413.989740000001</v>
      </c>
      <c r="K53" s="20">
        <v>25669.101217354899</v>
      </c>
      <c r="L53" s="20">
        <v>18826.486665</v>
      </c>
      <c r="M53" s="20">
        <v>180.89866088000002</v>
      </c>
      <c r="N53" s="20">
        <v>218.61998300000002</v>
      </c>
      <c r="O53" s="20">
        <v>24751.531202800004</v>
      </c>
      <c r="P53" s="179">
        <v>24.201452</v>
      </c>
      <c r="R53" s="24"/>
      <c r="S53" s="23"/>
      <c r="T53" s="23"/>
      <c r="U53" s="23"/>
      <c r="V53" s="23"/>
      <c r="W53" s="23"/>
      <c r="X53" s="23"/>
      <c r="Y53" s="23"/>
      <c r="Z53" s="23"/>
    </row>
    <row r="54" spans="3:35" ht="36.75" x14ac:dyDescent="0.25">
      <c r="C54" s="227" t="s">
        <v>137</v>
      </c>
      <c r="D54" s="20">
        <v>1829790.4759988964</v>
      </c>
      <c r="E54" s="20">
        <v>66926973.087066561</v>
      </c>
      <c r="F54" s="20">
        <v>851678.71337466617</v>
      </c>
      <c r="G54" s="20">
        <v>2363917.6817924245</v>
      </c>
      <c r="H54" s="20">
        <v>191533.06645073503</v>
      </c>
      <c r="I54" s="20">
        <v>9449020.3268720005</v>
      </c>
      <c r="J54" s="20">
        <v>23477.922262</v>
      </c>
      <c r="K54" s="20">
        <v>25617.342334193399</v>
      </c>
      <c r="L54" s="20">
        <v>17485.7534982</v>
      </c>
      <c r="M54" s="20">
        <v>200.31078959999999</v>
      </c>
      <c r="N54" s="20">
        <v>187.00514899999999</v>
      </c>
      <c r="O54" s="20">
        <v>26546.732107299998</v>
      </c>
      <c r="P54" s="178">
        <v>35.106030000000004</v>
      </c>
      <c r="R54" s="24"/>
      <c r="S54" s="23"/>
      <c r="T54" s="23"/>
      <c r="U54" s="23"/>
      <c r="V54" s="23"/>
      <c r="W54" s="23"/>
      <c r="X54" s="23"/>
      <c r="Y54" s="23"/>
      <c r="Z54" s="23"/>
    </row>
    <row r="55" spans="3:35" x14ac:dyDescent="0.25">
      <c r="C55" s="42" t="s">
        <v>26</v>
      </c>
      <c r="D55" s="43">
        <f t="shared" ref="D55:P55" si="3">+D54/D53-1</f>
        <v>1.2117154070723446E-2</v>
      </c>
      <c r="E55" s="44">
        <f t="shared" si="3"/>
        <v>-7.2500171783670186E-2</v>
      </c>
      <c r="F55" s="43">
        <f t="shared" si="3"/>
        <v>-0.1438429536454997</v>
      </c>
      <c r="G55" s="43">
        <f t="shared" si="3"/>
        <v>-3.5644972425872834E-2</v>
      </c>
      <c r="H55" s="43">
        <f t="shared" si="3"/>
        <v>-7.6315479419481691E-2</v>
      </c>
      <c r="I55" s="44">
        <f t="shared" si="3"/>
        <v>0.30492633276225378</v>
      </c>
      <c r="J55" s="44">
        <f t="shared" si="3"/>
        <v>4.7467342242122346E-2</v>
      </c>
      <c r="K55" s="44">
        <f t="shared" si="3"/>
        <v>-2.0163886036845824E-3</v>
      </c>
      <c r="L55" s="44">
        <f t="shared" si="3"/>
        <v>-7.1215261278278486E-2</v>
      </c>
      <c r="M55" s="44">
        <f>+M54/M53-1</f>
        <v>0.10730941083570045</v>
      </c>
      <c r="N55" s="43">
        <f>+N54/N53-1</f>
        <v>-0.1446109068629835</v>
      </c>
      <c r="O55" s="43">
        <f>+O54/O53-1</f>
        <v>7.2528882750369617E-2</v>
      </c>
      <c r="P55" s="45">
        <f t="shared" si="3"/>
        <v>0.45057536217248462</v>
      </c>
      <c r="R55" s="24"/>
      <c r="S55" s="23"/>
      <c r="T55" s="23"/>
      <c r="U55" s="23"/>
      <c r="V55" s="23"/>
      <c r="W55" s="23"/>
      <c r="X55" s="23"/>
      <c r="Y55" s="23"/>
      <c r="Z55" s="23"/>
    </row>
    <row r="56" spans="3:35" x14ac:dyDescent="0.25">
      <c r="C56" s="31"/>
      <c r="D56" s="29"/>
      <c r="E56" s="29"/>
      <c r="F56" s="29"/>
      <c r="G56" s="29"/>
      <c r="H56" s="29"/>
      <c r="I56" s="29"/>
      <c r="J56" s="29"/>
      <c r="K56" s="29"/>
      <c r="L56" s="29"/>
      <c r="M56" s="29"/>
      <c r="N56" s="29"/>
      <c r="O56" s="29"/>
      <c r="P56" s="30"/>
      <c r="Q56" s="26"/>
      <c r="T56" s="27"/>
      <c r="U56" s="27"/>
      <c r="V56" s="27"/>
      <c r="W56" s="27"/>
      <c r="X56" s="27"/>
      <c r="Y56" s="27"/>
      <c r="Z56" s="27"/>
      <c r="AA56" s="27"/>
      <c r="AB56" s="23"/>
      <c r="AC56" s="23"/>
      <c r="AD56" s="23"/>
      <c r="AE56" s="23"/>
      <c r="AF56" s="23"/>
      <c r="AG56" s="23"/>
      <c r="AH56" s="23"/>
      <c r="AI56" s="23"/>
    </row>
    <row r="57" spans="3:35" x14ac:dyDescent="0.25">
      <c r="C57" s="32" t="s">
        <v>27</v>
      </c>
      <c r="D57" s="33"/>
      <c r="E57" s="33"/>
      <c r="F57" s="34"/>
      <c r="G57" s="33"/>
      <c r="H57" s="33"/>
      <c r="I57" s="33"/>
      <c r="J57" s="33"/>
      <c r="K57" s="33"/>
      <c r="L57" s="33"/>
      <c r="M57" s="33"/>
      <c r="N57" s="33"/>
      <c r="O57" s="33"/>
      <c r="P57" s="35"/>
      <c r="Q57" s="26"/>
      <c r="T57" s="27"/>
      <c r="U57" s="27"/>
      <c r="V57" s="27"/>
      <c r="W57" s="27"/>
      <c r="X57" s="27"/>
      <c r="Y57" s="27"/>
      <c r="Z57" s="27"/>
      <c r="AA57" s="27"/>
      <c r="AB57" s="23"/>
      <c r="AC57" s="23"/>
      <c r="AD57" s="23"/>
      <c r="AE57" s="23"/>
      <c r="AF57" s="23"/>
      <c r="AG57" s="23"/>
      <c r="AH57" s="23"/>
      <c r="AI57" s="23"/>
    </row>
    <row r="58" spans="3:35" ht="24" x14ac:dyDescent="0.25">
      <c r="C58" s="228" t="s">
        <v>126</v>
      </c>
      <c r="D58" s="20">
        <v>236515.08868000004</v>
      </c>
      <c r="E58" s="20">
        <v>8449019.5969850011</v>
      </c>
      <c r="F58" s="20">
        <v>102140.65417500002</v>
      </c>
      <c r="G58" s="20">
        <v>302718.58791891823</v>
      </c>
      <c r="H58" s="20">
        <v>26122.493078999989</v>
      </c>
      <c r="I58" s="20">
        <v>1066370.64986</v>
      </c>
      <c r="J58" s="20">
        <v>3230.7702250000002</v>
      </c>
      <c r="K58" s="20">
        <v>3606.7932000000001</v>
      </c>
      <c r="L58" s="20">
        <v>2277.090549</v>
      </c>
      <c r="M58" s="20">
        <v>24.117539999999998</v>
      </c>
      <c r="N58" s="20">
        <v>21.496898000000002</v>
      </c>
      <c r="O58" s="20">
        <v>3460.9957440000003</v>
      </c>
      <c r="P58" s="179">
        <v>3.2440980000000001</v>
      </c>
      <c r="Q58" s="26"/>
      <c r="T58" s="27"/>
      <c r="U58" s="27"/>
      <c r="V58" s="27"/>
      <c r="W58" s="27"/>
      <c r="X58" s="27"/>
      <c r="Y58" s="27"/>
      <c r="Z58" s="27"/>
      <c r="AA58" s="27"/>
      <c r="AB58" s="23"/>
      <c r="AC58" s="23"/>
      <c r="AD58" s="23"/>
      <c r="AE58" s="23"/>
      <c r="AF58" s="23"/>
      <c r="AG58" s="23"/>
      <c r="AH58" s="23"/>
      <c r="AI58" s="23"/>
    </row>
    <row r="59" spans="3:35" ht="24" x14ac:dyDescent="0.25">
      <c r="C59" s="229" t="s">
        <v>134</v>
      </c>
      <c r="D59" s="20">
        <v>230675.84867499999</v>
      </c>
      <c r="E59" s="20">
        <v>8624173.8669460006</v>
      </c>
      <c r="F59" s="20">
        <v>105625.20832600008</v>
      </c>
      <c r="G59" s="20">
        <v>312246.45324400009</v>
      </c>
      <c r="H59" s="20">
        <v>26157.712403000005</v>
      </c>
      <c r="I59" s="20">
        <v>1253372.779544</v>
      </c>
      <c r="J59" s="20">
        <v>2732.7916949999999</v>
      </c>
      <c r="K59" s="20">
        <v>3233.3038820000002</v>
      </c>
      <c r="L59" s="20">
        <v>2307.3176539999999</v>
      </c>
      <c r="M59" s="20">
        <v>33.699624</v>
      </c>
      <c r="N59" s="20">
        <v>23.790514999999999</v>
      </c>
      <c r="O59" s="20">
        <v>2662.3643119999997</v>
      </c>
      <c r="P59" s="178">
        <v>4.7183190000000002</v>
      </c>
      <c r="Q59" s="26"/>
      <c r="T59" s="27"/>
      <c r="U59" s="27"/>
      <c r="V59" s="27"/>
      <c r="W59" s="27"/>
      <c r="X59" s="27"/>
      <c r="Y59" s="27"/>
      <c r="Z59" s="27"/>
      <c r="AA59" s="27"/>
      <c r="AB59" s="23"/>
      <c r="AC59" s="23"/>
      <c r="AD59" s="23"/>
      <c r="AE59" s="23"/>
      <c r="AF59" s="23"/>
      <c r="AG59" s="23"/>
      <c r="AH59" s="23"/>
      <c r="AI59" s="23"/>
    </row>
    <row r="60" spans="3:35" x14ac:dyDescent="0.25">
      <c r="C60" s="47" t="s">
        <v>26</v>
      </c>
      <c r="D60" s="44">
        <f t="shared" ref="D60:M60" si="4">+D59/D58-1</f>
        <v>-2.4688657445024242E-2</v>
      </c>
      <c r="E60" s="44">
        <f t="shared" si="4"/>
        <v>2.0730721233443772E-2</v>
      </c>
      <c r="F60" s="44">
        <f t="shared" si="4"/>
        <v>3.4115251944929703E-2</v>
      </c>
      <c r="G60" s="44">
        <f t="shared" si="4"/>
        <v>3.1474331954910673E-2</v>
      </c>
      <c r="H60" s="44">
        <f t="shared" si="4"/>
        <v>1.3482374708073674E-3</v>
      </c>
      <c r="I60" s="44">
        <f t="shared" si="4"/>
        <v>0.17536316261944274</v>
      </c>
      <c r="J60" s="44">
        <f t="shared" si="4"/>
        <v>-0.15413616423309717</v>
      </c>
      <c r="K60" s="44">
        <f t="shared" si="4"/>
        <v>-0.10355163085036312</v>
      </c>
      <c r="L60" s="44">
        <f t="shared" si="4"/>
        <v>1.3274441375761059E-2</v>
      </c>
      <c r="M60" s="44">
        <f t="shared" si="4"/>
        <v>0.3973076856097264</v>
      </c>
      <c r="N60" s="44">
        <f>+N59/N58-1</f>
        <v>0.10669525435716332</v>
      </c>
      <c r="O60" s="44">
        <f>+O59/O58-1</f>
        <v>-0.23075192547824197</v>
      </c>
      <c r="P60" s="45">
        <f>+P59/P58-1</f>
        <v>0.45443170952295531</v>
      </c>
      <c r="Q60" s="26"/>
      <c r="T60" s="27"/>
      <c r="U60" s="27"/>
      <c r="V60" s="27"/>
      <c r="W60" s="27"/>
      <c r="X60" s="27"/>
      <c r="Y60" s="27"/>
      <c r="Z60" s="27"/>
      <c r="AA60" s="27"/>
      <c r="AB60" s="23"/>
      <c r="AC60" s="23"/>
      <c r="AD60" s="23"/>
      <c r="AE60" s="23"/>
      <c r="AF60" s="23"/>
      <c r="AG60" s="23"/>
      <c r="AH60" s="23"/>
      <c r="AI60" s="23"/>
    </row>
    <row r="61" spans="3:35" x14ac:dyDescent="0.25">
      <c r="C61" s="48"/>
      <c r="D61" s="49"/>
      <c r="E61" s="50"/>
      <c r="F61" s="49"/>
      <c r="G61" s="49"/>
      <c r="H61" s="49"/>
      <c r="I61" s="49"/>
      <c r="J61" s="49"/>
      <c r="K61" s="49"/>
      <c r="L61" s="49"/>
      <c r="M61" s="49"/>
      <c r="N61" s="49"/>
      <c r="O61" s="49"/>
      <c r="P61" s="51"/>
      <c r="R61" s="24"/>
      <c r="S61" s="23"/>
      <c r="T61" s="23"/>
      <c r="U61" s="23"/>
      <c r="V61" s="23"/>
      <c r="W61" s="23"/>
      <c r="X61" s="23"/>
      <c r="Y61" s="23"/>
      <c r="Z61" s="23"/>
    </row>
    <row r="62" spans="3:35" s="53" customFormat="1" ht="77.25" customHeight="1" x14ac:dyDescent="0.25">
      <c r="C62" s="237" t="s">
        <v>138</v>
      </c>
      <c r="D62" s="238"/>
      <c r="E62" s="238"/>
      <c r="F62" s="238"/>
      <c r="G62" s="238"/>
      <c r="H62" s="238"/>
      <c r="I62" s="238"/>
      <c r="J62" s="238"/>
      <c r="K62" s="238"/>
      <c r="L62" s="238"/>
      <c r="M62" s="238"/>
      <c r="N62" s="238"/>
      <c r="O62" s="238"/>
      <c r="P62" s="239"/>
      <c r="Q62" s="52"/>
    </row>
    <row r="63" spans="3:35" s="53" customFormat="1" ht="41.25" customHeight="1" x14ac:dyDescent="0.25">
      <c r="C63" s="240"/>
      <c r="D63" s="241"/>
      <c r="E63" s="241"/>
      <c r="F63" s="241"/>
      <c r="G63" s="241"/>
      <c r="H63" s="241"/>
      <c r="I63" s="241"/>
      <c r="J63" s="241"/>
      <c r="K63" s="241"/>
      <c r="L63" s="241"/>
      <c r="M63" s="241"/>
      <c r="N63" s="241"/>
      <c r="O63" s="241"/>
      <c r="P63" s="242"/>
      <c r="Q63" s="52"/>
    </row>
    <row r="64" spans="3:35" s="53" customFormat="1" ht="15" x14ac:dyDescent="0.25">
      <c r="Q64" s="52"/>
    </row>
    <row r="65" spans="3:36" ht="36.6" customHeight="1" x14ac:dyDescent="0.25">
      <c r="C65" s="243" t="s">
        <v>28</v>
      </c>
      <c r="D65" s="243"/>
      <c r="E65" s="243"/>
      <c r="F65" s="243"/>
      <c r="G65" s="243"/>
      <c r="H65" s="243"/>
      <c r="I65" s="243"/>
      <c r="J65" s="243"/>
      <c r="K65" s="243"/>
      <c r="L65" s="243"/>
      <c r="M65" s="243"/>
      <c r="N65" s="243"/>
      <c r="O65" s="243"/>
      <c r="P65" s="243"/>
    </row>
    <row r="66" spans="3:36" ht="36.75" customHeight="1" x14ac:dyDescent="0.25"/>
    <row r="67" spans="3:36" ht="36.75" customHeight="1" x14ac:dyDescent="0.25"/>
    <row r="68" spans="3:36" ht="36.75" customHeight="1" x14ac:dyDescent="0.25"/>
    <row r="69" spans="3:36" s="8" customFormat="1" ht="36.75" customHeight="1" x14ac:dyDescent="0.25">
      <c r="C69" s="36"/>
      <c r="D69" s="2"/>
      <c r="E69" s="2"/>
      <c r="F69" s="2"/>
      <c r="G69" s="2"/>
      <c r="H69" s="2"/>
      <c r="I69" s="2"/>
      <c r="J69" s="2"/>
      <c r="K69" s="2"/>
      <c r="L69" s="2"/>
      <c r="M69" s="2"/>
      <c r="N69" s="2"/>
      <c r="O69" s="2"/>
      <c r="P69" s="2"/>
      <c r="R69" s="2"/>
      <c r="S69" s="2"/>
      <c r="T69" s="2"/>
      <c r="U69" s="2"/>
      <c r="V69" s="2"/>
      <c r="W69" s="2"/>
      <c r="X69" s="2"/>
      <c r="Y69" s="2"/>
      <c r="Z69" s="2"/>
      <c r="AA69" s="2"/>
      <c r="AB69" s="2"/>
      <c r="AC69" s="2"/>
      <c r="AD69" s="2"/>
      <c r="AE69" s="2"/>
      <c r="AF69" s="2"/>
      <c r="AG69" s="2"/>
      <c r="AH69" s="2"/>
      <c r="AI69" s="2"/>
      <c r="AJ69" s="2"/>
    </row>
    <row r="70" spans="3:36" s="8" customFormat="1" ht="36.75" customHeight="1" x14ac:dyDescent="0.25">
      <c r="C70" s="36"/>
      <c r="D70" s="2"/>
      <c r="E70" s="2"/>
      <c r="F70" s="2"/>
      <c r="G70" s="2"/>
      <c r="H70" s="2"/>
      <c r="I70" s="2"/>
      <c r="J70" s="2"/>
      <c r="K70" s="2"/>
      <c r="L70" s="2"/>
      <c r="M70" s="2"/>
      <c r="N70" s="2"/>
      <c r="O70" s="2"/>
      <c r="P70" s="2"/>
      <c r="R70" s="2"/>
      <c r="S70" s="2"/>
      <c r="T70" s="2"/>
      <c r="U70" s="2"/>
      <c r="V70" s="2"/>
      <c r="W70" s="2"/>
      <c r="X70" s="2"/>
      <c r="Y70" s="2"/>
      <c r="Z70" s="2"/>
      <c r="AA70" s="2"/>
      <c r="AB70" s="2"/>
      <c r="AC70" s="2"/>
      <c r="AD70" s="2"/>
      <c r="AE70" s="2"/>
      <c r="AF70" s="2"/>
      <c r="AG70" s="2"/>
      <c r="AH70" s="2"/>
      <c r="AI70" s="2"/>
      <c r="AJ70" s="2"/>
    </row>
    <row r="71" spans="3:36" ht="36.75" customHeight="1" x14ac:dyDescent="0.25"/>
    <row r="72" spans="3:36" s="8" customFormat="1" ht="36.75" customHeight="1" x14ac:dyDescent="0.25">
      <c r="C72" s="2"/>
      <c r="D72" s="2"/>
      <c r="E72" s="2"/>
      <c r="F72" s="2"/>
      <c r="G72" s="2"/>
      <c r="H72" s="2"/>
      <c r="I72" s="2"/>
      <c r="J72" s="2"/>
      <c r="K72" s="2"/>
      <c r="L72" s="2"/>
      <c r="M72" s="2"/>
      <c r="N72" s="2"/>
      <c r="O72" s="2"/>
      <c r="P72" s="2"/>
      <c r="R72" s="2"/>
      <c r="S72" s="2"/>
      <c r="T72" s="2"/>
      <c r="U72" s="2"/>
      <c r="V72" s="2"/>
      <c r="W72" s="2"/>
      <c r="X72" s="2"/>
      <c r="Y72" s="2"/>
      <c r="Z72" s="2"/>
      <c r="AA72" s="2"/>
      <c r="AB72" s="2"/>
      <c r="AC72" s="2"/>
      <c r="AD72" s="2"/>
      <c r="AE72" s="2"/>
      <c r="AF72" s="2"/>
      <c r="AG72" s="2"/>
      <c r="AH72" s="2"/>
      <c r="AI72" s="2"/>
      <c r="AJ72" s="2"/>
    </row>
    <row r="73" spans="3:36" s="8" customFormat="1" x14ac:dyDescent="0.25">
      <c r="C73" s="36"/>
      <c r="D73" s="2"/>
      <c r="E73" s="2"/>
      <c r="F73" s="2"/>
      <c r="G73" s="2"/>
      <c r="H73" s="2"/>
      <c r="I73" s="2"/>
      <c r="J73" s="2"/>
      <c r="K73" s="54"/>
      <c r="L73" s="54"/>
      <c r="M73" s="54"/>
      <c r="N73" s="54"/>
      <c r="O73" s="54"/>
      <c r="P73" s="54"/>
      <c r="R73" s="2"/>
      <c r="S73" s="2"/>
      <c r="T73" s="2"/>
      <c r="U73" s="2"/>
      <c r="V73" s="2"/>
      <c r="W73" s="2"/>
      <c r="X73" s="2"/>
      <c r="Y73" s="2"/>
      <c r="Z73" s="2"/>
      <c r="AA73" s="2"/>
      <c r="AB73" s="2"/>
      <c r="AC73" s="2"/>
      <c r="AD73" s="2"/>
      <c r="AE73" s="2"/>
      <c r="AF73" s="2"/>
      <c r="AG73" s="2"/>
      <c r="AH73" s="2"/>
      <c r="AI73" s="2"/>
      <c r="AJ73" s="2"/>
    </row>
    <row r="74" spans="3:36" s="8" customFormat="1" ht="67.5" customHeight="1" x14ac:dyDescent="0.25">
      <c r="C74" s="231" t="s">
        <v>139</v>
      </c>
      <c r="D74" s="232"/>
      <c r="E74" s="232"/>
      <c r="F74" s="232"/>
      <c r="G74" s="232"/>
      <c r="H74" s="232"/>
      <c r="I74" s="232"/>
      <c r="J74" s="232"/>
      <c r="K74" s="232"/>
      <c r="L74" s="232"/>
      <c r="M74" s="232"/>
      <c r="N74" s="232"/>
      <c r="O74" s="232"/>
      <c r="P74" s="233"/>
      <c r="R74" s="2"/>
      <c r="S74" s="2"/>
      <c r="T74" s="2"/>
      <c r="U74" s="2"/>
      <c r="V74" s="2"/>
      <c r="W74" s="2"/>
      <c r="X74" s="2"/>
      <c r="Y74" s="2"/>
      <c r="Z74" s="2"/>
      <c r="AA74" s="2"/>
      <c r="AB74" s="2"/>
      <c r="AC74" s="2"/>
      <c r="AD74" s="2"/>
      <c r="AE74" s="2"/>
      <c r="AF74" s="2"/>
      <c r="AG74" s="2"/>
      <c r="AH74" s="2"/>
      <c r="AI74" s="2"/>
      <c r="AJ74" s="2"/>
    </row>
  </sheetData>
  <mergeCells count="7">
    <mergeCell ref="C74:P74"/>
    <mergeCell ref="C3:P3"/>
    <mergeCell ref="C4:P4"/>
    <mergeCell ref="C6:K6"/>
    <mergeCell ref="C62:P62"/>
    <mergeCell ref="C63:P63"/>
    <mergeCell ref="C65:P65"/>
  </mergeCells>
  <conditionalFormatting sqref="D55 O55 D61:P61">
    <cfRule type="cellIs" dxfId="0" priority="1" operator="lessThan">
      <formula>0</formula>
    </cfRule>
  </conditionalFormatting>
  <pageMargins left="0.7" right="0.7" top="0.75" bottom="0.75" header="0.3" footer="0.3"/>
  <pageSetup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Q109"/>
  <sheetViews>
    <sheetView showGridLines="0" view="pageBreakPreview" zoomScaleNormal="100" zoomScaleSheetLayoutView="100" workbookViewId="0">
      <selection activeCell="X38" sqref="X38"/>
    </sheetView>
  </sheetViews>
  <sheetFormatPr baseColWidth="10" defaultColWidth="11.5703125" defaultRowHeight="15" x14ac:dyDescent="0.25"/>
  <cols>
    <col min="1" max="2" width="3.7109375" style="53" customWidth="1"/>
    <col min="3" max="3" width="51.7109375" style="53" customWidth="1"/>
    <col min="4" max="4" width="14.42578125" style="53" customWidth="1"/>
    <col min="5" max="5" width="13.140625" style="53" customWidth="1"/>
    <col min="6" max="6" width="14" style="55" customWidth="1"/>
    <col min="7" max="8" width="12.42578125" style="53" customWidth="1"/>
    <col min="9" max="9" width="12" style="53" customWidth="1"/>
    <col min="10" max="10" width="10.85546875" style="56" customWidth="1"/>
    <col min="11" max="11" width="3.7109375" style="53" customWidth="1"/>
    <col min="12" max="16384" width="11.5703125" style="53"/>
  </cols>
  <sheetData>
    <row r="1" spans="2:17" ht="10.5" customHeight="1" x14ac:dyDescent="0.25"/>
    <row r="2" spans="2:17" ht="10.5" customHeight="1" x14ac:dyDescent="0.25"/>
    <row r="3" spans="2:17" ht="15.75" x14ac:dyDescent="0.25">
      <c r="C3" s="234" t="s">
        <v>0</v>
      </c>
      <c r="D3" s="234"/>
      <c r="E3" s="234"/>
      <c r="F3" s="234"/>
      <c r="G3" s="234"/>
      <c r="H3" s="234"/>
      <c r="I3" s="234"/>
      <c r="J3" s="234"/>
      <c r="K3" s="4"/>
      <c r="L3" s="4"/>
      <c r="M3" s="4"/>
      <c r="N3" s="4"/>
      <c r="O3" s="4"/>
      <c r="P3" s="4"/>
      <c r="Q3" s="4"/>
    </row>
    <row r="4" spans="2:17" x14ac:dyDescent="0.25">
      <c r="B4" s="235" t="s">
        <v>1</v>
      </c>
      <c r="C4" s="244"/>
      <c r="D4" s="244"/>
      <c r="E4" s="244"/>
      <c r="F4" s="244"/>
      <c r="G4" s="244"/>
      <c r="H4" s="244"/>
      <c r="I4" s="244"/>
      <c r="J4" s="244"/>
      <c r="K4" s="244"/>
      <c r="L4" s="4"/>
      <c r="M4" s="4"/>
      <c r="N4" s="4"/>
      <c r="O4" s="4"/>
      <c r="P4" s="4"/>
      <c r="Q4" s="4"/>
    </row>
    <row r="5" spans="2:17" x14ac:dyDescent="0.25">
      <c r="C5" s="190"/>
      <c r="D5" s="4"/>
      <c r="E5" s="4"/>
      <c r="F5" s="3"/>
      <c r="G5" s="4"/>
      <c r="H5" s="4"/>
      <c r="I5" s="4"/>
      <c r="J5" s="3"/>
      <c r="K5" s="4"/>
      <c r="L5" s="4"/>
      <c r="M5" s="4"/>
      <c r="N5" s="4"/>
      <c r="O5" s="4"/>
      <c r="P5" s="4"/>
      <c r="Q5" s="4"/>
    </row>
    <row r="6" spans="2:17" ht="15.75" x14ac:dyDescent="0.25">
      <c r="C6" s="57" t="s">
        <v>29</v>
      </c>
      <c r="D6" s="58"/>
      <c r="E6" s="58"/>
      <c r="F6" s="59"/>
    </row>
    <row r="7" spans="2:17" x14ac:dyDescent="0.25">
      <c r="C7" s="60" t="s">
        <v>30</v>
      </c>
      <c r="D7" s="61"/>
      <c r="E7" s="61"/>
      <c r="F7" s="62"/>
    </row>
    <row r="8" spans="2:17" ht="27" customHeight="1" x14ac:dyDescent="0.25">
      <c r="C8" s="63"/>
      <c r="D8" s="245" t="s">
        <v>141</v>
      </c>
      <c r="E8" s="246"/>
      <c r="F8" s="246"/>
      <c r="G8" s="247" t="s">
        <v>140</v>
      </c>
      <c r="H8" s="248"/>
      <c r="I8" s="248"/>
      <c r="J8" s="249"/>
    </row>
    <row r="9" spans="2:17" ht="25.5" customHeight="1" x14ac:dyDescent="0.25">
      <c r="C9" s="64" t="s">
        <v>31</v>
      </c>
      <c r="D9" s="89">
        <v>2025</v>
      </c>
      <c r="E9" s="88">
        <v>2026</v>
      </c>
      <c r="F9" s="129" t="s">
        <v>26</v>
      </c>
      <c r="G9" s="89">
        <v>2025</v>
      </c>
      <c r="H9" s="88">
        <v>2026</v>
      </c>
      <c r="I9" s="129" t="s">
        <v>26</v>
      </c>
      <c r="J9" s="130" t="s">
        <v>32</v>
      </c>
    </row>
    <row r="10" spans="2:17" ht="6.75" customHeight="1" x14ac:dyDescent="0.25">
      <c r="D10" s="56"/>
      <c r="E10" s="56"/>
      <c r="F10" s="56"/>
      <c r="G10" s="56"/>
      <c r="H10" s="56"/>
      <c r="I10" s="56"/>
    </row>
    <row r="11" spans="2:17" x14ac:dyDescent="0.25">
      <c r="C11" s="65" t="s">
        <v>33</v>
      </c>
      <c r="D11" s="99">
        <f>SUM(D12:D22)</f>
        <v>242791.94776674075</v>
      </c>
      <c r="E11" s="90">
        <f>SUM(E12:E22)</f>
        <v>230675.84867499996</v>
      </c>
      <c r="F11" s="100">
        <f t="shared" ref="F11:F74" si="0">(E11-D11)/D11</f>
        <v>-4.9903216326519929E-2</v>
      </c>
      <c r="G11" s="99">
        <f>SUM(G12:G22)</f>
        <v>1807884.0662264249</v>
      </c>
      <c r="H11" s="90">
        <f>SUM(H12:H22)</f>
        <v>1829790.4759988964</v>
      </c>
      <c r="I11" s="100">
        <f t="shared" ref="I11:I74" si="1">(H11-G11)/G11</f>
        <v>1.2117154070723415E-2</v>
      </c>
      <c r="J11" s="101">
        <f>SUM(J12:J22)</f>
        <v>1</v>
      </c>
    </row>
    <row r="12" spans="2:17" x14ac:dyDescent="0.25">
      <c r="B12" s="167"/>
      <c r="C12" s="70" t="s">
        <v>34</v>
      </c>
      <c r="D12" s="94">
        <v>37034.7255401</v>
      </c>
      <c r="E12" s="94">
        <v>44959.483563000002</v>
      </c>
      <c r="F12" s="102">
        <f t="shared" si="0"/>
        <v>0.21398182131306279</v>
      </c>
      <c r="G12" s="94">
        <v>229987.09801960998</v>
      </c>
      <c r="H12" s="94">
        <v>342104.48149840004</v>
      </c>
      <c r="I12" s="103">
        <f t="shared" si="1"/>
        <v>0.48749423095564387</v>
      </c>
      <c r="J12" s="104">
        <f>(H12/$H$11)</f>
        <v>0.1869637458417979</v>
      </c>
    </row>
    <row r="13" spans="2:17" x14ac:dyDescent="0.25">
      <c r="B13" s="167"/>
      <c r="C13" s="66" t="s">
        <v>35</v>
      </c>
      <c r="D13" s="94">
        <v>30365.966475000001</v>
      </c>
      <c r="E13" s="94">
        <v>32894.488299999997</v>
      </c>
      <c r="F13" s="105">
        <f t="shared" si="0"/>
        <v>8.3268280859155372E-2</v>
      </c>
      <c r="G13" s="94">
        <v>278712.74931500002</v>
      </c>
      <c r="H13" s="94">
        <v>278504.05974399997</v>
      </c>
      <c r="I13" s="201">
        <f t="shared" si="1"/>
        <v>-7.4876219876182789E-4</v>
      </c>
      <c r="J13" s="106">
        <f t="shared" ref="J13:J22" si="2">(H13/$H$11)</f>
        <v>0.15220543739684866</v>
      </c>
    </row>
    <row r="14" spans="2:17" x14ac:dyDescent="0.25">
      <c r="B14" s="167"/>
      <c r="C14" s="66" t="s">
        <v>36</v>
      </c>
      <c r="D14" s="94">
        <v>36678.755154099999</v>
      </c>
      <c r="E14" s="94">
        <v>33558.267340999999</v>
      </c>
      <c r="F14" s="105">
        <f t="shared" si="0"/>
        <v>-8.5076164662343731E-2</v>
      </c>
      <c r="G14" s="94">
        <v>270321.51128699997</v>
      </c>
      <c r="H14" s="94">
        <v>264581.74655139999</v>
      </c>
      <c r="I14" s="201">
        <f t="shared" si="1"/>
        <v>-2.1233103900140896E-2</v>
      </c>
      <c r="J14" s="106">
        <f t="shared" si="2"/>
        <v>0.14459674483055926</v>
      </c>
    </row>
    <row r="15" spans="2:17" x14ac:dyDescent="0.25">
      <c r="B15" s="167"/>
      <c r="C15" s="66" t="s">
        <v>37</v>
      </c>
      <c r="D15" s="94">
        <v>33659.829542979001</v>
      </c>
      <c r="E15" s="94">
        <v>30281.345859000001</v>
      </c>
      <c r="F15" s="105">
        <f t="shared" si="0"/>
        <v>-0.10037138422418743</v>
      </c>
      <c r="G15" s="94">
        <v>277040.52845559904</v>
      </c>
      <c r="H15" s="94">
        <v>248494.557222284</v>
      </c>
      <c r="I15" s="103">
        <f t="shared" si="1"/>
        <v>-0.1030389719238861</v>
      </c>
      <c r="J15" s="106">
        <f t="shared" si="2"/>
        <v>0.13580492437891226</v>
      </c>
    </row>
    <row r="16" spans="2:17" x14ac:dyDescent="0.25">
      <c r="B16" s="167"/>
      <c r="C16" s="66" t="s">
        <v>38</v>
      </c>
      <c r="D16" s="94">
        <v>27812.370473200001</v>
      </c>
      <c r="E16" s="94">
        <v>28015.280470000002</v>
      </c>
      <c r="F16" s="105">
        <f t="shared" si="0"/>
        <v>7.2956743113833109E-3</v>
      </c>
      <c r="G16" s="94">
        <v>211882.04811503532</v>
      </c>
      <c r="H16" s="94">
        <v>200026.62116645099</v>
      </c>
      <c r="I16" s="103">
        <f t="shared" si="1"/>
        <v>-5.5952956156756418E-2</v>
      </c>
      <c r="J16" s="106">
        <f t="shared" si="2"/>
        <v>0.10931668067473953</v>
      </c>
    </row>
    <row r="17" spans="2:10" x14ac:dyDescent="0.25">
      <c r="B17" s="167"/>
      <c r="C17" s="66" t="s">
        <v>39</v>
      </c>
      <c r="D17" s="94">
        <v>21901.458648</v>
      </c>
      <c r="E17" s="94">
        <v>15173.898159</v>
      </c>
      <c r="F17" s="105">
        <f t="shared" si="0"/>
        <v>-0.30717408356791559</v>
      </c>
      <c r="G17" s="94">
        <v>162395.99414599998</v>
      </c>
      <c r="H17" s="94">
        <v>148269.22518000004</v>
      </c>
      <c r="I17" s="103">
        <f t="shared" si="1"/>
        <v>-8.6989639370657498E-2</v>
      </c>
      <c r="J17" s="106">
        <f t="shared" si="2"/>
        <v>8.1030712054099396E-2</v>
      </c>
    </row>
    <row r="18" spans="2:10" x14ac:dyDescent="0.25">
      <c r="B18" s="167"/>
      <c r="C18" s="66" t="s">
        <v>40</v>
      </c>
      <c r="D18" s="94">
        <v>11799.09154971</v>
      </c>
      <c r="E18" s="94">
        <v>9684.2173079999993</v>
      </c>
      <c r="F18" s="105">
        <f t="shared" si="0"/>
        <v>-0.17924042989241659</v>
      </c>
      <c r="G18" s="94">
        <v>91208.176570919983</v>
      </c>
      <c r="H18" s="94">
        <v>72033.157365899999</v>
      </c>
      <c r="I18" s="103">
        <f t="shared" si="1"/>
        <v>-0.21023355499394536</v>
      </c>
      <c r="J18" s="106">
        <f t="shared" si="2"/>
        <v>3.9366888346370123E-2</v>
      </c>
    </row>
    <row r="19" spans="2:10" x14ac:dyDescent="0.25">
      <c r="B19" s="167"/>
      <c r="C19" s="66" t="s">
        <v>41</v>
      </c>
      <c r="D19" s="94">
        <v>16711.327029999997</v>
      </c>
      <c r="E19" s="94">
        <v>8564.87212</v>
      </c>
      <c r="F19" s="105">
        <f t="shared" si="0"/>
        <v>-0.48748102980544677</v>
      </c>
      <c r="G19" s="94">
        <v>77381.864163999999</v>
      </c>
      <c r="H19" s="94">
        <v>64530.250016879996</v>
      </c>
      <c r="I19" s="103">
        <f t="shared" si="1"/>
        <v>-0.16608044127604382</v>
      </c>
      <c r="J19" s="106">
        <f t="shared" si="2"/>
        <v>3.5266469502008117E-2</v>
      </c>
    </row>
    <row r="20" spans="2:10" x14ac:dyDescent="0.25">
      <c r="B20" s="167"/>
      <c r="C20" s="66" t="s">
        <v>42</v>
      </c>
      <c r="D20" s="94">
        <v>6153.52182395</v>
      </c>
      <c r="E20" s="94">
        <v>7092.6715190000004</v>
      </c>
      <c r="F20" s="105">
        <f t="shared" si="0"/>
        <v>0.15261986906339628</v>
      </c>
      <c r="G20" s="94">
        <v>54076.993128900009</v>
      </c>
      <c r="H20" s="94">
        <v>53461.305075919998</v>
      </c>
      <c r="I20" s="103">
        <f t="shared" si="1"/>
        <v>-1.1385397326223986E-2</v>
      </c>
      <c r="J20" s="106">
        <f t="shared" si="2"/>
        <v>2.9217173101054136E-2</v>
      </c>
    </row>
    <row r="21" spans="2:10" x14ac:dyDescent="0.25">
      <c r="B21" s="167"/>
      <c r="C21" s="66" t="s">
        <v>43</v>
      </c>
      <c r="D21" s="94">
        <v>4951.0285999999996</v>
      </c>
      <c r="E21" s="94">
        <v>4790.7135200000002</v>
      </c>
      <c r="F21" s="105">
        <f t="shared" si="0"/>
        <v>-3.2380156317416427E-2</v>
      </c>
      <c r="G21" s="94">
        <v>35000.008237800001</v>
      </c>
      <c r="H21" s="94">
        <v>34001.705105100002</v>
      </c>
      <c r="I21" s="103">
        <f t="shared" si="1"/>
        <v>-2.8522939935249268E-2</v>
      </c>
      <c r="J21" s="106">
        <f t="shared" si="2"/>
        <v>1.8582294285108363E-2</v>
      </c>
    </row>
    <row r="22" spans="2:10" x14ac:dyDescent="0.2">
      <c r="B22" s="167"/>
      <c r="C22" s="182" t="s">
        <v>142</v>
      </c>
      <c r="D22" s="94">
        <v>15723.8729297018</v>
      </c>
      <c r="E22" s="94">
        <v>15660.610515999993</v>
      </c>
      <c r="F22" s="107">
        <f t="shared" si="0"/>
        <v>-4.0233353439473683E-3</v>
      </c>
      <c r="G22" s="94">
        <v>119877.09478656069</v>
      </c>
      <c r="H22" s="94">
        <v>123783.36707256152</v>
      </c>
      <c r="I22" s="103">
        <f t="shared" si="1"/>
        <v>3.2585643595683507E-2</v>
      </c>
      <c r="J22" s="116">
        <f t="shared" si="2"/>
        <v>6.7648929588502341E-2</v>
      </c>
    </row>
    <row r="23" spans="2:10" x14ac:dyDescent="0.25">
      <c r="B23" s="167"/>
      <c r="C23" s="166" t="s">
        <v>44</v>
      </c>
      <c r="D23" s="99">
        <f>SUM(D24:D34)</f>
        <v>9894307.6985394787</v>
      </c>
      <c r="E23" s="90">
        <f>SUM(E24:E34)</f>
        <v>8624173.8669460025</v>
      </c>
      <c r="F23" s="100">
        <f t="shared" si="0"/>
        <v>-0.12837015689141784</v>
      </c>
      <c r="G23" s="99">
        <f>SUM(G24:G34)</f>
        <v>72158474.913977638</v>
      </c>
      <c r="H23" s="90">
        <f>SUM(H24:H34)</f>
        <v>66926973.087066539</v>
      </c>
      <c r="I23" s="100">
        <f t="shared" si="1"/>
        <v>-7.2500171783671088E-2</v>
      </c>
      <c r="J23" s="101">
        <f>SUM(J24:J34)</f>
        <v>1</v>
      </c>
    </row>
    <row r="24" spans="2:10" x14ac:dyDescent="0.25">
      <c r="B24" s="167"/>
      <c r="C24" s="183" t="s">
        <v>45</v>
      </c>
      <c r="D24" s="94">
        <v>1632606.3467999999</v>
      </c>
      <c r="E24" s="94">
        <v>1312461.7704</v>
      </c>
      <c r="F24" s="102">
        <f t="shared" si="0"/>
        <v>-0.19609416380592984</v>
      </c>
      <c r="G24" s="94">
        <v>10411847.2467</v>
      </c>
      <c r="H24" s="94">
        <v>11021616.1588</v>
      </c>
      <c r="I24" s="102">
        <f t="shared" si="1"/>
        <v>5.8564911456347436E-2</v>
      </c>
      <c r="J24" s="104">
        <f>(H24/$H$23)</f>
        <v>0.16468122866488785</v>
      </c>
    </row>
    <row r="25" spans="2:10" x14ac:dyDescent="0.25">
      <c r="B25" s="167"/>
      <c r="C25" s="184" t="s">
        <v>143</v>
      </c>
      <c r="D25" s="94">
        <v>683917.50370999996</v>
      </c>
      <c r="E25" s="94">
        <v>628600.96265999996</v>
      </c>
      <c r="F25" s="105">
        <f t="shared" si="0"/>
        <v>-8.0881891090560168E-2</v>
      </c>
      <c r="G25" s="94">
        <v>5744021.717389999</v>
      </c>
      <c r="H25" s="94">
        <v>4540198.8813399998</v>
      </c>
      <c r="I25" s="105">
        <f t="shared" si="1"/>
        <v>-0.20957839215778573</v>
      </c>
      <c r="J25" s="106">
        <f t="shared" ref="J25:J34" si="3">(H25/$H$23)</f>
        <v>6.7838102814444801E-2</v>
      </c>
    </row>
    <row r="26" spans="2:10" x14ac:dyDescent="0.25">
      <c r="B26" s="167"/>
      <c r="C26" s="184" t="s">
        <v>47</v>
      </c>
      <c r="D26" s="94">
        <v>472492.03499999997</v>
      </c>
      <c r="E26" s="94">
        <v>452731.815</v>
      </c>
      <c r="F26" s="105">
        <f t="shared" si="0"/>
        <v>-4.1821276415802383E-2</v>
      </c>
      <c r="G26" s="94">
        <v>3666651.6779999998</v>
      </c>
      <c r="H26" s="94">
        <v>3398022.5760000004</v>
      </c>
      <c r="I26" s="105">
        <f t="shared" si="1"/>
        <v>-7.3262781848567923E-2</v>
      </c>
      <c r="J26" s="106">
        <f t="shared" si="3"/>
        <v>5.0772094108894626E-2</v>
      </c>
    </row>
    <row r="27" spans="2:10" x14ac:dyDescent="0.25">
      <c r="B27" s="167"/>
      <c r="C27" s="184" t="s">
        <v>48</v>
      </c>
      <c r="D27" s="94">
        <v>696037.49399999995</v>
      </c>
      <c r="E27" s="94">
        <v>347031.04800000001</v>
      </c>
      <c r="F27" s="105">
        <f t="shared" si="0"/>
        <v>-0.50141903131442511</v>
      </c>
      <c r="G27" s="94">
        <v>4015475.7860000003</v>
      </c>
      <c r="H27" s="94">
        <v>3020563.1010000003</v>
      </c>
      <c r="I27" s="105">
        <f t="shared" si="1"/>
        <v>-0.24776956406231457</v>
      </c>
      <c r="J27" s="106">
        <f t="shared" si="3"/>
        <v>4.5132223402222206E-2</v>
      </c>
    </row>
    <row r="28" spans="2:10" x14ac:dyDescent="0.25">
      <c r="B28" s="167"/>
      <c r="C28" s="184" t="s">
        <v>49</v>
      </c>
      <c r="D28" s="94">
        <v>309486.3883776</v>
      </c>
      <c r="E28" s="94">
        <v>362971.12941200001</v>
      </c>
      <c r="F28" s="105">
        <f t="shared" si="0"/>
        <v>0.17281774915782089</v>
      </c>
      <c r="G28" s="94">
        <v>2140017.344564945</v>
      </c>
      <c r="H28" s="94">
        <v>2705022.0428031217</v>
      </c>
      <c r="I28" s="105">
        <f t="shared" si="1"/>
        <v>0.26401874717190177</v>
      </c>
      <c r="J28" s="106">
        <f t="shared" si="3"/>
        <v>4.0417516556203854E-2</v>
      </c>
    </row>
    <row r="29" spans="2:10" x14ac:dyDescent="0.25">
      <c r="B29" s="167"/>
      <c r="C29" s="184" t="s">
        <v>50</v>
      </c>
      <c r="D29" s="94">
        <v>385741.89</v>
      </c>
      <c r="E29" s="94">
        <v>308896.56</v>
      </c>
      <c r="F29" s="105">
        <f t="shared" si="0"/>
        <v>-0.19921437622447491</v>
      </c>
      <c r="G29" s="94">
        <v>2939819.12</v>
      </c>
      <c r="H29" s="94">
        <v>2611678.27</v>
      </c>
      <c r="I29" s="105">
        <f t="shared" si="1"/>
        <v>-0.11161940126438802</v>
      </c>
      <c r="J29" s="106">
        <f t="shared" si="3"/>
        <v>3.9022805746831243E-2</v>
      </c>
    </row>
    <row r="30" spans="2:10" x14ac:dyDescent="0.25">
      <c r="B30" s="167"/>
      <c r="C30" s="184" t="s">
        <v>51</v>
      </c>
      <c r="D30" s="94">
        <v>317886.50064631598</v>
      </c>
      <c r="E30" s="94">
        <v>313394.47317800001</v>
      </c>
      <c r="F30" s="105">
        <f t="shared" si="0"/>
        <v>-1.4130916094841803E-2</v>
      </c>
      <c r="G30" s="94">
        <v>2331234.2793045212</v>
      </c>
      <c r="H30" s="94">
        <v>2516801.5479741404</v>
      </c>
      <c r="I30" s="105">
        <f t="shared" si="1"/>
        <v>7.960043755232514E-2</v>
      </c>
      <c r="J30" s="106">
        <f t="shared" si="3"/>
        <v>3.7605190133131926E-2</v>
      </c>
    </row>
    <row r="31" spans="2:10" x14ac:dyDescent="0.25">
      <c r="B31" s="167"/>
      <c r="C31" s="184" t="s">
        <v>52</v>
      </c>
      <c r="D31" s="94">
        <v>372333.28352</v>
      </c>
      <c r="E31" s="94">
        <v>357036.84262399998</v>
      </c>
      <c r="F31" s="105">
        <f t="shared" si="0"/>
        <v>-4.1082657858005758E-2</v>
      </c>
      <c r="G31" s="94">
        <v>2756886.6647450002</v>
      </c>
      <c r="H31" s="94">
        <v>2260915.6833649999</v>
      </c>
      <c r="I31" s="105">
        <f t="shared" si="1"/>
        <v>-0.17990256462932086</v>
      </c>
      <c r="J31" s="106">
        <f t="shared" si="3"/>
        <v>3.3781830838572856E-2</v>
      </c>
    </row>
    <row r="32" spans="2:10" x14ac:dyDescent="0.25">
      <c r="B32" s="167"/>
      <c r="C32" s="184" t="s">
        <v>53</v>
      </c>
      <c r="D32" s="94">
        <v>379980.38485000003</v>
      </c>
      <c r="E32" s="94">
        <v>245110.53870000003</v>
      </c>
      <c r="F32" s="105">
        <f t="shared" si="0"/>
        <v>-0.3549389692924303</v>
      </c>
      <c r="G32" s="94">
        <v>3614680.4625900006</v>
      </c>
      <c r="H32" s="94">
        <v>2133368.39316</v>
      </c>
      <c r="I32" s="105">
        <f t="shared" si="1"/>
        <v>-0.40980443078185863</v>
      </c>
      <c r="J32" s="106">
        <f t="shared" si="3"/>
        <v>3.1876062740573391E-2</v>
      </c>
    </row>
    <row r="33" spans="2:10" x14ac:dyDescent="0.25">
      <c r="B33" s="167"/>
      <c r="C33" s="184" t="s">
        <v>54</v>
      </c>
      <c r="D33" s="94">
        <v>217426.77846</v>
      </c>
      <c r="E33" s="94">
        <v>270562.22236499999</v>
      </c>
      <c r="F33" s="105">
        <f t="shared" si="0"/>
        <v>0.24438316329455859</v>
      </c>
      <c r="G33" s="94">
        <v>1742930.3449079997</v>
      </c>
      <c r="H33" s="94">
        <v>2036985.4344029999</v>
      </c>
      <c r="I33" s="105">
        <f t="shared" si="1"/>
        <v>0.16871304717029403</v>
      </c>
      <c r="J33" s="106">
        <f t="shared" si="3"/>
        <v>3.0435941451483962E-2</v>
      </c>
    </row>
    <row r="34" spans="2:10" x14ac:dyDescent="0.2">
      <c r="B34" s="167"/>
      <c r="C34" s="185" t="s">
        <v>144</v>
      </c>
      <c r="D34" s="94">
        <v>4426399.093175563</v>
      </c>
      <c r="E34" s="94">
        <v>4025376.5046070027</v>
      </c>
      <c r="F34" s="109">
        <f t="shared" si="0"/>
        <v>-9.0597928502841096E-2</v>
      </c>
      <c r="G34" s="94">
        <v>32794910.269775171</v>
      </c>
      <c r="H34" s="94">
        <v>30681800.998221278</v>
      </c>
      <c r="I34" s="109">
        <f t="shared" si="1"/>
        <v>-6.4434061693451283E-2</v>
      </c>
      <c r="J34" s="116">
        <f t="shared" si="3"/>
        <v>0.4584370035427533</v>
      </c>
    </row>
    <row r="35" spans="2:10" x14ac:dyDescent="0.25">
      <c r="C35" s="68" t="s">
        <v>55</v>
      </c>
      <c r="D35" s="99">
        <f>SUM(D36:D46)</f>
        <v>146826.3502512626</v>
      </c>
      <c r="E35" s="90">
        <f>SUM(E36:E46)</f>
        <v>105625.20832600002</v>
      </c>
      <c r="F35" s="100">
        <f t="shared" si="0"/>
        <v>-0.28061136066350106</v>
      </c>
      <c r="G35" s="99">
        <f>SUM(G36:G46)</f>
        <v>994769.26225287432</v>
      </c>
      <c r="H35" s="90">
        <f>SUM(H36:H46)</f>
        <v>851678.71337466617</v>
      </c>
      <c r="I35" s="100">
        <f t="shared" si="1"/>
        <v>-0.1438429536454997</v>
      </c>
      <c r="J35" s="101">
        <f>SUM(J36:J46)</f>
        <v>1</v>
      </c>
    </row>
    <row r="36" spans="2:10" x14ac:dyDescent="0.25">
      <c r="B36" s="167"/>
      <c r="C36" s="183" t="s">
        <v>34</v>
      </c>
      <c r="D36" s="94">
        <v>58368.822034500001</v>
      </c>
      <c r="E36" s="94">
        <v>22202.812461000001</v>
      </c>
      <c r="F36" s="102">
        <f t="shared" si="0"/>
        <v>-0.61961177753635999</v>
      </c>
      <c r="G36" s="94">
        <v>361952.98370475002</v>
      </c>
      <c r="H36" s="94">
        <v>194152.58610969997</v>
      </c>
      <c r="I36" s="112">
        <f t="shared" si="1"/>
        <v>-0.46359722159916528</v>
      </c>
      <c r="J36" s="113">
        <f>(H36/$H$35)</f>
        <v>0.22796458695133473</v>
      </c>
    </row>
    <row r="37" spans="2:10" x14ac:dyDescent="0.25">
      <c r="B37" s="167"/>
      <c r="C37" s="184" t="s">
        <v>56</v>
      </c>
      <c r="D37" s="94">
        <v>13571.500443927998</v>
      </c>
      <c r="E37" s="94">
        <v>12474.740806</v>
      </c>
      <c r="F37" s="105">
        <f t="shared" si="0"/>
        <v>-8.0813440080510612E-2</v>
      </c>
      <c r="G37" s="94">
        <v>110121.67092072</v>
      </c>
      <c r="H37" s="94">
        <v>95337.539704291994</v>
      </c>
      <c r="I37" s="114">
        <f t="shared" si="1"/>
        <v>-0.13425269606625895</v>
      </c>
      <c r="J37" s="115">
        <f t="shared" ref="J37:J46" si="4">(H37/$H$35)</f>
        <v>0.11194073329193516</v>
      </c>
    </row>
    <row r="38" spans="2:10" x14ac:dyDescent="0.25">
      <c r="B38" s="167"/>
      <c r="C38" s="184" t="s">
        <v>57</v>
      </c>
      <c r="D38" s="94">
        <v>6502.8410999999996</v>
      </c>
      <c r="E38" s="94">
        <v>6238.0902999999998</v>
      </c>
      <c r="F38" s="105">
        <f t="shared" si="0"/>
        <v>-4.0713096926203507E-2</v>
      </c>
      <c r="G38" s="94">
        <v>58150.427600000003</v>
      </c>
      <c r="H38" s="94">
        <v>59649.762799999997</v>
      </c>
      <c r="I38" s="114">
        <f t="shared" si="1"/>
        <v>2.5783734735597953E-2</v>
      </c>
      <c r="J38" s="115">
        <f t="shared" si="4"/>
        <v>7.0037869754482382E-2</v>
      </c>
    </row>
    <row r="39" spans="2:10" x14ac:dyDescent="0.25">
      <c r="B39" s="167"/>
      <c r="C39" s="184" t="s">
        <v>39</v>
      </c>
      <c r="D39" s="94">
        <v>4345.1431259999999</v>
      </c>
      <c r="E39" s="94">
        <v>6202.4595749999999</v>
      </c>
      <c r="F39" s="105">
        <f t="shared" si="0"/>
        <v>0.42744655242456564</v>
      </c>
      <c r="G39" s="94">
        <v>32961.854206999997</v>
      </c>
      <c r="H39" s="94">
        <v>43597.536386</v>
      </c>
      <c r="I39" s="114">
        <f t="shared" si="1"/>
        <v>0.32266638011951826</v>
      </c>
      <c r="J39" s="115">
        <f t="shared" si="4"/>
        <v>5.1190120994395211E-2</v>
      </c>
    </row>
    <row r="40" spans="2:10" x14ac:dyDescent="0.25">
      <c r="B40" s="167"/>
      <c r="C40" s="184" t="s">
        <v>58</v>
      </c>
      <c r="D40" s="94">
        <v>11161.652955</v>
      </c>
      <c r="E40" s="94">
        <v>4163.6430250000003</v>
      </c>
      <c r="F40" s="114">
        <f t="shared" si="0"/>
        <v>-0.62696895864918956</v>
      </c>
      <c r="G40" s="94">
        <v>43317.874233000002</v>
      </c>
      <c r="H40" s="94">
        <v>42133.432972999995</v>
      </c>
      <c r="I40" s="114">
        <f t="shared" si="1"/>
        <v>-2.7343014424694168E-2</v>
      </c>
      <c r="J40" s="115">
        <f t="shared" si="4"/>
        <v>4.9471041498796824E-2</v>
      </c>
    </row>
    <row r="41" spans="2:10" x14ac:dyDescent="0.25">
      <c r="B41" s="167"/>
      <c r="C41" s="184" t="s">
        <v>59</v>
      </c>
      <c r="D41" s="94">
        <v>4161.1805779999995</v>
      </c>
      <c r="E41" s="94">
        <v>5174.3274460000002</v>
      </c>
      <c r="F41" s="114">
        <f t="shared" si="0"/>
        <v>0.24347582350943117</v>
      </c>
      <c r="G41" s="94">
        <v>33440.89907911</v>
      </c>
      <c r="H41" s="94">
        <v>39621.566897800003</v>
      </c>
      <c r="I41" s="114">
        <f t="shared" si="1"/>
        <v>0.18482361386482482</v>
      </c>
      <c r="J41" s="115">
        <f t="shared" si="4"/>
        <v>4.6521729703452017E-2</v>
      </c>
    </row>
    <row r="42" spans="2:10" x14ac:dyDescent="0.25">
      <c r="B42" s="167"/>
      <c r="C42" s="184" t="s">
        <v>60</v>
      </c>
      <c r="D42" s="94">
        <v>4662.0948248499999</v>
      </c>
      <c r="E42" s="94">
        <v>4973.5629399999998</v>
      </c>
      <c r="F42" s="114">
        <f t="shared" si="0"/>
        <v>6.6808618625645647E-2</v>
      </c>
      <c r="G42" s="94">
        <v>29474.148363609998</v>
      </c>
      <c r="H42" s="94">
        <v>36429.093369589995</v>
      </c>
      <c r="I42" s="114">
        <f t="shared" si="1"/>
        <v>0.23596763238685664</v>
      </c>
      <c r="J42" s="115">
        <f t="shared" si="4"/>
        <v>4.2773281517445055E-2</v>
      </c>
    </row>
    <row r="43" spans="2:10" x14ac:dyDescent="0.25">
      <c r="B43" s="167"/>
      <c r="C43" s="184" t="s">
        <v>62</v>
      </c>
      <c r="D43" s="94">
        <v>5973.7753029999994</v>
      </c>
      <c r="E43" s="94">
        <v>5274.9462279999998</v>
      </c>
      <c r="F43" s="114">
        <f t="shared" si="0"/>
        <v>-0.11698281899706728</v>
      </c>
      <c r="G43" s="94">
        <v>37723.067229</v>
      </c>
      <c r="H43" s="94">
        <v>34320.845370000003</v>
      </c>
      <c r="I43" s="114">
        <f t="shared" si="1"/>
        <v>-9.0189428085118803E-2</v>
      </c>
      <c r="J43" s="115">
        <f t="shared" si="4"/>
        <v>4.0297878567386189E-2</v>
      </c>
    </row>
    <row r="44" spans="2:10" x14ac:dyDescent="0.25">
      <c r="B44" s="167"/>
      <c r="C44" s="184" t="s">
        <v>63</v>
      </c>
      <c r="D44" s="94">
        <v>4367.1657604929997</v>
      </c>
      <c r="E44" s="94">
        <v>5821.6488220000001</v>
      </c>
      <c r="F44" s="114">
        <f t="shared" si="0"/>
        <v>0.33304965766694578</v>
      </c>
      <c r="G44" s="94">
        <v>33566.303113110996</v>
      </c>
      <c r="H44" s="94">
        <v>33171.613634271002</v>
      </c>
      <c r="I44" s="114">
        <f t="shared" si="1"/>
        <v>-1.1758503088945452E-2</v>
      </c>
      <c r="J44" s="115">
        <f t="shared" si="4"/>
        <v>3.8948506183549891E-2</v>
      </c>
    </row>
    <row r="45" spans="2:10" x14ac:dyDescent="0.25">
      <c r="B45" s="167"/>
      <c r="C45" s="184" t="s">
        <v>61</v>
      </c>
      <c r="D45" s="94">
        <v>5727.3622685999999</v>
      </c>
      <c r="E45" s="94">
        <v>2317.0244790000002</v>
      </c>
      <c r="F45" s="114">
        <f t="shared" si="0"/>
        <v>-0.59544649520373794</v>
      </c>
      <c r="G45" s="94">
        <v>27518.202765300004</v>
      </c>
      <c r="H45" s="94">
        <v>30764.728471099999</v>
      </c>
      <c r="I45" s="114">
        <f t="shared" si="1"/>
        <v>0.11797738876660252</v>
      </c>
      <c r="J45" s="115">
        <f t="shared" si="4"/>
        <v>3.6122457903402051E-2</v>
      </c>
    </row>
    <row r="46" spans="2:10" x14ac:dyDescent="0.2">
      <c r="B46" s="167"/>
      <c r="C46" s="186" t="s">
        <v>123</v>
      </c>
      <c r="D46" s="94">
        <v>27984.811856891592</v>
      </c>
      <c r="E46" s="94">
        <v>30781.952244000007</v>
      </c>
      <c r="F46" s="109">
        <f>(E46-D46)/D46</f>
        <v>9.9952088347507892E-2</v>
      </c>
      <c r="G46" s="118">
        <v>226541.83103727316</v>
      </c>
      <c r="H46" s="118">
        <v>242500.00765891321</v>
      </c>
      <c r="I46" s="107">
        <f t="shared" si="1"/>
        <v>7.0442516283071924E-2</v>
      </c>
      <c r="J46" s="116">
        <f t="shared" si="4"/>
        <v>0.28473179363382051</v>
      </c>
    </row>
    <row r="47" spans="2:10" x14ac:dyDescent="0.25">
      <c r="B47" s="167"/>
      <c r="C47" s="169" t="s">
        <v>64</v>
      </c>
      <c r="D47" s="90">
        <f>SUM(D48:D58)</f>
        <v>348630.2705646985</v>
      </c>
      <c r="E47" s="90">
        <f>SUM(E48:E58)</f>
        <v>312246.45324400003</v>
      </c>
      <c r="F47" s="168">
        <f t="shared" si="0"/>
        <v>-0.10436218651285012</v>
      </c>
      <c r="G47" s="99">
        <f>SUM(G48:G58)</f>
        <v>2451293.9884172659</v>
      </c>
      <c r="H47" s="90">
        <f>SUM(H48:H58)</f>
        <v>2363917.6817924241</v>
      </c>
      <c r="I47" s="100">
        <f t="shared" si="1"/>
        <v>-3.5644972425873077E-2</v>
      </c>
      <c r="J47" s="101">
        <f>SUM(J48:J58)</f>
        <v>1</v>
      </c>
    </row>
    <row r="48" spans="2:10" x14ac:dyDescent="0.25">
      <c r="B48" s="167"/>
      <c r="C48" s="70" t="s">
        <v>34</v>
      </c>
      <c r="D48" s="94">
        <v>67337.814148108402</v>
      </c>
      <c r="E48" s="94">
        <v>44974.206860999991</v>
      </c>
      <c r="F48" s="102">
        <f t="shared" si="0"/>
        <v>-0.33211068060391785</v>
      </c>
      <c r="G48" s="94">
        <v>360377.56509433722</v>
      </c>
      <c r="H48" s="94">
        <v>347591.39337893703</v>
      </c>
      <c r="I48" s="105">
        <f t="shared" si="1"/>
        <v>-3.5479932586960854E-2</v>
      </c>
      <c r="J48" s="104">
        <f>(H48/$H$47)</f>
        <v>0.1470403965654922</v>
      </c>
    </row>
    <row r="49" spans="2:10" x14ac:dyDescent="0.25">
      <c r="B49" s="167"/>
      <c r="C49" s="66" t="s">
        <v>65</v>
      </c>
      <c r="D49" s="94">
        <v>39004.463489079899</v>
      </c>
      <c r="E49" s="94">
        <v>27798.584247000003</v>
      </c>
      <c r="F49" s="105">
        <f t="shared" si="0"/>
        <v>-0.28729735624275954</v>
      </c>
      <c r="G49" s="94">
        <v>270499.87867561489</v>
      </c>
      <c r="H49" s="94">
        <v>266717.49838925741</v>
      </c>
      <c r="I49" s="105">
        <f t="shared" si="1"/>
        <v>-1.3982927847791517E-2</v>
      </c>
      <c r="J49" s="106">
        <f t="shared" ref="J49:J58" si="5">(H49/$H$47)</f>
        <v>0.11282858977856654</v>
      </c>
    </row>
    <row r="50" spans="2:10" x14ac:dyDescent="0.25">
      <c r="B50" s="167"/>
      <c r="C50" s="66" t="s">
        <v>39</v>
      </c>
      <c r="D50" s="94">
        <v>21739.861978225301</v>
      </c>
      <c r="E50" s="94">
        <v>17538.871322999999</v>
      </c>
      <c r="F50" s="105">
        <f t="shared" si="0"/>
        <v>-0.19323906745282118</v>
      </c>
      <c r="G50" s="94">
        <v>156568.28721935381</v>
      </c>
      <c r="H50" s="94">
        <v>148492.52330758987</v>
      </c>
      <c r="I50" s="105">
        <f t="shared" si="1"/>
        <v>-5.1579818973491766E-2</v>
      </c>
      <c r="J50" s="106">
        <f t="shared" si="5"/>
        <v>6.2816283515844118E-2</v>
      </c>
    </row>
    <row r="51" spans="2:10" x14ac:dyDescent="0.25">
      <c r="B51" s="167"/>
      <c r="C51" s="66" t="s">
        <v>35</v>
      </c>
      <c r="D51" s="94">
        <v>13454.2326920139</v>
      </c>
      <c r="E51" s="94">
        <v>15911.481471999999</v>
      </c>
      <c r="F51" s="105">
        <f t="shared" si="0"/>
        <v>0.18263760083803673</v>
      </c>
      <c r="G51" s="94">
        <v>100347.8714331685</v>
      </c>
      <c r="H51" s="94">
        <v>119720.0896937581</v>
      </c>
      <c r="I51" s="105">
        <f t="shared" si="1"/>
        <v>0.193050614665917</v>
      </c>
      <c r="J51" s="106">
        <f t="shared" si="5"/>
        <v>5.0644779475984621E-2</v>
      </c>
    </row>
    <row r="52" spans="2:10" x14ac:dyDescent="0.25">
      <c r="B52" s="167"/>
      <c r="C52" s="66" t="s">
        <v>56</v>
      </c>
      <c r="D52" s="94">
        <v>17865.407216526401</v>
      </c>
      <c r="E52" s="94">
        <v>14310.328712999999</v>
      </c>
      <c r="F52" s="105">
        <f t="shared" si="0"/>
        <v>-0.19899230173929511</v>
      </c>
      <c r="G52" s="94">
        <v>141366.23929958799</v>
      </c>
      <c r="H52" s="94">
        <v>111251.0148408596</v>
      </c>
      <c r="I52" s="105">
        <f t="shared" si="1"/>
        <v>-0.21302981962268386</v>
      </c>
      <c r="J52" s="202">
        <f t="shared" si="5"/>
        <v>4.7062135749373596E-2</v>
      </c>
    </row>
    <row r="53" spans="2:10" x14ac:dyDescent="0.25">
      <c r="B53" s="167"/>
      <c r="C53" s="66" t="s">
        <v>37</v>
      </c>
      <c r="D53" s="94">
        <v>14509.185600532499</v>
      </c>
      <c r="E53" s="94">
        <v>13471.442099</v>
      </c>
      <c r="F53" s="105">
        <f t="shared" si="0"/>
        <v>-7.1523208131985927E-2</v>
      </c>
      <c r="G53" s="94">
        <v>118613.15186924468</v>
      </c>
      <c r="H53" s="94">
        <v>110891.82736598639</v>
      </c>
      <c r="I53" s="105">
        <f t="shared" si="1"/>
        <v>-6.5096697807761075E-2</v>
      </c>
      <c r="J53" s="202">
        <f t="shared" si="5"/>
        <v>4.6910189902172668E-2</v>
      </c>
    </row>
    <row r="54" spans="2:10" x14ac:dyDescent="0.25">
      <c r="B54" s="167"/>
      <c r="C54" s="66" t="s">
        <v>50</v>
      </c>
      <c r="D54" s="94">
        <v>14878.207373633</v>
      </c>
      <c r="E54" s="94">
        <v>12813.904139</v>
      </c>
      <c r="F54" s="105">
        <f t="shared" si="0"/>
        <v>-0.13874677121998824</v>
      </c>
      <c r="G54" s="94">
        <v>121830.2611575855</v>
      </c>
      <c r="H54" s="94">
        <v>96377.057054768593</v>
      </c>
      <c r="I54" s="105">
        <f t="shared" si="1"/>
        <v>-0.20892349619027403</v>
      </c>
      <c r="J54" s="106">
        <f t="shared" si="5"/>
        <v>4.0770056333641599E-2</v>
      </c>
    </row>
    <row r="55" spans="2:10" x14ac:dyDescent="0.25">
      <c r="B55" s="167"/>
      <c r="C55" s="66" t="s">
        <v>66</v>
      </c>
      <c r="D55" s="94">
        <v>12802.816928046301</v>
      </c>
      <c r="E55" s="94">
        <v>12121.015305000001</v>
      </c>
      <c r="F55" s="105">
        <f t="shared" si="0"/>
        <v>-5.3254032052330716E-2</v>
      </c>
      <c r="G55" s="94">
        <v>90564.991069171199</v>
      </c>
      <c r="H55" s="94">
        <v>88692.887164936808</v>
      </c>
      <c r="I55" s="105">
        <f t="shared" si="1"/>
        <v>-2.0671386173985555E-2</v>
      </c>
      <c r="J55" s="106">
        <f t="shared" si="5"/>
        <v>3.7519448265087657E-2</v>
      </c>
    </row>
    <row r="56" spans="2:10" x14ac:dyDescent="0.25">
      <c r="B56" s="167"/>
      <c r="C56" s="66" t="s">
        <v>62</v>
      </c>
      <c r="D56" s="94">
        <v>12889.198748413799</v>
      </c>
      <c r="E56" s="94">
        <v>12471.289147</v>
      </c>
      <c r="F56" s="105">
        <f t="shared" si="0"/>
        <v>-3.2423241317869292E-2</v>
      </c>
      <c r="G56" s="94">
        <v>93129.037817499193</v>
      </c>
      <c r="H56" s="94">
        <v>86784.524352406603</v>
      </c>
      <c r="I56" s="105">
        <f t="shared" si="1"/>
        <v>-6.8126049766836949E-2</v>
      </c>
      <c r="J56" s="106">
        <f t="shared" si="5"/>
        <v>3.6712160081057835E-2</v>
      </c>
    </row>
    <row r="57" spans="2:10" x14ac:dyDescent="0.25">
      <c r="B57" s="167"/>
      <c r="C57" s="66" t="s">
        <v>61</v>
      </c>
      <c r="D57" s="94">
        <v>10508.6492624149</v>
      </c>
      <c r="E57" s="94">
        <v>10262.796125000001</v>
      </c>
      <c r="F57" s="105">
        <f t="shared" si="0"/>
        <v>-2.3395312877575427E-2</v>
      </c>
      <c r="G57" s="94">
        <v>70681.87890945909</v>
      </c>
      <c r="H57" s="94">
        <v>79732.742284532404</v>
      </c>
      <c r="I57" s="105">
        <f t="shared" si="1"/>
        <v>0.12805069014460041</v>
      </c>
      <c r="J57" s="106">
        <f t="shared" si="5"/>
        <v>3.3729068866761726E-2</v>
      </c>
    </row>
    <row r="58" spans="2:10" x14ac:dyDescent="0.2">
      <c r="B58" s="167"/>
      <c r="C58" s="182" t="s">
        <v>124</v>
      </c>
      <c r="D58" s="94">
        <v>123640.43312770411</v>
      </c>
      <c r="E58" s="94">
        <v>130572.53381300003</v>
      </c>
      <c r="F58" s="109">
        <f t="shared" si="0"/>
        <v>5.6066615992326624E-2</v>
      </c>
      <c r="G58" s="94">
        <v>927314.82587224408</v>
      </c>
      <c r="H58" s="94">
        <v>907666.12395939115</v>
      </c>
      <c r="I58" s="107">
        <f t="shared" si="1"/>
        <v>-2.1188814590957412E-2</v>
      </c>
      <c r="J58" s="116">
        <f t="shared" si="5"/>
        <v>0.38396689146601742</v>
      </c>
    </row>
    <row r="59" spans="2:10" x14ac:dyDescent="0.25">
      <c r="C59" s="68" t="s">
        <v>67</v>
      </c>
      <c r="D59" s="99">
        <f>SUM(D60:D70)</f>
        <v>27179.629468529602</v>
      </c>
      <c r="E59" s="90">
        <f>SUM(E60:E70)</f>
        <v>26157.712403000001</v>
      </c>
      <c r="F59" s="100">
        <f t="shared" si="0"/>
        <v>-3.759863859486548E-2</v>
      </c>
      <c r="G59" s="99">
        <f>SUM(G60:G70)</f>
        <v>207357.66615463048</v>
      </c>
      <c r="H59" s="90">
        <f>SUM(H60:H70)</f>
        <v>191533.066450735</v>
      </c>
      <c r="I59" s="100">
        <f t="shared" si="1"/>
        <v>-7.6315479419481802E-2</v>
      </c>
      <c r="J59" s="101">
        <f>SUM(J60:J70)</f>
        <v>1</v>
      </c>
    </row>
    <row r="60" spans="2:10" x14ac:dyDescent="0.25">
      <c r="B60" s="167"/>
      <c r="C60" s="183" t="s">
        <v>63</v>
      </c>
      <c r="D60" s="94">
        <v>1938.4496796219998</v>
      </c>
      <c r="E60" s="94">
        <v>3484.009168</v>
      </c>
      <c r="F60" s="102">
        <f t="shared" si="0"/>
        <v>0.79731731219320912</v>
      </c>
      <c r="G60" s="94">
        <v>16850.290218240199</v>
      </c>
      <c r="H60" s="94">
        <v>17439.872652760998</v>
      </c>
      <c r="I60" s="102">
        <f t="shared" si="1"/>
        <v>3.4989452815630664E-2</v>
      </c>
      <c r="J60" s="104">
        <f>(H60/$H$59)</f>
        <v>9.1054108702670292E-2</v>
      </c>
    </row>
    <row r="61" spans="2:10" x14ac:dyDescent="0.25">
      <c r="B61" s="167"/>
      <c r="C61" s="184" t="s">
        <v>56</v>
      </c>
      <c r="D61" s="94">
        <v>2389.702034892</v>
      </c>
      <c r="E61" s="94">
        <v>2090.1471970000002</v>
      </c>
      <c r="F61" s="105">
        <f t="shared" si="0"/>
        <v>-0.12535238013702318</v>
      </c>
      <c r="G61" s="94">
        <v>19184.608325448</v>
      </c>
      <c r="H61" s="94">
        <v>16716.606608670998</v>
      </c>
      <c r="I61" s="105">
        <f t="shared" si="1"/>
        <v>-0.12864488421706516</v>
      </c>
      <c r="J61" s="202">
        <f t="shared" ref="J61:J70" si="6">(H61/$H$59)</f>
        <v>8.7277914557749456E-2</v>
      </c>
    </row>
    <row r="62" spans="2:10" x14ac:dyDescent="0.25">
      <c r="B62" s="167"/>
      <c r="C62" s="184" t="s">
        <v>62</v>
      </c>
      <c r="D62" s="94">
        <v>2468.9836580000001</v>
      </c>
      <c r="E62" s="94">
        <v>2501.134536</v>
      </c>
      <c r="F62" s="105">
        <f t="shared" si="0"/>
        <v>1.3021907980567087E-2</v>
      </c>
      <c r="G62" s="94">
        <v>18551.687687999998</v>
      </c>
      <c r="H62" s="94">
        <v>16698.107257</v>
      </c>
      <c r="I62" s="105">
        <f t="shared" si="1"/>
        <v>-9.9914383110220814E-2</v>
      </c>
      <c r="J62" s="202">
        <f t="shared" si="6"/>
        <v>8.7181328876677219E-2</v>
      </c>
    </row>
    <row r="63" spans="2:10" x14ac:dyDescent="0.25">
      <c r="B63" s="167"/>
      <c r="C63" s="184" t="s">
        <v>68</v>
      </c>
      <c r="D63" s="94">
        <v>1923.9362822000001</v>
      </c>
      <c r="E63" s="94">
        <v>2193.5726489999997</v>
      </c>
      <c r="F63" s="105">
        <f t="shared" si="0"/>
        <v>0.14014828312904076</v>
      </c>
      <c r="G63" s="94">
        <v>14695.090208900001</v>
      </c>
      <c r="H63" s="94">
        <v>15835.682386499999</v>
      </c>
      <c r="I63" s="105">
        <f t="shared" si="1"/>
        <v>7.7617228706034366E-2</v>
      </c>
      <c r="J63" s="106">
        <f t="shared" si="6"/>
        <v>8.2678582241428059E-2</v>
      </c>
    </row>
    <row r="64" spans="2:10" x14ac:dyDescent="0.25">
      <c r="B64" s="167"/>
      <c r="C64" s="184" t="s">
        <v>65</v>
      </c>
      <c r="D64" s="94">
        <v>2040.9869447000001</v>
      </c>
      <c r="E64" s="94">
        <v>1884.4390760000001</v>
      </c>
      <c r="F64" s="105">
        <f t="shared" si="0"/>
        <v>-7.6702043149526652E-2</v>
      </c>
      <c r="G64" s="94">
        <v>13994.977267299999</v>
      </c>
      <c r="H64" s="94">
        <v>14313.2882123</v>
      </c>
      <c r="I64" s="105">
        <f t="shared" si="1"/>
        <v>2.2744656094851354E-2</v>
      </c>
      <c r="J64" s="106">
        <f t="shared" si="6"/>
        <v>7.4730115679433232E-2</v>
      </c>
    </row>
    <row r="65" spans="2:10" x14ac:dyDescent="0.25">
      <c r="B65" s="167"/>
      <c r="C65" s="184" t="s">
        <v>69</v>
      </c>
      <c r="D65" s="94">
        <v>1373.4508930000002</v>
      </c>
      <c r="E65" s="94">
        <v>1290.382998</v>
      </c>
      <c r="F65" s="105">
        <f t="shared" si="0"/>
        <v>-6.0481154021136248E-2</v>
      </c>
      <c r="G65" s="94">
        <v>10923.927667</v>
      </c>
      <c r="H65" s="94">
        <v>9857.3170470000005</v>
      </c>
      <c r="I65" s="105">
        <f t="shared" si="1"/>
        <v>-9.7639846446632414E-2</v>
      </c>
      <c r="J65" s="202">
        <f t="shared" si="6"/>
        <v>5.1465353892485403E-2</v>
      </c>
    </row>
    <row r="66" spans="2:10" x14ac:dyDescent="0.25">
      <c r="B66" s="167"/>
      <c r="C66" s="184" t="s">
        <v>70</v>
      </c>
      <c r="D66" s="94">
        <v>1069.3669950000001</v>
      </c>
      <c r="E66" s="94">
        <v>1410.2019150000001</v>
      </c>
      <c r="F66" s="105">
        <f t="shared" si="0"/>
        <v>0.3187258645475588</v>
      </c>
      <c r="G66" s="94">
        <v>8270.4274289999994</v>
      </c>
      <c r="H66" s="94">
        <v>9815.726482</v>
      </c>
      <c r="I66" s="105">
        <f t="shared" si="1"/>
        <v>0.18684633488003982</v>
      </c>
      <c r="J66" s="202">
        <f t="shared" si="6"/>
        <v>5.1248208280133933E-2</v>
      </c>
    </row>
    <row r="67" spans="2:10" x14ac:dyDescent="0.25">
      <c r="B67" s="167"/>
      <c r="C67" s="184" t="s">
        <v>71</v>
      </c>
      <c r="D67" s="94">
        <v>1206.6350029999999</v>
      </c>
      <c r="E67" s="94">
        <v>1279.4929830000001</v>
      </c>
      <c r="F67" s="105">
        <f t="shared" si="0"/>
        <v>6.0381125873902923E-2</v>
      </c>
      <c r="G67" s="94">
        <v>10769.846421400001</v>
      </c>
      <c r="H67" s="94">
        <v>9377.4085090000008</v>
      </c>
      <c r="I67" s="105">
        <f t="shared" si="1"/>
        <v>-0.12929041491559115</v>
      </c>
      <c r="J67" s="106">
        <f t="shared" si="6"/>
        <v>4.895973673251873E-2</v>
      </c>
    </row>
    <row r="68" spans="2:10" x14ac:dyDescent="0.25">
      <c r="B68" s="167"/>
      <c r="C68" s="184" t="s">
        <v>72</v>
      </c>
      <c r="D68" s="94">
        <v>1337.1048506000002</v>
      </c>
      <c r="E68" s="94">
        <v>1609.646688</v>
      </c>
      <c r="F68" s="105">
        <f t="shared" si="0"/>
        <v>0.203829817293462</v>
      </c>
      <c r="G68" s="94">
        <v>9083.8656707999999</v>
      </c>
      <c r="H68" s="94">
        <v>9051.4283815000017</v>
      </c>
      <c r="I68" s="105">
        <f t="shared" si="1"/>
        <v>-3.5708684469286591E-3</v>
      </c>
      <c r="J68" s="202">
        <f t="shared" si="6"/>
        <v>4.7257784513297901E-2</v>
      </c>
    </row>
    <row r="69" spans="2:10" x14ac:dyDescent="0.25">
      <c r="B69" s="167"/>
      <c r="C69" s="184" t="s">
        <v>66</v>
      </c>
      <c r="D69" s="94">
        <v>1168.233269268</v>
      </c>
      <c r="E69" s="94">
        <v>903.42238799999996</v>
      </c>
      <c r="F69" s="105">
        <f t="shared" si="0"/>
        <v>-0.2266763738323658</v>
      </c>
      <c r="G69" s="94">
        <v>10404.185266205001</v>
      </c>
      <c r="H69" s="94">
        <v>8358.4650444729996</v>
      </c>
      <c r="I69" s="105">
        <f t="shared" si="1"/>
        <v>-0.1966247398897186</v>
      </c>
      <c r="J69" s="202">
        <f t="shared" si="6"/>
        <v>4.3639801729081149E-2</v>
      </c>
    </row>
    <row r="70" spans="2:10" x14ac:dyDescent="0.2">
      <c r="B70" s="167"/>
      <c r="C70" s="185" t="s">
        <v>123</v>
      </c>
      <c r="D70" s="94">
        <v>10262.779858247601</v>
      </c>
      <c r="E70" s="94">
        <v>7511.2628050000012</v>
      </c>
      <c r="F70" s="114">
        <f t="shared" si="0"/>
        <v>-0.26810640891184712</v>
      </c>
      <c r="G70" s="94">
        <v>74628.759992337291</v>
      </c>
      <c r="H70" s="94">
        <v>64069.163869529999</v>
      </c>
      <c r="I70" s="107">
        <f t="shared" si="1"/>
        <v>-0.14149499635115909</v>
      </c>
      <c r="J70" s="116">
        <f t="shared" si="6"/>
        <v>0.33450706479452458</v>
      </c>
    </row>
    <row r="71" spans="2:10" x14ac:dyDescent="0.25">
      <c r="C71" s="68" t="s">
        <v>73</v>
      </c>
      <c r="D71" s="99">
        <f>SUM(D72:D73)</f>
        <v>1148061.4364120001</v>
      </c>
      <c r="E71" s="90">
        <f>SUM(E72:E73)</f>
        <v>1253372.779544</v>
      </c>
      <c r="F71" s="100">
        <f t="shared" si="0"/>
        <v>9.1729710442261816E-2</v>
      </c>
      <c r="G71" s="90">
        <f>SUM(G72:G73)</f>
        <v>7241037.3594579995</v>
      </c>
      <c r="H71" s="90">
        <f>SUM(H72:H73)</f>
        <v>9449020.3268720005</v>
      </c>
      <c r="I71" s="100">
        <f t="shared" si="1"/>
        <v>0.30492633276225373</v>
      </c>
      <c r="J71" s="101">
        <f>SUM(J72:J73)</f>
        <v>1</v>
      </c>
    </row>
    <row r="72" spans="2:10" x14ac:dyDescent="0.25">
      <c r="B72" s="167"/>
      <c r="C72" s="183" t="s">
        <v>74</v>
      </c>
      <c r="D72" s="94">
        <v>1125052.3026000001</v>
      </c>
      <c r="E72" s="94">
        <v>1238055.4478</v>
      </c>
      <c r="F72" s="105">
        <f t="shared" si="0"/>
        <v>0.10044257048214489</v>
      </c>
      <c r="G72" s="94">
        <v>7087088.0517799994</v>
      </c>
      <c r="H72" s="94">
        <v>9290442.9523000009</v>
      </c>
      <c r="I72" s="102">
        <f t="shared" si="1"/>
        <v>0.31089706864395522</v>
      </c>
      <c r="J72" s="104">
        <f>(H72/$H$71)</f>
        <v>0.98321758562408612</v>
      </c>
    </row>
    <row r="73" spans="2:10" x14ac:dyDescent="0.25">
      <c r="B73" s="167"/>
      <c r="C73" s="187" t="s">
        <v>58</v>
      </c>
      <c r="D73" s="94">
        <v>23009.133812</v>
      </c>
      <c r="E73" s="94">
        <v>15317.331743999999</v>
      </c>
      <c r="F73" s="107">
        <f t="shared" si="0"/>
        <v>-0.33429342151022129</v>
      </c>
      <c r="G73" s="94">
        <v>153949.30767799998</v>
      </c>
      <c r="H73" s="94">
        <v>158577.374572</v>
      </c>
      <c r="I73" s="107">
        <f t="shared" si="1"/>
        <v>3.0062278056359124E-2</v>
      </c>
      <c r="J73" s="108">
        <f>(H73/$H$71)</f>
        <v>1.6782414375913973E-2</v>
      </c>
    </row>
    <row r="74" spans="2:10" x14ac:dyDescent="0.25">
      <c r="B74" s="167"/>
      <c r="C74" s="169" t="s">
        <v>75</v>
      </c>
      <c r="D74" s="90">
        <f>SUM(D75:D75)</f>
        <v>2934.8496</v>
      </c>
      <c r="E74" s="90">
        <f>SUM(E75:E75)</f>
        <v>2732.7916949999999</v>
      </c>
      <c r="F74" s="100">
        <f t="shared" si="0"/>
        <v>-6.8847788656699854E-2</v>
      </c>
      <c r="G74" s="99">
        <f>SUM(G75:G75)</f>
        <v>22413.989740000001</v>
      </c>
      <c r="H74" s="90">
        <f>SUM(H75:H75)</f>
        <v>23477.922262</v>
      </c>
      <c r="I74" s="100">
        <f t="shared" si="1"/>
        <v>4.746734224212236E-2</v>
      </c>
      <c r="J74" s="101">
        <f>SUM(J75:J75)</f>
        <v>1</v>
      </c>
    </row>
    <row r="75" spans="2:10" x14ac:dyDescent="0.25">
      <c r="C75" s="70" t="s">
        <v>76</v>
      </c>
      <c r="D75" s="92">
        <v>2934.8496</v>
      </c>
      <c r="E75" s="92">
        <v>2732.7916949999999</v>
      </c>
      <c r="F75" s="126">
        <f t="shared" ref="F75:F88" si="7">(E75-D75)/D75</f>
        <v>-6.8847788656699854E-2</v>
      </c>
      <c r="G75" s="91">
        <v>22413.989740000001</v>
      </c>
      <c r="H75" s="92">
        <v>23477.922262</v>
      </c>
      <c r="I75" s="102">
        <f t="shared" ref="I75:I88" si="8">(H75-G75)/G75</f>
        <v>4.746734224212236E-2</v>
      </c>
      <c r="J75" s="104">
        <f>(H75/$H$74)</f>
        <v>1</v>
      </c>
    </row>
    <row r="76" spans="2:10" x14ac:dyDescent="0.25">
      <c r="C76" s="68" t="s">
        <v>77</v>
      </c>
      <c r="D76" s="99">
        <f>SUM(D77:D81)</f>
        <v>2874.9100077799994</v>
      </c>
      <c r="E76" s="90">
        <f>SUM(E77:E81)</f>
        <v>3233.3038820000002</v>
      </c>
      <c r="F76" s="100">
        <f t="shared" si="7"/>
        <v>0.12466264100445769</v>
      </c>
      <c r="G76" s="99">
        <f>SUM(G77:G81)</f>
        <v>25669.101217354902</v>
      </c>
      <c r="H76" s="90">
        <f>SUM(H77:H81)</f>
        <v>25617.342334193399</v>
      </c>
      <c r="I76" s="100">
        <f t="shared" si="8"/>
        <v>-2.0163886036846826E-3</v>
      </c>
      <c r="J76" s="101">
        <f>SUM(J77:J81)</f>
        <v>1.0000000000000002</v>
      </c>
    </row>
    <row r="77" spans="2:10" x14ac:dyDescent="0.25">
      <c r="B77" s="167"/>
      <c r="C77" s="70" t="s">
        <v>37</v>
      </c>
      <c r="D77" s="92">
        <v>1215.9221881999999</v>
      </c>
      <c r="E77" s="92">
        <v>1239.005977</v>
      </c>
      <c r="F77" s="102">
        <f t="shared" si="7"/>
        <v>1.8984593770899404E-2</v>
      </c>
      <c r="G77" s="91">
        <v>9665.9949164000009</v>
      </c>
      <c r="H77" s="92">
        <v>9228.6933442000009</v>
      </c>
      <c r="I77" s="102">
        <f t="shared" si="8"/>
        <v>-4.5241237553109374E-2</v>
      </c>
      <c r="J77" s="104">
        <f>(H77/$H$76)</f>
        <v>0.36025178661417068</v>
      </c>
    </row>
    <row r="78" spans="2:10" x14ac:dyDescent="0.25">
      <c r="B78" s="167"/>
      <c r="C78" s="66" t="s">
        <v>36</v>
      </c>
      <c r="D78" s="94">
        <v>957.70844939999995</v>
      </c>
      <c r="E78" s="94">
        <v>698.66276900000003</v>
      </c>
      <c r="F78" s="105">
        <f t="shared" si="7"/>
        <v>-0.2704849065102129</v>
      </c>
      <c r="G78" s="93">
        <v>6434.8807647000003</v>
      </c>
      <c r="H78" s="94">
        <v>6927.8438301000006</v>
      </c>
      <c r="I78" s="105">
        <f t="shared" si="8"/>
        <v>7.6607956452629411E-2</v>
      </c>
      <c r="J78" s="106">
        <f t="shared" ref="J78:J81" si="9">(H78/$H$76)</f>
        <v>0.27043569702595122</v>
      </c>
    </row>
    <row r="79" spans="2:10" x14ac:dyDescent="0.25">
      <c r="B79" s="167"/>
      <c r="C79" s="66" t="s">
        <v>38</v>
      </c>
      <c r="D79" s="94">
        <v>358.1734156</v>
      </c>
      <c r="E79" s="94">
        <v>497.156474</v>
      </c>
      <c r="F79" s="105">
        <f t="shared" si="7"/>
        <v>0.38803286996378633</v>
      </c>
      <c r="G79" s="121">
        <v>3096.0096242048994</v>
      </c>
      <c r="H79" s="122">
        <v>3974.2144084433999</v>
      </c>
      <c r="I79" s="105">
        <f t="shared" si="8"/>
        <v>0.28365699427179147</v>
      </c>
      <c r="J79" s="106">
        <f t="shared" si="9"/>
        <v>0.15513765466368135</v>
      </c>
    </row>
    <row r="80" spans="2:10" x14ac:dyDescent="0.25">
      <c r="B80" s="167"/>
      <c r="C80" s="66" t="s">
        <v>35</v>
      </c>
      <c r="D80" s="96">
        <v>141.39534800000001</v>
      </c>
      <c r="E80" s="94">
        <v>357.53128400000003</v>
      </c>
      <c r="F80" s="105">
        <f t="shared" si="7"/>
        <v>1.528592977471932</v>
      </c>
      <c r="G80" s="121">
        <v>1814.020912</v>
      </c>
      <c r="H80" s="122">
        <v>2340.74953</v>
      </c>
      <c r="I80" s="105">
        <f t="shared" si="8"/>
        <v>0.29036524028781435</v>
      </c>
      <c r="J80" s="106">
        <f t="shared" si="9"/>
        <v>9.137362882782829E-2</v>
      </c>
    </row>
    <row r="81" spans="2:10" x14ac:dyDescent="0.25">
      <c r="B81" s="167"/>
      <c r="C81" s="66" t="s">
        <v>78</v>
      </c>
      <c r="D81" s="134">
        <v>201.71060657999999</v>
      </c>
      <c r="E81" s="96">
        <v>440.94737799999996</v>
      </c>
      <c r="F81" s="105">
        <f t="shared" si="7"/>
        <v>1.1860396211991797</v>
      </c>
      <c r="G81" s="93">
        <v>4658.1950000499992</v>
      </c>
      <c r="H81" s="94">
        <v>3145.8412214499999</v>
      </c>
      <c r="I81" s="105">
        <f t="shared" si="8"/>
        <v>-0.32466519297362312</v>
      </c>
      <c r="J81" s="106">
        <f t="shared" si="9"/>
        <v>0.12280123286836857</v>
      </c>
    </row>
    <row r="82" spans="2:10" x14ac:dyDescent="0.25">
      <c r="B82" s="167"/>
      <c r="C82" s="68" t="s">
        <v>79</v>
      </c>
      <c r="D82" s="170">
        <f>SUM(D83:D90)</f>
        <v>2570.0481632000001</v>
      </c>
      <c r="E82" s="90">
        <f>SUM(E83:E90)</f>
        <v>2307.3176539999999</v>
      </c>
      <c r="F82" s="100">
        <f t="shared" si="7"/>
        <v>-0.10222785431105345</v>
      </c>
      <c r="G82" s="99">
        <f>SUM(G83:G90)</f>
        <v>18826.486665</v>
      </c>
      <c r="H82" s="90">
        <f>SUM(H83:H90)</f>
        <v>17485.753498199996</v>
      </c>
      <c r="I82" s="100">
        <f t="shared" si="8"/>
        <v>-7.1215261278278666E-2</v>
      </c>
      <c r="J82" s="101">
        <f>SUM(J83:J90)</f>
        <v>1.0000000000000002</v>
      </c>
    </row>
    <row r="83" spans="2:10" x14ac:dyDescent="0.25">
      <c r="C83" s="66" t="s">
        <v>43</v>
      </c>
      <c r="D83" s="124">
        <v>1680.107</v>
      </c>
      <c r="E83" s="125">
        <v>1406.045558</v>
      </c>
      <c r="F83" s="126">
        <f t="shared" si="7"/>
        <v>-0.16312142143327774</v>
      </c>
      <c r="G83" s="91">
        <v>12236.162878000001</v>
      </c>
      <c r="H83" s="94">
        <v>10845.087894</v>
      </c>
      <c r="I83" s="103">
        <f t="shared" si="8"/>
        <v>-0.11368555631938203</v>
      </c>
      <c r="J83" s="104">
        <f>(H83/$H$82)</f>
        <v>0.62022422397275623</v>
      </c>
    </row>
    <row r="84" spans="2:10" x14ac:dyDescent="0.25">
      <c r="C84" s="66" t="s">
        <v>39</v>
      </c>
      <c r="D84" s="127">
        <v>752.91162599999996</v>
      </c>
      <c r="E84" s="125">
        <v>772.48993199999995</v>
      </c>
      <c r="F84" s="103">
        <f t="shared" si="7"/>
        <v>2.6003458206660762E-2</v>
      </c>
      <c r="G84" s="93">
        <v>5228.2992540000005</v>
      </c>
      <c r="H84" s="94">
        <v>5690.9145289999997</v>
      </c>
      <c r="I84" s="103">
        <f t="shared" si="8"/>
        <v>8.8482937285211324E-2</v>
      </c>
      <c r="J84" s="106">
        <f t="shared" ref="J84:J88" si="10">(H84/$H$82)</f>
        <v>0.32546006836856239</v>
      </c>
    </row>
    <row r="85" spans="2:10" x14ac:dyDescent="0.25">
      <c r="C85" s="66" t="s">
        <v>80</v>
      </c>
      <c r="D85" s="127">
        <v>74.442892999999998</v>
      </c>
      <c r="E85" s="125">
        <v>91.502376999999996</v>
      </c>
      <c r="F85" s="103">
        <f t="shared" si="7"/>
        <v>0.22916202356617169</v>
      </c>
      <c r="G85" s="93">
        <v>876.93770400000005</v>
      </c>
      <c r="H85" s="94">
        <v>660.97783609999999</v>
      </c>
      <c r="I85" s="103">
        <f t="shared" si="8"/>
        <v>-0.24626591708274873</v>
      </c>
      <c r="J85" s="106">
        <f t="shared" si="10"/>
        <v>3.7800935268133676E-2</v>
      </c>
    </row>
    <row r="86" spans="2:10" x14ac:dyDescent="0.25">
      <c r="C86" s="66" t="s">
        <v>65</v>
      </c>
      <c r="D86" s="127">
        <v>60.617534200000001</v>
      </c>
      <c r="E86" s="125">
        <v>30.618167999999997</v>
      </c>
      <c r="F86" s="103">
        <f t="shared" si="7"/>
        <v>-0.49489585143831211</v>
      </c>
      <c r="G86" s="93">
        <v>459.05614480000003</v>
      </c>
      <c r="H86" s="94">
        <v>255.44549910000003</v>
      </c>
      <c r="I86" s="103">
        <f t="shared" si="8"/>
        <v>-0.44354192402480175</v>
      </c>
      <c r="J86" s="106">
        <f t="shared" si="10"/>
        <v>1.4608778462209015E-2</v>
      </c>
    </row>
    <row r="87" spans="2:10" x14ac:dyDescent="0.25">
      <c r="C87" s="66" t="s">
        <v>81</v>
      </c>
      <c r="D87" s="131">
        <v>1.58928</v>
      </c>
      <c r="E87" s="125">
        <v>6.4236190000000004</v>
      </c>
      <c r="F87" s="103">
        <f t="shared" si="7"/>
        <v>3.0418422178596596</v>
      </c>
      <c r="G87" s="93">
        <v>17.666573999999997</v>
      </c>
      <c r="H87" s="94">
        <v>30.470039999999997</v>
      </c>
      <c r="I87" s="103">
        <f t="shared" si="8"/>
        <v>0.72472829197104105</v>
      </c>
      <c r="J87" s="106">
        <f t="shared" si="10"/>
        <v>1.7425637392827606E-3</v>
      </c>
    </row>
    <row r="88" spans="2:10" x14ac:dyDescent="0.25">
      <c r="C88" s="66" t="s">
        <v>82</v>
      </c>
      <c r="D88" s="204">
        <v>0.37983</v>
      </c>
      <c r="E88" s="205">
        <v>0.23799999999999999</v>
      </c>
      <c r="F88" s="103">
        <f t="shared" si="7"/>
        <v>-0.37340389121449075</v>
      </c>
      <c r="G88" s="93">
        <v>5.5853300000000008</v>
      </c>
      <c r="H88" s="94">
        <v>2.8576999999999999</v>
      </c>
      <c r="I88" s="103">
        <f t="shared" si="8"/>
        <v>-0.48835610429464338</v>
      </c>
      <c r="J88" s="202">
        <f t="shared" si="10"/>
        <v>1.6343018905614647E-4</v>
      </c>
    </row>
    <row r="89" spans="2:10" x14ac:dyDescent="0.25">
      <c r="C89" s="66" t="s">
        <v>83</v>
      </c>
      <c r="D89" s="103" t="s">
        <v>46</v>
      </c>
      <c r="E89" s="103" t="s">
        <v>46</v>
      </c>
      <c r="F89" s="103" t="s">
        <v>46</v>
      </c>
      <c r="G89" s="93">
        <v>2.6779850000000001</v>
      </c>
      <c r="H89" s="94">
        <v>0</v>
      </c>
      <c r="I89" s="103" t="s">
        <v>46</v>
      </c>
      <c r="J89" s="106" t="s">
        <v>46</v>
      </c>
    </row>
    <row r="90" spans="2:10" x14ac:dyDescent="0.25">
      <c r="C90" s="66" t="s">
        <v>125</v>
      </c>
      <c r="D90" s="103" t="s">
        <v>46</v>
      </c>
      <c r="E90" s="103" t="s">
        <v>46</v>
      </c>
      <c r="F90" s="103" t="s">
        <v>46</v>
      </c>
      <c r="G90" s="206">
        <v>0.1007952</v>
      </c>
      <c r="H90" s="94">
        <v>0</v>
      </c>
      <c r="I90" s="103" t="s">
        <v>46</v>
      </c>
      <c r="J90" s="106" t="s">
        <v>46</v>
      </c>
    </row>
    <row r="91" spans="2:10" x14ac:dyDescent="0.25">
      <c r="C91" s="68" t="s">
        <v>84</v>
      </c>
      <c r="D91" s="99">
        <f>SUM(D92:D97)</f>
        <v>28.906147000000001</v>
      </c>
      <c r="E91" s="90">
        <f>SUM(E92:E97)</f>
        <v>33.699624</v>
      </c>
      <c r="F91" s="100">
        <f t="shared" ref="F91:F96" si="11">(E91-D91)/D91</f>
        <v>0.1658289844025217</v>
      </c>
      <c r="G91" s="99">
        <f>SUM(G92:G97)</f>
        <v>180.89866087999999</v>
      </c>
      <c r="H91" s="90">
        <f>SUM(H92:H97)</f>
        <v>200.31078959999999</v>
      </c>
      <c r="I91" s="100">
        <f t="shared" ref="I91:I96" si="12">(H91-G91)/G91</f>
        <v>0.10730941083570059</v>
      </c>
      <c r="J91" s="101">
        <f>SUM(J92:J97)</f>
        <v>1</v>
      </c>
    </row>
    <row r="92" spans="2:10" x14ac:dyDescent="0.25">
      <c r="B92" s="167"/>
      <c r="C92" s="70" t="s">
        <v>62</v>
      </c>
      <c r="D92" s="125">
        <v>22.888157</v>
      </c>
      <c r="E92" s="128">
        <v>21.345983</v>
      </c>
      <c r="F92" s="103">
        <f t="shared" si="11"/>
        <v>-6.7378688463208256E-2</v>
      </c>
      <c r="G92" s="124">
        <v>132.30185700000001</v>
      </c>
      <c r="H92" s="125">
        <v>130.38548299999999</v>
      </c>
      <c r="I92" s="103">
        <f t="shared" si="12"/>
        <v>-1.4484860934340617E-2</v>
      </c>
      <c r="J92" s="104">
        <f>(H92/$H$91)</f>
        <v>0.65091592549940203</v>
      </c>
    </row>
    <row r="93" spans="2:10" x14ac:dyDescent="0.25">
      <c r="B93" s="167"/>
      <c r="C93" s="66" t="s">
        <v>85</v>
      </c>
      <c r="D93" s="125">
        <v>4.0747799999999996</v>
      </c>
      <c r="E93" s="125">
        <v>7.2895320000000003</v>
      </c>
      <c r="F93" s="103">
        <f t="shared" si="11"/>
        <v>0.7889387893334121</v>
      </c>
      <c r="G93" s="127">
        <v>34.050001800000004</v>
      </c>
      <c r="H93" s="125">
        <v>45.455753399999999</v>
      </c>
      <c r="I93" s="103">
        <f t="shared" si="12"/>
        <v>0.33497066070639658</v>
      </c>
      <c r="J93" s="106">
        <f>(H93/$H$91)</f>
        <v>0.22692613558545924</v>
      </c>
    </row>
    <row r="94" spans="2:10" x14ac:dyDescent="0.25">
      <c r="B94" s="167"/>
      <c r="C94" s="66" t="s">
        <v>70</v>
      </c>
      <c r="D94" s="125">
        <v>1.6354960000000001</v>
      </c>
      <c r="E94" s="125">
        <v>5.0466090000000001</v>
      </c>
      <c r="F94" s="103">
        <f t="shared" si="11"/>
        <v>2.0856749267500501</v>
      </c>
      <c r="G94" s="127">
        <v>11.051066</v>
      </c>
      <c r="H94" s="125">
        <v>20.663363999999998</v>
      </c>
      <c r="I94" s="103">
        <f t="shared" si="12"/>
        <v>0.86980731089652319</v>
      </c>
      <c r="J94" s="106">
        <f>(H94/$H$91)</f>
        <v>0.10315652013185414</v>
      </c>
    </row>
    <row r="95" spans="2:10" x14ac:dyDescent="0.25">
      <c r="B95" s="167"/>
      <c r="C95" s="66" t="s">
        <v>80</v>
      </c>
      <c r="D95" s="203">
        <v>0.245674</v>
      </c>
      <c r="E95" s="125">
        <v>0</v>
      </c>
      <c r="F95" s="103" t="s">
        <v>46</v>
      </c>
      <c r="G95" s="127">
        <v>2.6566460000000003</v>
      </c>
      <c r="H95" s="125">
        <v>3.5294892</v>
      </c>
      <c r="I95" s="103">
        <f t="shared" si="12"/>
        <v>0.32855081181309048</v>
      </c>
      <c r="J95" s="106">
        <f>(H95/$H$91)</f>
        <v>1.7620065334713254E-2</v>
      </c>
    </row>
    <row r="96" spans="2:10" x14ac:dyDescent="0.25">
      <c r="B96" s="167"/>
      <c r="C96" s="66" t="s">
        <v>82</v>
      </c>
      <c r="D96" s="207">
        <v>6.2039999999999998E-2</v>
      </c>
      <c r="E96" s="205">
        <v>1.7500000000000002E-2</v>
      </c>
      <c r="F96" s="103">
        <f t="shared" si="11"/>
        <v>-0.71792392005157957</v>
      </c>
      <c r="G96" s="127">
        <v>0.7071400000000001</v>
      </c>
      <c r="H96" s="203">
        <v>0.27670000000000006</v>
      </c>
      <c r="I96" s="103">
        <f t="shared" si="12"/>
        <v>-0.60870548971915039</v>
      </c>
      <c r="J96" s="106">
        <f>(H96/$H$91)</f>
        <v>1.3813534485712998E-3</v>
      </c>
    </row>
    <row r="97" spans="2:10" x14ac:dyDescent="0.25">
      <c r="B97" s="167"/>
      <c r="C97" s="66" t="s">
        <v>125</v>
      </c>
      <c r="D97" s="203">
        <v>0</v>
      </c>
      <c r="E97" s="125">
        <v>0</v>
      </c>
      <c r="F97" s="103" t="s">
        <v>46</v>
      </c>
      <c r="G97" s="208">
        <v>0.13195008</v>
      </c>
      <c r="H97" s="125">
        <v>0</v>
      </c>
      <c r="I97" s="103" t="s">
        <v>46</v>
      </c>
      <c r="J97" s="106" t="s">
        <v>46</v>
      </c>
    </row>
    <row r="98" spans="2:10" x14ac:dyDescent="0.25">
      <c r="B98" s="167"/>
      <c r="C98" s="68" t="s">
        <v>86</v>
      </c>
      <c r="D98" s="230">
        <f>SUM(D99:D101)</f>
        <v>24.351747</v>
      </c>
      <c r="E98" s="230">
        <f>SUM(E99:E101)</f>
        <v>23.790514999999999</v>
      </c>
      <c r="F98" s="100">
        <f t="shared" ref="F98:F101" si="13">(E98-D98)/D98</f>
        <v>-2.3046888586679238E-2</v>
      </c>
      <c r="G98" s="99">
        <f>SUM(G99:G101)</f>
        <v>218.61998299999999</v>
      </c>
      <c r="H98" s="90">
        <f>SUM(H99:H101)</f>
        <v>187.00514900000002</v>
      </c>
      <c r="I98" s="100">
        <f t="shared" ref="I98:I107" si="14">(H98-G98)/G98</f>
        <v>-0.14461090686298322</v>
      </c>
      <c r="J98" s="101">
        <f>SUM(J99:J101)</f>
        <v>1</v>
      </c>
    </row>
    <row r="99" spans="2:10" x14ac:dyDescent="0.25">
      <c r="B99" s="167"/>
      <c r="C99" s="66" t="s">
        <v>69</v>
      </c>
      <c r="D99" s="128">
        <v>15.144987</v>
      </c>
      <c r="E99" s="128">
        <v>12.751519999999999</v>
      </c>
      <c r="F99" s="102">
        <f t="shared" si="13"/>
        <v>-0.15803691346846327</v>
      </c>
      <c r="G99" s="91">
        <v>125.496005</v>
      </c>
      <c r="H99" s="92">
        <v>108.54335</v>
      </c>
      <c r="I99" s="102">
        <f t="shared" si="14"/>
        <v>-0.13508521645768717</v>
      </c>
      <c r="J99" s="104">
        <f>(H99/$H$98)</f>
        <v>0.58042973993192026</v>
      </c>
    </row>
    <row r="100" spans="2:10" ht="14.25" customHeight="1" x14ac:dyDescent="0.25">
      <c r="B100" s="167"/>
      <c r="C100" s="66" t="s">
        <v>80</v>
      </c>
      <c r="D100" s="203">
        <v>4.9088399999999996</v>
      </c>
      <c r="E100" s="203">
        <v>6.3206759999999997</v>
      </c>
      <c r="F100" s="105">
        <f t="shared" si="13"/>
        <v>0.28761092233603053</v>
      </c>
      <c r="G100" s="93">
        <v>56.821799999999996</v>
      </c>
      <c r="H100" s="94">
        <v>43.355769000000002</v>
      </c>
      <c r="I100" s="105">
        <f t="shared" si="14"/>
        <v>-0.23698705426438435</v>
      </c>
      <c r="J100" s="106">
        <f t="shared" ref="J100:J101" si="15">(H100/$H$98)</f>
        <v>0.23184264835403007</v>
      </c>
    </row>
    <row r="101" spans="2:10" x14ac:dyDescent="0.25">
      <c r="B101" s="167"/>
      <c r="C101" s="66" t="s">
        <v>85</v>
      </c>
      <c r="D101" s="199">
        <v>4.2979200000000004</v>
      </c>
      <c r="E101" s="199">
        <v>4.7183190000000002</v>
      </c>
      <c r="F101" s="107">
        <f t="shared" si="13"/>
        <v>9.7814524234978717E-2</v>
      </c>
      <c r="G101" s="117">
        <v>36.302177999999998</v>
      </c>
      <c r="H101" s="118">
        <v>35.106030000000004</v>
      </c>
      <c r="I101" s="107">
        <f t="shared" si="14"/>
        <v>-3.2949758551676811E-2</v>
      </c>
      <c r="J101" s="108">
        <f t="shared" si="15"/>
        <v>0.18772761171404964</v>
      </c>
    </row>
    <row r="102" spans="2:10" x14ac:dyDescent="0.25">
      <c r="B102" s="167"/>
      <c r="C102" s="68" t="s">
        <v>87</v>
      </c>
      <c r="D102" s="90">
        <f>SUM(D103:D106)</f>
        <v>3892.8888760000004</v>
      </c>
      <c r="E102" s="90">
        <f>SUM(E103:E106)</f>
        <v>2662.3643119999997</v>
      </c>
      <c r="F102" s="100">
        <f t="shared" ref="F102:F107" si="16">(E102-D102)/D102</f>
        <v>-0.31609547644328922</v>
      </c>
      <c r="G102" s="99">
        <f>SUM(G103:G106)</f>
        <v>24751.531202800001</v>
      </c>
      <c r="H102" s="90">
        <f>SUM(H103:H106)</f>
        <v>26546.732107299998</v>
      </c>
      <c r="I102" s="100">
        <f t="shared" si="14"/>
        <v>7.2528882750369672E-2</v>
      </c>
      <c r="J102" s="101">
        <f>SUM(J103:J106)</f>
        <v>1</v>
      </c>
    </row>
    <row r="103" spans="2:10" x14ac:dyDescent="0.25">
      <c r="C103" s="66" t="s">
        <v>65</v>
      </c>
      <c r="D103" s="110">
        <v>3808.8454650000003</v>
      </c>
      <c r="E103" s="111">
        <v>2585.6734189999997</v>
      </c>
      <c r="F103" s="102">
        <f t="shared" si="16"/>
        <v>-0.3211398459821736</v>
      </c>
      <c r="G103" s="91">
        <v>24040.130985800002</v>
      </c>
      <c r="H103" s="92">
        <v>25906.0865175</v>
      </c>
      <c r="I103" s="102">
        <f t="shared" si="14"/>
        <v>7.7618359600543696E-2</v>
      </c>
      <c r="J103" s="104">
        <f>(H103/$H$102)</f>
        <v>0.97586725223991588</v>
      </c>
    </row>
    <row r="104" spans="2:10" x14ac:dyDescent="0.25">
      <c r="C104" s="66" t="s">
        <v>69</v>
      </c>
      <c r="D104" s="95">
        <v>74.836651000000003</v>
      </c>
      <c r="E104" s="96">
        <v>65.651898000000003</v>
      </c>
      <c r="F104" s="105">
        <f t="shared" si="16"/>
        <v>-0.12273067911603902</v>
      </c>
      <c r="G104" s="93">
        <v>617.72745099999997</v>
      </c>
      <c r="H104" s="94">
        <v>536.07679599999994</v>
      </c>
      <c r="I104" s="105">
        <f t="shared" si="14"/>
        <v>-0.1321790943041643</v>
      </c>
      <c r="J104" s="106">
        <f t="shared" ref="J104:J106" si="17">(H104/$H$102)</f>
        <v>2.0193701952964143E-2</v>
      </c>
    </row>
    <row r="105" spans="2:10" x14ac:dyDescent="0.25">
      <c r="C105" s="66" t="s">
        <v>80</v>
      </c>
      <c r="D105" s="209">
        <v>4.9088399999999996</v>
      </c>
      <c r="E105" s="210">
        <v>6.3206759999999997</v>
      </c>
      <c r="F105" s="105">
        <f t="shared" si="16"/>
        <v>0.28761092233603053</v>
      </c>
      <c r="G105" s="93">
        <v>58.242536999999999</v>
      </c>
      <c r="H105" s="94">
        <v>69.462763800000005</v>
      </c>
      <c r="I105" s="105">
        <f t="shared" si="14"/>
        <v>0.19264660122892666</v>
      </c>
      <c r="J105" s="106">
        <f t="shared" si="17"/>
        <v>2.6166220203389431E-3</v>
      </c>
    </row>
    <row r="106" spans="2:10" x14ac:dyDescent="0.25">
      <c r="C106" s="66" t="s">
        <v>85</v>
      </c>
      <c r="D106" s="97">
        <v>4.2979200000000004</v>
      </c>
      <c r="E106" s="98">
        <v>4.7183190000000002</v>
      </c>
      <c r="F106" s="107">
        <f t="shared" si="16"/>
        <v>9.7814524234978717E-2</v>
      </c>
      <c r="G106" s="117">
        <v>35.430228999999997</v>
      </c>
      <c r="H106" s="118">
        <v>35.106030000000004</v>
      </c>
      <c r="I106" s="107">
        <f t="shared" si="14"/>
        <v>-9.1503501148692285E-3</v>
      </c>
      <c r="J106" s="108">
        <f t="shared" si="17"/>
        <v>1.3224237867811349E-3</v>
      </c>
    </row>
    <row r="107" spans="2:10" x14ac:dyDescent="0.25">
      <c r="C107" s="71" t="s">
        <v>88</v>
      </c>
      <c r="D107" s="99">
        <f>SUM(D108:D108)</f>
        <v>2.8652799999999998</v>
      </c>
      <c r="E107" s="90">
        <f>SUM(E108:E108)</f>
        <v>4.7183190000000002</v>
      </c>
      <c r="F107" s="100">
        <f t="shared" si="16"/>
        <v>0.64672178635246835</v>
      </c>
      <c r="G107" s="99">
        <f>SUM(G108:G108)</f>
        <v>24.201452</v>
      </c>
      <c r="H107" s="90">
        <f>SUM(H108:H108)</f>
        <v>35.106030000000004</v>
      </c>
      <c r="I107" s="100">
        <f t="shared" si="14"/>
        <v>0.45057536217248473</v>
      </c>
      <c r="J107" s="101">
        <f>SUM(J108:J108)</f>
        <v>1</v>
      </c>
    </row>
    <row r="108" spans="2:10" x14ac:dyDescent="0.25">
      <c r="C108" s="66" t="s">
        <v>85</v>
      </c>
      <c r="D108" s="110">
        <v>2.8652799999999998</v>
      </c>
      <c r="E108" s="111">
        <v>4.7183190000000002</v>
      </c>
      <c r="F108" s="102">
        <f>(E108-D108)/D108</f>
        <v>0.64672178635246835</v>
      </c>
      <c r="G108" s="91">
        <v>24.201452</v>
      </c>
      <c r="H108" s="92">
        <v>35.106030000000004</v>
      </c>
      <c r="I108" s="102">
        <f>(H108-G108)/G108</f>
        <v>0.45057536217248473</v>
      </c>
      <c r="J108" s="104">
        <f>H108/H107</f>
        <v>1</v>
      </c>
    </row>
    <row r="109" spans="2:10" ht="98.25" customHeight="1" x14ac:dyDescent="0.25">
      <c r="C109" s="250" t="s">
        <v>145</v>
      </c>
      <c r="D109" s="251"/>
      <c r="E109" s="251"/>
      <c r="F109" s="251"/>
      <c r="G109" s="251"/>
      <c r="H109" s="251"/>
      <c r="I109" s="251"/>
      <c r="J109" s="252"/>
    </row>
  </sheetData>
  <mergeCells count="5">
    <mergeCell ref="C3:J3"/>
    <mergeCell ref="B4:K4"/>
    <mergeCell ref="D8:F8"/>
    <mergeCell ref="G8:J8"/>
    <mergeCell ref="C109:J109"/>
  </mergeCells>
  <pageMargins left="0.7" right="0.7" top="0.75" bottom="0.75" header="0.3" footer="0.3"/>
  <pageSetup scale="4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C1:S124"/>
  <sheetViews>
    <sheetView showGridLines="0" tabSelected="1" view="pageBreakPreview" zoomScaleNormal="100" zoomScaleSheetLayoutView="100" workbookViewId="0">
      <selection activeCell="C27" sqref="C27"/>
    </sheetView>
  </sheetViews>
  <sheetFormatPr baseColWidth="10" defaultColWidth="11.42578125" defaultRowHeight="15" x14ac:dyDescent="0.25"/>
  <cols>
    <col min="1" max="2" width="3.28515625" style="53" customWidth="1"/>
    <col min="3" max="3" width="48.85546875" style="53" customWidth="1"/>
    <col min="4" max="4" width="14.7109375" style="53" customWidth="1"/>
    <col min="5" max="5" width="13" style="53" customWidth="1"/>
    <col min="6" max="6" width="11.140625" style="87" customWidth="1"/>
    <col min="7" max="7" width="12.42578125" style="56" customWidth="1"/>
    <col min="8" max="8" width="11.7109375" style="53" customWidth="1"/>
    <col min="9" max="9" width="9.7109375" style="56" customWidth="1"/>
    <col min="10" max="10" width="9.85546875" style="56" customWidth="1"/>
    <col min="11" max="11" width="3.28515625" style="53" customWidth="1"/>
    <col min="12" max="12" width="15.42578125" style="53" customWidth="1"/>
    <col min="13" max="16384" width="11.42578125" style="53"/>
  </cols>
  <sheetData>
    <row r="1" spans="3:19" ht="10.5" customHeight="1" x14ac:dyDescent="0.25">
      <c r="F1" s="56"/>
      <c r="H1" s="55"/>
    </row>
    <row r="2" spans="3:19" ht="10.5" customHeight="1" x14ac:dyDescent="0.25">
      <c r="F2" s="56"/>
      <c r="H2" s="55"/>
    </row>
    <row r="3" spans="3:19" ht="15.75" x14ac:dyDescent="0.25">
      <c r="C3" s="234" t="s">
        <v>0</v>
      </c>
      <c r="D3" s="234"/>
      <c r="E3" s="234"/>
      <c r="F3" s="234"/>
      <c r="G3" s="234"/>
      <c r="H3" s="234"/>
      <c r="I3" s="234"/>
      <c r="J3" s="234"/>
      <c r="K3" s="1"/>
      <c r="L3" s="1"/>
      <c r="M3" s="4"/>
      <c r="N3" s="4"/>
      <c r="O3" s="4"/>
      <c r="P3" s="4"/>
      <c r="Q3" s="4"/>
      <c r="R3" s="4"/>
      <c r="S3" s="4"/>
    </row>
    <row r="4" spans="3:19" ht="15.75" x14ac:dyDescent="0.25">
      <c r="C4" s="235" t="s">
        <v>1</v>
      </c>
      <c r="D4" s="235"/>
      <c r="E4" s="235"/>
      <c r="F4" s="235"/>
      <c r="G4" s="235"/>
      <c r="H4" s="235"/>
      <c r="I4" s="235"/>
      <c r="J4" s="235"/>
      <c r="K4" s="72"/>
      <c r="L4" s="1"/>
      <c r="M4" s="4"/>
      <c r="N4" s="4"/>
      <c r="O4" s="4"/>
      <c r="P4" s="4"/>
      <c r="Q4" s="4"/>
      <c r="R4" s="4"/>
      <c r="S4" s="4"/>
    </row>
    <row r="5" spans="3:19" ht="9" customHeight="1" x14ac:dyDescent="0.25">
      <c r="E5" s="4"/>
      <c r="F5" s="3"/>
      <c r="G5" s="3"/>
      <c r="H5" s="4"/>
      <c r="I5" s="3"/>
      <c r="J5" s="3"/>
      <c r="K5" s="4"/>
      <c r="L5" s="4"/>
      <c r="M5" s="4"/>
      <c r="N5" s="4"/>
      <c r="O5" s="4"/>
      <c r="P5" s="4"/>
      <c r="Q5" s="4"/>
      <c r="R5" s="4"/>
      <c r="S5" s="4"/>
    </row>
    <row r="6" spans="3:19" ht="15.75" customHeight="1" x14ac:dyDescent="0.25">
      <c r="C6" s="73" t="s">
        <v>89</v>
      </c>
      <c r="D6" s="46"/>
      <c r="E6" s="46"/>
      <c r="F6" s="74"/>
    </row>
    <row r="7" spans="3:19" x14ac:dyDescent="0.25">
      <c r="C7" s="75" t="s">
        <v>90</v>
      </c>
      <c r="D7" s="76"/>
      <c r="E7" s="76"/>
      <c r="F7" s="74"/>
    </row>
    <row r="8" spans="3:19" ht="26.25" customHeight="1" x14ac:dyDescent="0.25">
      <c r="C8" s="77"/>
      <c r="D8" s="245" t="s">
        <v>141</v>
      </c>
      <c r="E8" s="246"/>
      <c r="F8" s="246"/>
      <c r="G8" s="247" t="s">
        <v>140</v>
      </c>
      <c r="H8" s="248"/>
      <c r="I8" s="248"/>
      <c r="J8" s="249"/>
    </row>
    <row r="9" spans="3:19" ht="24" x14ac:dyDescent="0.25">
      <c r="C9" s="78" t="s">
        <v>91</v>
      </c>
      <c r="D9" s="89">
        <v>2025</v>
      </c>
      <c r="E9" s="88">
        <v>2026</v>
      </c>
      <c r="F9" s="100" t="s">
        <v>26</v>
      </c>
      <c r="G9" s="89">
        <v>2025</v>
      </c>
      <c r="H9" s="88">
        <v>2026</v>
      </c>
      <c r="I9" s="152" t="s">
        <v>26</v>
      </c>
      <c r="J9" s="130" t="s">
        <v>32</v>
      </c>
    </row>
    <row r="10" spans="3:19" ht="4.5" customHeight="1" x14ac:dyDescent="0.25">
      <c r="D10" s="188"/>
      <c r="E10" s="188"/>
      <c r="F10" s="56"/>
      <c r="H10" s="188"/>
    </row>
    <row r="11" spans="3:19" x14ac:dyDescent="0.25">
      <c r="C11" s="79" t="s">
        <v>92</v>
      </c>
      <c r="D11" s="132">
        <f>+SUM(D12:D26)</f>
        <v>242791.94776674078</v>
      </c>
      <c r="E11" s="132">
        <f>+SUM(E12:E26)</f>
        <v>230675.84867500002</v>
      </c>
      <c r="F11" s="153">
        <f>(E11-D11)/D11</f>
        <v>-4.9903216326519804E-2</v>
      </c>
      <c r="G11" s="136">
        <f>+SUM(G12:G26)</f>
        <v>1807884.0662264253</v>
      </c>
      <c r="H11" s="132">
        <f>+SUM(H12:H26)</f>
        <v>1829790.4759988964</v>
      </c>
      <c r="I11" s="155">
        <f>(H11-G11)/G11</f>
        <v>1.2117154070723155E-2</v>
      </c>
      <c r="J11" s="155">
        <f>SUM(J12:J26)</f>
        <v>1.0000000000000002</v>
      </c>
    </row>
    <row r="12" spans="3:19" x14ac:dyDescent="0.25">
      <c r="C12" s="80" t="s">
        <v>93</v>
      </c>
      <c r="D12" s="133">
        <v>37980.213438399995</v>
      </c>
      <c r="E12" s="133">
        <v>46029.566425999998</v>
      </c>
      <c r="F12" s="154">
        <f t="shared" ref="F12:F77" si="0">+E12/D12-1</f>
        <v>0.21193543318694674</v>
      </c>
      <c r="G12" s="142">
        <v>236348.03265651001</v>
      </c>
      <c r="H12" s="133">
        <v>350224.43021789996</v>
      </c>
      <c r="I12" s="157">
        <f t="shared" ref="I12:I78" si="1">+H12/G12-1</f>
        <v>0.48181656636376213</v>
      </c>
      <c r="J12" s="157">
        <f t="shared" ref="J12:J26" si="2">(H12/$H$11)</f>
        <v>0.19140138437255216</v>
      </c>
    </row>
    <row r="13" spans="3:19" x14ac:dyDescent="0.25">
      <c r="C13" s="80" t="s">
        <v>94</v>
      </c>
      <c r="D13" s="133">
        <v>42436.638175971995</v>
      </c>
      <c r="E13" s="133">
        <v>41279.822909000002</v>
      </c>
      <c r="F13" s="154">
        <f t="shared" si="0"/>
        <v>-2.7259823508521741E-2</v>
      </c>
      <c r="G13" s="142">
        <v>324551.65975136228</v>
      </c>
      <c r="H13" s="133">
        <v>301394.99250403198</v>
      </c>
      <c r="I13" s="157">
        <f t="shared" si="1"/>
        <v>-7.1349711368201119E-2</v>
      </c>
      <c r="J13" s="157">
        <f t="shared" si="2"/>
        <v>0.1647155761587939</v>
      </c>
    </row>
    <row r="14" spans="3:19" x14ac:dyDescent="0.25">
      <c r="C14" s="80" t="s">
        <v>95</v>
      </c>
      <c r="D14" s="133">
        <v>30365.966475000001</v>
      </c>
      <c r="E14" s="133">
        <v>32894.488299999997</v>
      </c>
      <c r="F14" s="154">
        <f t="shared" si="0"/>
        <v>8.3268280859155386E-2</v>
      </c>
      <c r="G14" s="142">
        <v>278883.91931500001</v>
      </c>
      <c r="H14" s="133">
        <v>278504.05974399997</v>
      </c>
      <c r="I14" s="157">
        <f t="shared" si="1"/>
        <v>-1.3620705415108292E-3</v>
      </c>
      <c r="J14" s="157">
        <f t="shared" si="2"/>
        <v>0.15220543739684866</v>
      </c>
    </row>
    <row r="15" spans="3:19" x14ac:dyDescent="0.25">
      <c r="C15" s="81" t="s">
        <v>96</v>
      </c>
      <c r="D15" s="134">
        <v>37073.120628309996</v>
      </c>
      <c r="E15" s="134">
        <v>33951.392934000003</v>
      </c>
      <c r="F15" s="154">
        <f t="shared" si="0"/>
        <v>-8.4204610817848469E-2</v>
      </c>
      <c r="G15" s="142">
        <v>272605.48136312002</v>
      </c>
      <c r="H15" s="133">
        <v>267936.38964895002</v>
      </c>
      <c r="I15" s="157">
        <f t="shared" si="1"/>
        <v>-1.7127651618826456E-2</v>
      </c>
      <c r="J15" s="157">
        <f t="shared" si="2"/>
        <v>0.14643009304258267</v>
      </c>
    </row>
    <row r="16" spans="3:19" x14ac:dyDescent="0.25">
      <c r="C16" s="82" t="s">
        <v>97</v>
      </c>
      <c r="D16" s="134">
        <v>22359.044453842998</v>
      </c>
      <c r="E16" s="134">
        <v>16283.905376000004</v>
      </c>
      <c r="F16" s="154">
        <f t="shared" si="0"/>
        <v>-0.27170835007659822</v>
      </c>
      <c r="G16" s="142">
        <v>166044.79799746501</v>
      </c>
      <c r="H16" s="133">
        <v>156430.001636792</v>
      </c>
      <c r="I16" s="157">
        <f t="shared" si="1"/>
        <v>-5.7904833374062048E-2</v>
      </c>
      <c r="J16" s="157">
        <f t="shared" si="2"/>
        <v>8.5490663378491843E-2</v>
      </c>
    </row>
    <row r="17" spans="3:10" x14ac:dyDescent="0.25">
      <c r="C17" s="82" t="s">
        <v>98</v>
      </c>
      <c r="D17" s="134">
        <v>19035.561840207003</v>
      </c>
      <c r="E17" s="134">
        <v>17516.80342</v>
      </c>
      <c r="F17" s="154">
        <f t="shared" si="0"/>
        <v>-7.9785321439742041E-2</v>
      </c>
      <c r="G17" s="142">
        <v>164370.91681927201</v>
      </c>
      <c r="H17" s="133">
        <v>148337.44396984202</v>
      </c>
      <c r="I17" s="157">
        <f t="shared" si="1"/>
        <v>-9.7544463215831545E-2</v>
      </c>
      <c r="J17" s="157">
        <f t="shared" si="2"/>
        <v>8.1067994349934239E-2</v>
      </c>
    </row>
    <row r="18" spans="3:10" x14ac:dyDescent="0.25">
      <c r="C18" s="82" t="s">
        <v>99</v>
      </c>
      <c r="D18" s="134">
        <v>22864.848853949999</v>
      </c>
      <c r="E18" s="134">
        <v>15657.543639</v>
      </c>
      <c r="F18" s="154">
        <f t="shared" si="0"/>
        <v>-0.31521333296305198</v>
      </c>
      <c r="G18" s="142">
        <v>131458.85729290001</v>
      </c>
      <c r="H18" s="133">
        <v>117992.20970980001</v>
      </c>
      <c r="I18" s="157">
        <f t="shared" si="1"/>
        <v>-0.10244001705488215</v>
      </c>
      <c r="J18" s="157">
        <f t="shared" si="2"/>
        <v>6.4484000358230723E-2</v>
      </c>
    </row>
    <row r="19" spans="3:10" x14ac:dyDescent="0.25">
      <c r="C19" s="82" t="s">
        <v>100</v>
      </c>
      <c r="D19" s="134">
        <v>17059.122829709999</v>
      </c>
      <c r="E19" s="134">
        <v>14473.850165</v>
      </c>
      <c r="F19" s="154">
        <f t="shared" si="0"/>
        <v>-0.15154780761690245</v>
      </c>
      <c r="G19" s="142">
        <v>129835.16552102011</v>
      </c>
      <c r="H19" s="133">
        <v>113776.3777831</v>
      </c>
      <c r="I19" s="157">
        <f t="shared" si="1"/>
        <v>-0.1236859649962877</v>
      </c>
      <c r="J19" s="157">
        <f t="shared" si="2"/>
        <v>6.2180003271133336E-2</v>
      </c>
    </row>
    <row r="20" spans="3:10" x14ac:dyDescent="0.25">
      <c r="C20" s="82" t="s">
        <v>101</v>
      </c>
      <c r="D20" s="134">
        <v>5774.8386366049999</v>
      </c>
      <c r="E20" s="134">
        <v>5631.6262559999986</v>
      </c>
      <c r="F20" s="154">
        <f t="shared" si="0"/>
        <v>-2.4799373561231741E-2</v>
      </c>
      <c r="G20" s="142">
        <v>40550.365971492807</v>
      </c>
      <c r="H20" s="133">
        <v>39897.200004418992</v>
      </c>
      <c r="I20" s="157">
        <f t="shared" si="1"/>
        <v>-1.610752335830945E-2</v>
      </c>
      <c r="J20" s="157">
        <f t="shared" si="2"/>
        <v>2.1804245091306868E-2</v>
      </c>
    </row>
    <row r="21" spans="3:10" x14ac:dyDescent="0.25">
      <c r="C21" s="82" t="s">
        <v>102</v>
      </c>
      <c r="D21" s="134">
        <v>4007.6283847999998</v>
      </c>
      <c r="E21" s="134">
        <v>3808.5531170000004</v>
      </c>
      <c r="F21" s="211">
        <f t="shared" si="0"/>
        <v>-4.9674083693749038E-2</v>
      </c>
      <c r="G21" s="142">
        <v>31905.610117944001</v>
      </c>
      <c r="H21" s="133">
        <v>29267.247232829999</v>
      </c>
      <c r="I21" s="157">
        <f t="shared" si="1"/>
        <v>-8.2692757648604398E-2</v>
      </c>
      <c r="J21" s="157">
        <f t="shared" si="2"/>
        <v>1.5994862590402757E-2</v>
      </c>
    </row>
    <row r="22" spans="3:10" x14ac:dyDescent="0.25">
      <c r="C22" s="82" t="s">
        <v>103</v>
      </c>
      <c r="D22" s="134">
        <v>1947.601026</v>
      </c>
      <c r="E22" s="134">
        <v>1566.0437999999999</v>
      </c>
      <c r="F22" s="154">
        <f t="shared" si="0"/>
        <v>-0.1959113909400868</v>
      </c>
      <c r="G22" s="142">
        <v>16921.415891000001</v>
      </c>
      <c r="H22" s="133">
        <v>12401.6097269</v>
      </c>
      <c r="I22" s="157">
        <f t="shared" si="1"/>
        <v>-0.26710567207936486</v>
      </c>
      <c r="J22" s="212">
        <f t="shared" si="2"/>
        <v>6.7776119121670843E-3</v>
      </c>
    </row>
    <row r="23" spans="3:10" x14ac:dyDescent="0.25">
      <c r="C23" s="82" t="s">
        <v>104</v>
      </c>
      <c r="D23" s="134">
        <v>1578.1834821999998</v>
      </c>
      <c r="E23" s="134">
        <v>1408.922026</v>
      </c>
      <c r="F23" s="211">
        <f t="shared" si="0"/>
        <v>-0.10725080962325628</v>
      </c>
      <c r="G23" s="142">
        <v>12112.651946645001</v>
      </c>
      <c r="H23" s="133">
        <v>11979.42666071</v>
      </c>
      <c r="I23" s="157">
        <f t="shared" si="1"/>
        <v>-1.0998853638480188E-2</v>
      </c>
      <c r="J23" s="212">
        <f t="shared" si="2"/>
        <v>6.5468843661842437E-3</v>
      </c>
    </row>
    <row r="24" spans="3:10" x14ac:dyDescent="0.25">
      <c r="C24" s="82" t="s">
        <v>105</v>
      </c>
      <c r="D24" s="134">
        <v>194.8846174</v>
      </c>
      <c r="E24" s="134">
        <v>173.330307</v>
      </c>
      <c r="F24" s="154">
        <f t="shared" si="0"/>
        <v>-0.11060036798984418</v>
      </c>
      <c r="G24" s="142">
        <v>1236.54271518</v>
      </c>
      <c r="H24" s="133">
        <v>1370.8927737999998</v>
      </c>
      <c r="I24" s="157">
        <f t="shared" si="1"/>
        <v>0.10864975141634536</v>
      </c>
      <c r="J24" s="157">
        <f t="shared" si="2"/>
        <v>7.4920751407431989E-4</v>
      </c>
    </row>
    <row r="25" spans="3:10" x14ac:dyDescent="0.25">
      <c r="C25" s="82" t="s">
        <v>106</v>
      </c>
      <c r="D25" s="134">
        <v>63.347227183800001</v>
      </c>
      <c r="E25" s="154" t="s">
        <v>46</v>
      </c>
      <c r="F25" s="154" t="s">
        <v>46</v>
      </c>
      <c r="G25" s="142">
        <v>764.87663498379993</v>
      </c>
      <c r="H25" s="133">
        <v>163.28291342150001</v>
      </c>
      <c r="I25" s="157">
        <f t="shared" si="1"/>
        <v>-0.78652385763495269</v>
      </c>
      <c r="J25" s="213">
        <f t="shared" si="2"/>
        <v>8.9235852718253235E-5</v>
      </c>
    </row>
    <row r="26" spans="3:10" x14ac:dyDescent="0.25">
      <c r="C26" s="67" t="s">
        <v>107</v>
      </c>
      <c r="D26" s="135">
        <v>50.947697160000004</v>
      </c>
      <c r="E26" s="154" t="s">
        <v>46</v>
      </c>
      <c r="F26" s="154" t="s">
        <v>46</v>
      </c>
      <c r="G26" s="147">
        <v>293.77223253</v>
      </c>
      <c r="H26" s="148">
        <v>114.91147240000001</v>
      </c>
      <c r="I26" s="157">
        <f t="shared" si="1"/>
        <v>-0.60884161375508739</v>
      </c>
      <c r="J26" s="213">
        <f t="shared" si="2"/>
        <v>6.2800344578943648E-5</v>
      </c>
    </row>
    <row r="27" spans="3:10" x14ac:dyDescent="0.25">
      <c r="C27" s="79" t="s">
        <v>108</v>
      </c>
      <c r="D27" s="136">
        <f>+SUM(D28:D44)</f>
        <v>9894307.6985394824</v>
      </c>
      <c r="E27" s="132">
        <f>+SUM(E28:E44)</f>
        <v>8624173.8669459987</v>
      </c>
      <c r="F27" s="155">
        <f>+E27/D27-1</f>
        <v>-0.12837015689141851</v>
      </c>
      <c r="G27" s="136">
        <f>+SUM(G28:G44)</f>
        <v>72158474.913977623</v>
      </c>
      <c r="H27" s="132">
        <f>+SUM(H28:H44)</f>
        <v>66926973.087066546</v>
      </c>
      <c r="I27" s="155">
        <f>+H27/G27-1</f>
        <v>-7.2500171783670742E-2</v>
      </c>
      <c r="J27" s="162">
        <f>SUM(J28:J44)</f>
        <v>1</v>
      </c>
    </row>
    <row r="28" spans="3:10" x14ac:dyDescent="0.25">
      <c r="C28" s="83" t="s">
        <v>109</v>
      </c>
      <c r="D28" s="133">
        <v>2731189.2679855381</v>
      </c>
      <c r="E28" s="137">
        <v>2199839.9342410001</v>
      </c>
      <c r="F28" s="154">
        <f t="shared" si="0"/>
        <v>-0.19454870446838313</v>
      </c>
      <c r="G28" s="140">
        <v>20813386.909998298</v>
      </c>
      <c r="H28" s="141">
        <v>17021483.35416384</v>
      </c>
      <c r="I28" s="156">
        <f t="shared" si="1"/>
        <v>-0.18218580052499334</v>
      </c>
      <c r="J28" s="163">
        <f t="shared" ref="J28:J43" si="3">(H28/$H$27)</f>
        <v>0.25432919746751848</v>
      </c>
    </row>
    <row r="29" spans="3:10" x14ac:dyDescent="0.25">
      <c r="C29" s="80" t="s">
        <v>103</v>
      </c>
      <c r="D29" s="133">
        <v>2452609.5271200002</v>
      </c>
      <c r="E29" s="137">
        <v>2155390.1705440003</v>
      </c>
      <c r="F29" s="154">
        <f t="shared" si="0"/>
        <v>-0.12118494741599262</v>
      </c>
      <c r="G29" s="142">
        <v>17172635.967675</v>
      </c>
      <c r="H29" s="133">
        <v>16911408.526225001</v>
      </c>
      <c r="I29" s="157">
        <f t="shared" si="1"/>
        <v>-1.5211842954204746E-2</v>
      </c>
      <c r="J29" s="164">
        <f t="shared" si="3"/>
        <v>0.25268449694003992</v>
      </c>
    </row>
    <row r="30" spans="3:10" x14ac:dyDescent="0.25">
      <c r="C30" s="80" t="s">
        <v>96</v>
      </c>
      <c r="D30" s="133">
        <v>2036960.8677446472</v>
      </c>
      <c r="E30" s="137">
        <v>2031047.9815249995</v>
      </c>
      <c r="F30" s="154">
        <f t="shared" si="0"/>
        <v>-2.9027981407392378E-3</v>
      </c>
      <c r="G30" s="142">
        <v>15419596.403355863</v>
      </c>
      <c r="H30" s="134">
        <v>15132464.07541517</v>
      </c>
      <c r="I30" s="157">
        <f t="shared" si="1"/>
        <v>-1.8621260922121352E-2</v>
      </c>
      <c r="J30" s="164">
        <f t="shared" si="3"/>
        <v>0.22610411583576423</v>
      </c>
    </row>
    <row r="31" spans="3:10" x14ac:dyDescent="0.25">
      <c r="C31" s="80" t="s">
        <v>107</v>
      </c>
      <c r="D31" s="134">
        <v>772972.42965123791</v>
      </c>
      <c r="E31" s="138">
        <v>679254.2870159999</v>
      </c>
      <c r="F31" s="154">
        <f t="shared" si="0"/>
        <v>-0.12124383618381218</v>
      </c>
      <c r="G31" s="142">
        <v>5673392.416404536</v>
      </c>
      <c r="H31" s="133">
        <v>5479527.6444197716</v>
      </c>
      <c r="I31" s="157">
        <f t="shared" si="1"/>
        <v>-3.4170873043120942E-2</v>
      </c>
      <c r="J31" s="164">
        <f t="shared" si="3"/>
        <v>8.1873232744163582E-2</v>
      </c>
    </row>
    <row r="32" spans="3:10" x14ac:dyDescent="0.25">
      <c r="C32" s="80" t="s">
        <v>102</v>
      </c>
      <c r="D32" s="134">
        <v>406390.42894731602</v>
      </c>
      <c r="E32" s="138">
        <v>405220.31812100002</v>
      </c>
      <c r="F32" s="154">
        <f t="shared" si="0"/>
        <v>-2.8792775197657994E-3</v>
      </c>
      <c r="G32" s="142">
        <v>3112336.8714814209</v>
      </c>
      <c r="H32" s="134">
        <v>3324283.7665581401</v>
      </c>
      <c r="I32" s="157">
        <f t="shared" si="1"/>
        <v>6.809895709516689E-2</v>
      </c>
      <c r="J32" s="164">
        <f t="shared" si="3"/>
        <v>4.9670313973911792E-2</v>
      </c>
    </row>
    <row r="33" spans="3:10" x14ac:dyDescent="0.25">
      <c r="C33" s="80" t="s">
        <v>99</v>
      </c>
      <c r="D33" s="134">
        <v>519524.09774499998</v>
      </c>
      <c r="E33" s="138">
        <v>278666.21306299994</v>
      </c>
      <c r="F33" s="154">
        <f t="shared" si="0"/>
        <v>-0.46361253641062328</v>
      </c>
      <c r="G33" s="142">
        <v>1786225.264072</v>
      </c>
      <c r="H33" s="133">
        <v>2024391.2464464318</v>
      </c>
      <c r="I33" s="157">
        <f t="shared" si="1"/>
        <v>0.1333347966602445</v>
      </c>
      <c r="J33" s="164">
        <f t="shared" si="3"/>
        <v>3.0247763391493345E-2</v>
      </c>
    </row>
    <row r="34" spans="3:10" x14ac:dyDescent="0.25">
      <c r="C34" s="80" t="s">
        <v>95</v>
      </c>
      <c r="D34" s="134">
        <v>188940.60080340001</v>
      </c>
      <c r="E34" s="138">
        <v>183271.83021499999</v>
      </c>
      <c r="F34" s="154">
        <f t="shared" si="0"/>
        <v>-3.0002924539753062E-2</v>
      </c>
      <c r="G34" s="142">
        <v>1724923.0789874</v>
      </c>
      <c r="H34" s="133">
        <v>1745657.60782152</v>
      </c>
      <c r="I34" s="157">
        <f t="shared" si="1"/>
        <v>1.2020552734613554E-2</v>
      </c>
      <c r="J34" s="164">
        <f t="shared" si="3"/>
        <v>2.6083020452016579E-2</v>
      </c>
    </row>
    <row r="35" spans="3:10" x14ac:dyDescent="0.25">
      <c r="C35" s="80" t="s">
        <v>106</v>
      </c>
      <c r="D35" s="134">
        <v>251324.18497674531</v>
      </c>
      <c r="E35" s="138">
        <v>186322.91147100003</v>
      </c>
      <c r="F35" s="154">
        <f t="shared" si="0"/>
        <v>-0.25863517079249565</v>
      </c>
      <c r="G35" s="142">
        <v>1938021.5876397234</v>
      </c>
      <c r="H35" s="133">
        <v>1561071.9255348227</v>
      </c>
      <c r="I35" s="157">
        <f t="shared" si="1"/>
        <v>-0.19450230302335281</v>
      </c>
      <c r="J35" s="164">
        <f t="shared" si="3"/>
        <v>2.3325004157949816E-2</v>
      </c>
    </row>
    <row r="36" spans="3:10" x14ac:dyDescent="0.25">
      <c r="C36" s="80" t="s">
        <v>101</v>
      </c>
      <c r="D36" s="134">
        <v>164472.77917759999</v>
      </c>
      <c r="E36" s="138">
        <v>132230.42989600002</v>
      </c>
      <c r="F36" s="154">
        <f t="shared" si="0"/>
        <v>-0.19603456233194816</v>
      </c>
      <c r="G36" s="142">
        <v>1268542.9070890001</v>
      </c>
      <c r="H36" s="133">
        <v>1026280.0302609</v>
      </c>
      <c r="I36" s="157">
        <f t="shared" si="1"/>
        <v>-0.19097728226161059</v>
      </c>
      <c r="J36" s="164">
        <f t="shared" si="3"/>
        <v>1.5334326100865091E-2</v>
      </c>
    </row>
    <row r="37" spans="3:10" x14ac:dyDescent="0.25">
      <c r="C37" s="80" t="s">
        <v>110</v>
      </c>
      <c r="D37" s="134">
        <v>124987.33239268525</v>
      </c>
      <c r="E37" s="138">
        <v>131541.89031600003</v>
      </c>
      <c r="F37" s="154">
        <f t="shared" si="0"/>
        <v>5.2441777881311102E-2</v>
      </c>
      <c r="G37" s="142">
        <v>885591.68826648314</v>
      </c>
      <c r="H37" s="133">
        <v>918177.16625521681</v>
      </c>
      <c r="I37" s="157">
        <f t="shared" si="1"/>
        <v>3.6795148848470571E-2</v>
      </c>
      <c r="J37" s="164">
        <f t="shared" si="3"/>
        <v>1.3719089985748242E-2</v>
      </c>
    </row>
    <row r="38" spans="3:10" x14ac:dyDescent="0.25">
      <c r="C38" s="80" t="s">
        <v>98</v>
      </c>
      <c r="D38" s="134">
        <v>132815.15199031599</v>
      </c>
      <c r="E38" s="138">
        <v>107902.66533599999</v>
      </c>
      <c r="F38" s="154">
        <f t="shared" si="0"/>
        <v>-0.18757262466659264</v>
      </c>
      <c r="G38" s="142">
        <v>1119356.6314155478</v>
      </c>
      <c r="H38" s="133">
        <v>908849.13969342096</v>
      </c>
      <c r="I38" s="157">
        <f t="shared" si="1"/>
        <v>-0.18806114674633878</v>
      </c>
      <c r="J38" s="164">
        <f t="shared" si="3"/>
        <v>1.3579713795080531E-2</v>
      </c>
    </row>
    <row r="39" spans="3:10" x14ac:dyDescent="0.25">
      <c r="C39" s="80" t="s">
        <v>100</v>
      </c>
      <c r="D39" s="134">
        <v>49028.539190000003</v>
      </c>
      <c r="E39" s="138">
        <v>46300.42944</v>
      </c>
      <c r="F39" s="154">
        <f t="shared" si="0"/>
        <v>-5.5643300719765976E-2</v>
      </c>
      <c r="G39" s="142">
        <v>321873.36566000001</v>
      </c>
      <c r="H39" s="133">
        <v>359935.65538000001</v>
      </c>
      <c r="I39" s="157">
        <f t="shared" si="1"/>
        <v>0.11825237432104219</v>
      </c>
      <c r="J39" s="164">
        <f t="shared" si="3"/>
        <v>5.3780357720907687E-3</v>
      </c>
    </row>
    <row r="40" spans="3:10" x14ac:dyDescent="0.25">
      <c r="C40" s="80" t="s">
        <v>104</v>
      </c>
      <c r="D40" s="134">
        <v>26417.311440000001</v>
      </c>
      <c r="E40" s="138">
        <v>40351.574652000003</v>
      </c>
      <c r="F40" s="154">
        <f t="shared" si="0"/>
        <v>0.52746712108262894</v>
      </c>
      <c r="G40" s="142">
        <v>448229.52979985304</v>
      </c>
      <c r="H40" s="133">
        <v>235580.69002033601</v>
      </c>
      <c r="I40" s="157">
        <f t="shared" si="1"/>
        <v>-0.47441952312796232</v>
      </c>
      <c r="J40" s="164">
        <f t="shared" si="3"/>
        <v>3.5199663028815708E-3</v>
      </c>
    </row>
    <row r="41" spans="3:10" x14ac:dyDescent="0.25">
      <c r="C41" s="80" t="s">
        <v>111</v>
      </c>
      <c r="D41" s="134">
        <v>20996.351194996099</v>
      </c>
      <c r="E41" s="138">
        <v>27336.149211</v>
      </c>
      <c r="F41" s="154">
        <f t="shared" si="0"/>
        <v>0.30194760780696117</v>
      </c>
      <c r="G41" s="142">
        <v>357713.15233049542</v>
      </c>
      <c r="H41" s="133">
        <v>160800.9823869777</v>
      </c>
      <c r="I41" s="157">
        <f t="shared" si="1"/>
        <v>-0.55047506266022961</v>
      </c>
      <c r="J41" s="164">
        <f t="shared" si="3"/>
        <v>2.4026334222195991E-3</v>
      </c>
    </row>
    <row r="42" spans="3:10" x14ac:dyDescent="0.25">
      <c r="C42" s="80" t="s">
        <v>94</v>
      </c>
      <c r="D42" s="134">
        <v>13324.33056</v>
      </c>
      <c r="E42" s="138">
        <v>11103.113581</v>
      </c>
      <c r="F42" s="154">
        <f t="shared" si="0"/>
        <v>-0.16670383318679849</v>
      </c>
      <c r="G42" s="142">
        <v>98073.77178000001</v>
      </c>
      <c r="H42" s="133">
        <v>86827.547040999998</v>
      </c>
      <c r="I42" s="157">
        <f t="shared" si="1"/>
        <v>-0.1146710739771245</v>
      </c>
      <c r="J42" s="164">
        <f t="shared" si="3"/>
        <v>1.2973475870191294E-3</v>
      </c>
    </row>
    <row r="43" spans="3:10" x14ac:dyDescent="0.25">
      <c r="C43" s="80" t="s">
        <v>93</v>
      </c>
      <c r="D43" s="134">
        <v>864.23101999999994</v>
      </c>
      <c r="E43" s="138">
        <v>8393.9683179999993</v>
      </c>
      <c r="F43" s="154">
        <f t="shared" si="0"/>
        <v>8.7126441006479958</v>
      </c>
      <c r="G43" s="142">
        <v>9588.7406819999997</v>
      </c>
      <c r="H43" s="133">
        <v>30233.729443999997</v>
      </c>
      <c r="I43" s="157">
        <f t="shared" si="1"/>
        <v>2.1530448519433638</v>
      </c>
      <c r="J43" s="214">
        <f t="shared" si="3"/>
        <v>4.5174207123738251E-4</v>
      </c>
    </row>
    <row r="44" spans="3:10" x14ac:dyDescent="0.25">
      <c r="C44" s="80" t="s">
        <v>97</v>
      </c>
      <c r="D44" s="134">
        <v>1490.2665999999999</v>
      </c>
      <c r="E44" s="154" t="s">
        <v>46</v>
      </c>
      <c r="F44" s="154" t="s">
        <v>46</v>
      </c>
      <c r="G44" s="142">
        <v>8986.6273399999991</v>
      </c>
      <c r="H44" s="154" t="s">
        <v>46</v>
      </c>
      <c r="I44" s="157" t="s">
        <v>46</v>
      </c>
      <c r="J44" s="164" t="s">
        <v>46</v>
      </c>
    </row>
    <row r="45" spans="3:10" x14ac:dyDescent="0.25">
      <c r="C45" s="79" t="s">
        <v>112</v>
      </c>
      <c r="D45" s="136">
        <f>+SUM(D46:D57)</f>
        <v>146826.3502512626</v>
      </c>
      <c r="E45" s="132">
        <f>+SUM(E46:E57)</f>
        <v>105625.20832599998</v>
      </c>
      <c r="F45" s="155">
        <f t="shared" si="0"/>
        <v>-0.28061136066350134</v>
      </c>
      <c r="G45" s="136">
        <f>+SUM(G46:G57)</f>
        <v>994769.26225287432</v>
      </c>
      <c r="H45" s="132">
        <f>+SUM(H46:H57)</f>
        <v>851678.71337466617</v>
      </c>
      <c r="I45" s="155">
        <f t="shared" si="1"/>
        <v>-0.1438429536454997</v>
      </c>
      <c r="J45" s="162">
        <f>SUM(J46:J57)</f>
        <v>1.0000000000000002</v>
      </c>
    </row>
    <row r="46" spans="3:10" x14ac:dyDescent="0.25">
      <c r="C46" s="83" t="s">
        <v>93</v>
      </c>
      <c r="D46" s="140">
        <v>63013.022964049997</v>
      </c>
      <c r="E46" s="141">
        <v>28232.536556999999</v>
      </c>
      <c r="F46" s="156">
        <f t="shared" si="0"/>
        <v>-0.55195711570436568</v>
      </c>
      <c r="G46" s="133">
        <v>403530.61291780003</v>
      </c>
      <c r="H46" s="137">
        <v>235166.98605622997</v>
      </c>
      <c r="I46" s="154">
        <f t="shared" si="1"/>
        <v>-0.41722640481768369</v>
      </c>
      <c r="J46" s="163">
        <f t="shared" ref="J46:J57" si="4">(H46/$H$45)</f>
        <v>0.27612171393178464</v>
      </c>
    </row>
    <row r="47" spans="3:10" x14ac:dyDescent="0.25">
      <c r="C47" s="82" t="s">
        <v>97</v>
      </c>
      <c r="D47" s="142">
        <v>20386.772976364002</v>
      </c>
      <c r="E47" s="133">
        <v>25961.596594999995</v>
      </c>
      <c r="F47" s="157">
        <f t="shared" si="0"/>
        <v>0.27345296997711843</v>
      </c>
      <c r="G47" s="133">
        <v>155396.055639953</v>
      </c>
      <c r="H47" s="137">
        <v>189758.17396068299</v>
      </c>
      <c r="I47" s="154">
        <f t="shared" si="1"/>
        <v>0.22112606513221778</v>
      </c>
      <c r="J47" s="164">
        <f t="shared" si="4"/>
        <v>0.22280488050334252</v>
      </c>
    </row>
    <row r="48" spans="3:10" x14ac:dyDescent="0.25">
      <c r="C48" s="80" t="s">
        <v>102</v>
      </c>
      <c r="D48" s="142">
        <v>17700.497833559999</v>
      </c>
      <c r="E48" s="133">
        <v>11377.159076000002</v>
      </c>
      <c r="F48" s="157">
        <f t="shared" si="0"/>
        <v>-0.35724072944270524</v>
      </c>
      <c r="G48" s="133">
        <v>124730.23237626003</v>
      </c>
      <c r="H48" s="137">
        <v>108877.95357349</v>
      </c>
      <c r="I48" s="154">
        <f t="shared" si="1"/>
        <v>-0.12709251398610566</v>
      </c>
      <c r="J48" s="164">
        <f t="shared" si="4"/>
        <v>0.12783923310948475</v>
      </c>
    </row>
    <row r="49" spans="3:10" x14ac:dyDescent="0.25">
      <c r="C49" s="82" t="s">
        <v>101</v>
      </c>
      <c r="D49" s="123">
        <v>15264.366357208997</v>
      </c>
      <c r="E49" s="134">
        <v>15313.123936999998</v>
      </c>
      <c r="F49" s="157">
        <f t="shared" si="0"/>
        <v>3.1942092223156138E-3</v>
      </c>
      <c r="G49" s="133">
        <v>112854.908846819</v>
      </c>
      <c r="H49" s="137">
        <v>107976.517739348</v>
      </c>
      <c r="I49" s="154">
        <f t="shared" si="1"/>
        <v>-4.3227106001144988E-2</v>
      </c>
      <c r="J49" s="164">
        <f t="shared" si="4"/>
        <v>0.126780810702084</v>
      </c>
    </row>
    <row r="50" spans="3:10" x14ac:dyDescent="0.25">
      <c r="C50" s="82" t="s">
        <v>100</v>
      </c>
      <c r="D50" s="123">
        <v>17664.494054999996</v>
      </c>
      <c r="E50" s="134">
        <v>10401.733325000001</v>
      </c>
      <c r="F50" s="157">
        <f t="shared" si="0"/>
        <v>-0.41115022640256405</v>
      </c>
      <c r="G50" s="133">
        <v>101468.301833</v>
      </c>
      <c r="H50" s="137">
        <v>101783.19577300001</v>
      </c>
      <c r="I50" s="154">
        <f t="shared" si="1"/>
        <v>3.1033725243403421E-3</v>
      </c>
      <c r="J50" s="164">
        <f t="shared" si="4"/>
        <v>0.11950891125327923</v>
      </c>
    </row>
    <row r="51" spans="3:10" x14ac:dyDescent="0.25">
      <c r="C51" s="82" t="s">
        <v>105</v>
      </c>
      <c r="D51" s="123">
        <v>4161.1805779999995</v>
      </c>
      <c r="E51" s="134">
        <v>5174.3274460000002</v>
      </c>
      <c r="F51" s="157">
        <f t="shared" si="0"/>
        <v>0.2434758235094312</v>
      </c>
      <c r="G51" s="133">
        <v>33440.89907911</v>
      </c>
      <c r="H51" s="137">
        <v>39621.566897800003</v>
      </c>
      <c r="I51" s="154">
        <f t="shared" si="1"/>
        <v>0.18482361386482471</v>
      </c>
      <c r="J51" s="164">
        <f t="shared" si="4"/>
        <v>4.6521729703452017E-2</v>
      </c>
    </row>
    <row r="52" spans="3:10" x14ac:dyDescent="0.25">
      <c r="C52" s="82" t="s">
        <v>107</v>
      </c>
      <c r="D52" s="123">
        <v>4755.6097848500003</v>
      </c>
      <c r="E52" s="134">
        <v>5094.5774599999995</v>
      </c>
      <c r="F52" s="157">
        <f t="shared" si="0"/>
        <v>7.1277436645422965E-2</v>
      </c>
      <c r="G52" s="133">
        <v>30671.093683609997</v>
      </c>
      <c r="H52" s="137">
        <v>37422.144289589996</v>
      </c>
      <c r="I52" s="154">
        <f t="shared" si="1"/>
        <v>0.2201111794584496</v>
      </c>
      <c r="J52" s="164">
        <f t="shared" si="4"/>
        <v>4.3939273932666008E-2</v>
      </c>
    </row>
    <row r="53" spans="3:10" x14ac:dyDescent="0.25">
      <c r="C53" s="82" t="s">
        <v>96</v>
      </c>
      <c r="D53" s="123">
        <v>2137.1456807</v>
      </c>
      <c r="E53" s="134">
        <v>1997.9983500000003</v>
      </c>
      <c r="F53" s="157">
        <f t="shared" si="0"/>
        <v>-6.5108959092776253E-2</v>
      </c>
      <c r="G53" s="133">
        <v>18838.114740499997</v>
      </c>
      <c r="H53" s="137">
        <v>16197.178919800001</v>
      </c>
      <c r="I53" s="154">
        <f t="shared" si="1"/>
        <v>-0.14019108902772837</v>
      </c>
      <c r="J53" s="164">
        <f t="shared" si="4"/>
        <v>1.9017944989632048E-2</v>
      </c>
    </row>
    <row r="54" spans="3:10" x14ac:dyDescent="0.25">
      <c r="C54" s="82" t="s">
        <v>104</v>
      </c>
      <c r="D54" s="123">
        <v>1539.829941</v>
      </c>
      <c r="E54" s="134">
        <v>1823.068767</v>
      </c>
      <c r="F54" s="157">
        <f t="shared" si="0"/>
        <v>0.18394162787616564</v>
      </c>
      <c r="G54" s="133">
        <v>11088.004592827001</v>
      </c>
      <c r="H54" s="137">
        <v>12429.414243759998</v>
      </c>
      <c r="I54" s="154">
        <f t="shared" si="1"/>
        <v>0.12097845376081251</v>
      </c>
      <c r="J54" s="164">
        <f t="shared" si="4"/>
        <v>1.4594017730594745E-2</v>
      </c>
    </row>
    <row r="55" spans="3:10" x14ac:dyDescent="0.25">
      <c r="C55" s="82" t="s">
        <v>106</v>
      </c>
      <c r="D55" s="143">
        <v>190.3004832</v>
      </c>
      <c r="E55" s="139">
        <v>248.120813</v>
      </c>
      <c r="F55" s="157" t="s">
        <v>46</v>
      </c>
      <c r="G55" s="133">
        <v>2683.6266794999997</v>
      </c>
      <c r="H55" s="137">
        <v>2416.0621661999999</v>
      </c>
      <c r="I55" s="154">
        <f t="shared" si="1"/>
        <v>-9.9702583576137038E-2</v>
      </c>
      <c r="J55" s="164">
        <f t="shared" si="4"/>
        <v>2.836823473756515E-3</v>
      </c>
    </row>
    <row r="56" spans="3:10" x14ac:dyDescent="0.25">
      <c r="C56" s="82" t="s">
        <v>99</v>
      </c>
      <c r="D56" s="143">
        <v>0.89000999999999997</v>
      </c>
      <c r="E56" s="139">
        <v>0.96599999999999997</v>
      </c>
      <c r="F56" s="157">
        <f t="shared" si="0"/>
        <v>8.5381063134122082E-2</v>
      </c>
      <c r="G56" s="133">
        <v>9.8390599999999999</v>
      </c>
      <c r="H56" s="137">
        <v>20.026800000000001</v>
      </c>
      <c r="I56" s="154">
        <f t="shared" si="1"/>
        <v>1.0354383447199225</v>
      </c>
      <c r="J56" s="215">
        <f t="shared" si="4"/>
        <v>2.3514501050104224E-5</v>
      </c>
    </row>
    <row r="57" spans="3:10" x14ac:dyDescent="0.25">
      <c r="C57" s="82" t="s">
        <v>95</v>
      </c>
      <c r="D57" s="143">
        <v>12.239587329599999</v>
      </c>
      <c r="E57" s="139">
        <v>0</v>
      </c>
      <c r="F57" s="157" t="s">
        <v>46</v>
      </c>
      <c r="G57" s="149">
        <v>57.572803495199999</v>
      </c>
      <c r="H57" s="137">
        <v>9.4929547652000004</v>
      </c>
      <c r="I57" s="154">
        <f t="shared" si="1"/>
        <v>-0.83511390467564339</v>
      </c>
      <c r="J57" s="215">
        <f t="shared" si="4"/>
        <v>1.1146168873453935E-5</v>
      </c>
    </row>
    <row r="58" spans="3:10" x14ac:dyDescent="0.25">
      <c r="C58" s="79" t="s">
        <v>113</v>
      </c>
      <c r="D58" s="136">
        <f>+SUM(D59:D75)</f>
        <v>348630.27056469867</v>
      </c>
      <c r="E58" s="132">
        <f>+SUM(E59:E75)</f>
        <v>312246.45324399992</v>
      </c>
      <c r="F58" s="155">
        <f t="shared" si="0"/>
        <v>-0.1043621865128509</v>
      </c>
      <c r="G58" s="136">
        <f>+SUM(G59:G75)</f>
        <v>2451293.9884172659</v>
      </c>
      <c r="H58" s="132">
        <f>+SUM(H59:H75)</f>
        <v>2363917.6817924231</v>
      </c>
      <c r="I58" s="155">
        <f t="shared" si="1"/>
        <v>-3.56449724258735E-2</v>
      </c>
      <c r="J58" s="162">
        <f>SUM(J59:J75)</f>
        <v>1.0000000000000002</v>
      </c>
    </row>
    <row r="59" spans="3:10" x14ac:dyDescent="0.25">
      <c r="C59" s="83" t="s">
        <v>93</v>
      </c>
      <c r="D59" s="140">
        <v>80114.6552711111</v>
      </c>
      <c r="E59" s="141">
        <v>57959.684958999991</v>
      </c>
      <c r="F59" s="156">
        <f t="shared" si="0"/>
        <v>-0.27654079315623126</v>
      </c>
      <c r="G59" s="140">
        <v>468551.27298130363</v>
      </c>
      <c r="H59" s="141">
        <v>444258.49393299106</v>
      </c>
      <c r="I59" s="156">
        <f t="shared" si="1"/>
        <v>-5.1846575709296849E-2</v>
      </c>
      <c r="J59" s="163">
        <f t="shared" ref="J59:J75" si="5">(H59/$H$58)</f>
        <v>0.18793314900717495</v>
      </c>
    </row>
    <row r="60" spans="3:10" x14ac:dyDescent="0.25">
      <c r="C60" s="80" t="s">
        <v>102</v>
      </c>
      <c r="D60" s="142">
        <v>67671.357182529289</v>
      </c>
      <c r="E60" s="133">
        <v>48780.593917000006</v>
      </c>
      <c r="F60" s="157">
        <f t="shared" si="0"/>
        <v>-0.2791544909403163</v>
      </c>
      <c r="G60" s="142">
        <v>489501.27692035993</v>
      </c>
      <c r="H60" s="133">
        <v>421224.38767220842</v>
      </c>
      <c r="I60" s="157">
        <f t="shared" si="1"/>
        <v>-0.13948255595512959</v>
      </c>
      <c r="J60" s="164">
        <f t="shared" si="5"/>
        <v>0.17818910993246523</v>
      </c>
    </row>
    <row r="61" spans="3:10" ht="15" customHeight="1" x14ac:dyDescent="0.25">
      <c r="C61" s="80" t="s">
        <v>97</v>
      </c>
      <c r="D61" s="142">
        <v>46371.584066327196</v>
      </c>
      <c r="E61" s="133">
        <v>48471.969783</v>
      </c>
      <c r="F61" s="157">
        <f t="shared" si="0"/>
        <v>4.5294672566469574E-2</v>
      </c>
      <c r="G61" s="142">
        <v>339301.76400237158</v>
      </c>
      <c r="H61" s="133">
        <v>361350.64960140688</v>
      </c>
      <c r="I61" s="157">
        <f t="shared" si="1"/>
        <v>6.4983115144904513E-2</v>
      </c>
      <c r="J61" s="164">
        <f t="shared" si="5"/>
        <v>0.15286092759685921</v>
      </c>
    </row>
    <row r="62" spans="3:10" x14ac:dyDescent="0.25">
      <c r="C62" s="80" t="s">
        <v>101</v>
      </c>
      <c r="D62" s="142">
        <v>46338.6830441067</v>
      </c>
      <c r="E62" s="133">
        <v>46672.540010999997</v>
      </c>
      <c r="F62" s="157">
        <f t="shared" si="0"/>
        <v>7.2047141817890292E-3</v>
      </c>
      <c r="G62" s="142">
        <v>345500.98454319959</v>
      </c>
      <c r="H62" s="133">
        <v>340701.9904380425</v>
      </c>
      <c r="I62" s="157">
        <f t="shared" si="1"/>
        <v>-1.3889957828924993E-2</v>
      </c>
      <c r="J62" s="164">
        <f t="shared" si="5"/>
        <v>0.14412599603709877</v>
      </c>
    </row>
    <row r="63" spans="3:10" x14ac:dyDescent="0.25">
      <c r="C63" s="82" t="s">
        <v>95</v>
      </c>
      <c r="D63" s="123">
        <v>13567.2162989194</v>
      </c>
      <c r="E63" s="134">
        <v>15924.081452999999</v>
      </c>
      <c r="F63" s="157">
        <f t="shared" si="0"/>
        <v>0.1737176663327995</v>
      </c>
      <c r="G63" s="142">
        <v>100668.3824437346</v>
      </c>
      <c r="H63" s="133">
        <v>119862.52080767238</v>
      </c>
      <c r="I63" s="157">
        <f t="shared" si="1"/>
        <v>0.19066699889278271</v>
      </c>
      <c r="J63" s="164">
        <f t="shared" si="5"/>
        <v>5.0705031622246467E-2</v>
      </c>
    </row>
    <row r="64" spans="3:10" x14ac:dyDescent="0.25">
      <c r="C64" s="82" t="s">
        <v>107</v>
      </c>
      <c r="D64" s="123">
        <v>17417.555151523702</v>
      </c>
      <c r="E64" s="134">
        <v>14635.195550999999</v>
      </c>
      <c r="F64" s="157">
        <f t="shared" si="0"/>
        <v>-0.15974455520987974</v>
      </c>
      <c r="G64" s="142">
        <v>137829.9637597026</v>
      </c>
      <c r="H64" s="133">
        <v>113674.4168884347</v>
      </c>
      <c r="I64" s="157">
        <f t="shared" si="1"/>
        <v>-0.17525613598347523</v>
      </c>
      <c r="J64" s="214">
        <f t="shared" si="5"/>
        <v>4.8087299216883858E-2</v>
      </c>
    </row>
    <row r="65" spans="3:10" ht="15" customHeight="1" x14ac:dyDescent="0.25">
      <c r="C65" s="82" t="s">
        <v>100</v>
      </c>
      <c r="D65" s="123">
        <v>18115.735144121198</v>
      </c>
      <c r="E65" s="134">
        <v>14490.258002999999</v>
      </c>
      <c r="F65" s="157">
        <f t="shared" si="0"/>
        <v>-0.20012862366768014</v>
      </c>
      <c r="G65" s="142">
        <v>155297.48853826162</v>
      </c>
      <c r="H65" s="133">
        <v>112934.18628385008</v>
      </c>
      <c r="I65" s="157">
        <f t="shared" si="1"/>
        <v>-0.27278807051650567</v>
      </c>
      <c r="J65" s="214">
        <f t="shared" si="5"/>
        <v>4.7774161999676136E-2</v>
      </c>
    </row>
    <row r="66" spans="3:10" x14ac:dyDescent="0.25">
      <c r="C66" s="82" t="s">
        <v>104</v>
      </c>
      <c r="D66" s="123">
        <v>11975.4447012077</v>
      </c>
      <c r="E66" s="134">
        <v>12118.383791</v>
      </c>
      <c r="F66" s="157">
        <f t="shared" si="0"/>
        <v>1.1936015184295101E-2</v>
      </c>
      <c r="G66" s="142">
        <v>90566.503225173714</v>
      </c>
      <c r="H66" s="133">
        <v>89076.637751536706</v>
      </c>
      <c r="I66" s="157">
        <f t="shared" si="1"/>
        <v>-1.6450513386089161E-2</v>
      </c>
      <c r="J66" s="164">
        <f t="shared" si="5"/>
        <v>3.7681784961308383E-2</v>
      </c>
    </row>
    <row r="67" spans="3:10" x14ac:dyDescent="0.25">
      <c r="C67" s="82" t="s">
        <v>96</v>
      </c>
      <c r="D67" s="123">
        <v>9046.4642733492983</v>
      </c>
      <c r="E67" s="134">
        <v>11978.716835999998</v>
      </c>
      <c r="F67" s="157">
        <f t="shared" si="0"/>
        <v>0.32413244269245123</v>
      </c>
      <c r="G67" s="142">
        <v>57261.017643697094</v>
      </c>
      <c r="H67" s="133">
        <v>79185.861684922944</v>
      </c>
      <c r="I67" s="157">
        <f t="shared" si="1"/>
        <v>0.38289302117632174</v>
      </c>
      <c r="J67" s="164">
        <f t="shared" si="5"/>
        <v>3.3497723839893127E-2</v>
      </c>
    </row>
    <row r="68" spans="3:10" x14ac:dyDescent="0.25">
      <c r="C68" s="82" t="s">
        <v>99</v>
      </c>
      <c r="D68" s="123">
        <v>9263.7253801329989</v>
      </c>
      <c r="E68" s="134">
        <v>13099.397241000001</v>
      </c>
      <c r="F68" s="157">
        <f>+E68/D68-1</f>
        <v>0.41405284628719574</v>
      </c>
      <c r="G68" s="142">
        <v>60273.466494336688</v>
      </c>
      <c r="H68" s="133">
        <v>76400.117353856709</v>
      </c>
      <c r="I68" s="157">
        <f t="shared" si="1"/>
        <v>0.26755804498211977</v>
      </c>
      <c r="J68" s="164">
        <f t="shared" si="5"/>
        <v>3.2319279957298212E-2</v>
      </c>
    </row>
    <row r="69" spans="3:10" x14ac:dyDescent="0.25">
      <c r="C69" s="82" t="s">
        <v>98</v>
      </c>
      <c r="D69" s="123">
        <v>7292.7016796335001</v>
      </c>
      <c r="E69" s="134">
        <v>6940.8131320000002</v>
      </c>
      <c r="F69" s="212">
        <f t="shared" si="0"/>
        <v>-4.8252151684228028E-2</v>
      </c>
      <c r="G69" s="142">
        <v>62609.275328440104</v>
      </c>
      <c r="H69" s="133">
        <v>59512.695456984606</v>
      </c>
      <c r="I69" s="157">
        <f t="shared" si="1"/>
        <v>-4.9458803910622517E-2</v>
      </c>
      <c r="J69" s="164">
        <f t="shared" si="5"/>
        <v>2.5175451715331958E-2</v>
      </c>
    </row>
    <row r="70" spans="3:10" x14ac:dyDescent="0.25">
      <c r="C70" s="82" t="s">
        <v>94</v>
      </c>
      <c r="D70" s="123">
        <v>7425.2580417511999</v>
      </c>
      <c r="E70" s="134">
        <v>6714.165704</v>
      </c>
      <c r="F70" s="157">
        <f t="shared" si="0"/>
        <v>-9.5766683629420868E-2</v>
      </c>
      <c r="G70" s="142">
        <v>57439.047957502102</v>
      </c>
      <c r="H70" s="133">
        <v>52833.836938591405</v>
      </c>
      <c r="I70" s="157">
        <f t="shared" si="1"/>
        <v>-8.01756154161537E-2</v>
      </c>
      <c r="J70" s="164">
        <f t="shared" si="5"/>
        <v>2.2350117072829093E-2</v>
      </c>
    </row>
    <row r="71" spans="3:10" x14ac:dyDescent="0.25">
      <c r="C71" s="82" t="s">
        <v>105</v>
      </c>
      <c r="D71" s="123">
        <v>4289.0614127106001</v>
      </c>
      <c r="E71" s="134">
        <v>4076.333361</v>
      </c>
      <c r="F71" s="212">
        <f t="shared" si="0"/>
        <v>-4.9597809693324058E-2</v>
      </c>
      <c r="G71" s="142">
        <v>34175.904339441804</v>
      </c>
      <c r="H71" s="133">
        <v>31886.309328733903</v>
      </c>
      <c r="I71" s="157">
        <f t="shared" si="1"/>
        <v>-6.6994423555473248E-2</v>
      </c>
      <c r="J71" s="164">
        <f t="shared" si="5"/>
        <v>1.3488756217837647E-2</v>
      </c>
    </row>
    <row r="72" spans="3:10" x14ac:dyDescent="0.25">
      <c r="C72" s="82" t="s">
        <v>106</v>
      </c>
      <c r="D72" s="123">
        <v>5392.3714745749003</v>
      </c>
      <c r="E72" s="134">
        <v>5942.8321809999998</v>
      </c>
      <c r="F72" s="157" t="s">
        <v>46</v>
      </c>
      <c r="G72" s="142">
        <v>19905.408019280701</v>
      </c>
      <c r="H72" s="133">
        <v>26726.1008216669</v>
      </c>
      <c r="I72" s="157">
        <f t="shared" si="1"/>
        <v>0.3426552621166854</v>
      </c>
      <c r="J72" s="164">
        <f t="shared" si="5"/>
        <v>1.1305850887921796E-2</v>
      </c>
    </row>
    <row r="73" spans="3:10" x14ac:dyDescent="0.25">
      <c r="C73" s="82" t="s">
        <v>103</v>
      </c>
      <c r="D73" s="123">
        <v>2448.7371004340002</v>
      </c>
      <c r="E73" s="139">
        <v>2649.8678440000003</v>
      </c>
      <c r="F73" s="157">
        <f t="shared" si="0"/>
        <v>8.213651989441928E-2</v>
      </c>
      <c r="G73" s="142">
        <v>18041.138719712802</v>
      </c>
      <c r="H73" s="133">
        <v>20914.457692600299</v>
      </c>
      <c r="I73" s="157">
        <f t="shared" si="1"/>
        <v>0.15926483452776408</v>
      </c>
      <c r="J73" s="164">
        <f t="shared" si="5"/>
        <v>8.847371401165741E-3</v>
      </c>
    </row>
    <row r="74" spans="3:10" x14ac:dyDescent="0.25">
      <c r="C74" s="82" t="s">
        <v>109</v>
      </c>
      <c r="D74" s="123">
        <v>1881.0812819099999</v>
      </c>
      <c r="E74" s="134">
        <v>1776.0541350000001</v>
      </c>
      <c r="F74" s="157">
        <f t="shared" si="0"/>
        <v>-5.5833391103311647E-2</v>
      </c>
      <c r="G74" s="142">
        <v>14275.407821303001</v>
      </c>
      <c r="H74" s="133">
        <v>13236.7620534414</v>
      </c>
      <c r="I74" s="157">
        <f t="shared" si="1"/>
        <v>-7.2757694971883335E-2</v>
      </c>
      <c r="J74" s="164">
        <f t="shared" si="5"/>
        <v>5.5995021126982406E-3</v>
      </c>
    </row>
    <row r="75" spans="3:10" x14ac:dyDescent="0.25">
      <c r="C75" s="82" t="s">
        <v>111</v>
      </c>
      <c r="D75" s="143">
        <v>18.6390603557</v>
      </c>
      <c r="E75" s="139">
        <v>15.565341999999999</v>
      </c>
      <c r="F75" s="157">
        <f t="shared" si="0"/>
        <v>-0.16490736641453219</v>
      </c>
      <c r="G75" s="142">
        <v>95.685679444299993</v>
      </c>
      <c r="H75" s="133">
        <v>138.25708548309998</v>
      </c>
      <c r="I75" s="157">
        <f t="shared" si="1"/>
        <v>0.44490885455415952</v>
      </c>
      <c r="J75" s="214">
        <f t="shared" si="5"/>
        <v>5.8486421311535506E-5</v>
      </c>
    </row>
    <row r="76" spans="3:10" x14ac:dyDescent="0.25">
      <c r="C76" s="79" t="s">
        <v>114</v>
      </c>
      <c r="D76" s="136">
        <f>+SUM(D77:D88)</f>
        <v>27179.629468529598</v>
      </c>
      <c r="E76" s="132">
        <f>+SUM(E77:E88)</f>
        <v>26157.712403000001</v>
      </c>
      <c r="F76" s="155">
        <f t="shared" si="0"/>
        <v>-3.7598638594865341E-2</v>
      </c>
      <c r="G76" s="136">
        <f>+SUM(G77:G88)</f>
        <v>207357.66615463054</v>
      </c>
      <c r="H76" s="132">
        <f>+SUM(H77:H88)</f>
        <v>191533.066450735</v>
      </c>
      <c r="I76" s="155">
        <f t="shared" si="1"/>
        <v>-7.6315479419482024E-2</v>
      </c>
      <c r="J76" s="162">
        <f>SUM(J77:J88)</f>
        <v>1</v>
      </c>
    </row>
    <row r="77" spans="3:10" x14ac:dyDescent="0.25">
      <c r="C77" s="83" t="s">
        <v>101</v>
      </c>
      <c r="D77" s="133">
        <v>7564.4842916260004</v>
      </c>
      <c r="E77" s="137">
        <v>8623.4218150000015</v>
      </c>
      <c r="F77" s="154">
        <f t="shared" si="0"/>
        <v>0.13998806561688037</v>
      </c>
      <c r="G77" s="140">
        <v>62593.1017382512</v>
      </c>
      <c r="H77" s="141">
        <v>60260.206732273</v>
      </c>
      <c r="I77" s="156">
        <f t="shared" si="1"/>
        <v>-3.7270800474687893E-2</v>
      </c>
      <c r="J77" s="163">
        <f t="shared" ref="J77:J88" si="6">(H77/$H$76)</f>
        <v>0.3146203830437434</v>
      </c>
    </row>
    <row r="78" spans="3:10" x14ac:dyDescent="0.25">
      <c r="C78" s="80" t="s">
        <v>97</v>
      </c>
      <c r="D78" s="133">
        <v>3294.7135648559997</v>
      </c>
      <c r="E78" s="137">
        <v>5141.5381699999998</v>
      </c>
      <c r="F78" s="154">
        <f t="shared" ref="F78:F92" si="7">+E78/D78-1</f>
        <v>0.56054177966900687</v>
      </c>
      <c r="G78" s="142">
        <v>24710.521595942002</v>
      </c>
      <c r="H78" s="133">
        <v>32633.659238432007</v>
      </c>
      <c r="I78" s="157">
        <f t="shared" si="1"/>
        <v>0.32063821929971548</v>
      </c>
      <c r="J78" s="164">
        <f t="shared" si="6"/>
        <v>0.17038133332881111</v>
      </c>
    </row>
    <row r="79" spans="3:10" x14ac:dyDescent="0.25">
      <c r="C79" s="80" t="s">
        <v>102</v>
      </c>
      <c r="D79" s="133">
        <v>5439.1170508900013</v>
      </c>
      <c r="E79" s="137">
        <v>3532.3922399999997</v>
      </c>
      <c r="F79" s="154">
        <f t="shared" si="7"/>
        <v>-0.35055778227423962</v>
      </c>
      <c r="G79" s="142">
        <v>39611.01347749</v>
      </c>
      <c r="H79" s="133">
        <v>29682.438388769999</v>
      </c>
      <c r="I79" s="157">
        <f t="shared" ref="I79:I93" si="8">+H79/G79-1</f>
        <v>-0.25065188231960223</v>
      </c>
      <c r="J79" s="164">
        <f t="shared" si="6"/>
        <v>0.15497291897848217</v>
      </c>
    </row>
    <row r="80" spans="3:10" x14ac:dyDescent="0.25">
      <c r="C80" s="80" t="s">
        <v>104</v>
      </c>
      <c r="D80" s="133">
        <v>2131.1902976000001</v>
      </c>
      <c r="E80" s="137">
        <v>2399.4830160000001</v>
      </c>
      <c r="F80" s="154">
        <f t="shared" si="7"/>
        <v>0.12588867296464934</v>
      </c>
      <c r="G80" s="142">
        <v>16973.6605311249</v>
      </c>
      <c r="H80" s="133">
        <v>17753.528736640001</v>
      </c>
      <c r="I80" s="157">
        <f t="shared" si="8"/>
        <v>4.5945787833157281E-2</v>
      </c>
      <c r="J80" s="164">
        <f t="shared" si="6"/>
        <v>9.2691716713084932E-2</v>
      </c>
    </row>
    <row r="81" spans="3:10" x14ac:dyDescent="0.25">
      <c r="C81" s="82" t="s">
        <v>93</v>
      </c>
      <c r="D81" s="134">
        <v>2621.5725990000001</v>
      </c>
      <c r="E81" s="138">
        <v>1886.8111900000004</v>
      </c>
      <c r="F81" s="154">
        <f t="shared" si="7"/>
        <v>-0.28027505676565079</v>
      </c>
      <c r="G81" s="142">
        <v>23392.4624367</v>
      </c>
      <c r="H81" s="133">
        <v>13563.927381200001</v>
      </c>
      <c r="I81" s="157">
        <f t="shared" si="8"/>
        <v>-0.42015820617842237</v>
      </c>
      <c r="J81" s="164">
        <f t="shared" si="6"/>
        <v>7.0817679853148671E-2</v>
      </c>
    </row>
    <row r="82" spans="3:10" x14ac:dyDescent="0.25">
      <c r="C82" s="82" t="s">
        <v>100</v>
      </c>
      <c r="D82" s="134">
        <v>2978.10232</v>
      </c>
      <c r="E82" s="138">
        <v>1691.672028</v>
      </c>
      <c r="F82" s="154">
        <f t="shared" si="7"/>
        <v>-0.43196309386710396</v>
      </c>
      <c r="G82" s="142">
        <v>14964.329493999998</v>
      </c>
      <c r="H82" s="133">
        <v>13216.753798999998</v>
      </c>
      <c r="I82" s="157">
        <f t="shared" si="8"/>
        <v>-0.11678275967531293</v>
      </c>
      <c r="J82" s="164">
        <f t="shared" si="6"/>
        <v>6.9005075958513587E-2</v>
      </c>
    </row>
    <row r="83" spans="3:10" x14ac:dyDescent="0.25">
      <c r="C83" s="82" t="s">
        <v>96</v>
      </c>
      <c r="D83" s="134">
        <v>1483.3261263000002</v>
      </c>
      <c r="E83" s="138">
        <v>1474.0845280000001</v>
      </c>
      <c r="F83" s="154">
        <f t="shared" si="7"/>
        <v>-6.2303212598650015E-3</v>
      </c>
      <c r="G83" s="142">
        <v>12610.230653500001</v>
      </c>
      <c r="H83" s="133">
        <v>11006.364463800001</v>
      </c>
      <c r="I83" s="157">
        <f t="shared" si="8"/>
        <v>-0.12718769654342865</v>
      </c>
      <c r="J83" s="164">
        <f t="shared" si="6"/>
        <v>5.7464565611343103E-2</v>
      </c>
    </row>
    <row r="84" spans="3:10" x14ac:dyDescent="0.25">
      <c r="C84" s="82" t="s">
        <v>105</v>
      </c>
      <c r="D84" s="134">
        <v>631.10395979999998</v>
      </c>
      <c r="E84" s="138">
        <v>881.84982799999989</v>
      </c>
      <c r="F84" s="154">
        <f t="shared" si="7"/>
        <v>0.39731309605387755</v>
      </c>
      <c r="G84" s="142">
        <v>5171.6284379199997</v>
      </c>
      <c r="H84" s="133">
        <v>6903.6438534999998</v>
      </c>
      <c r="I84" s="157">
        <f t="shared" si="8"/>
        <v>0.33490716442045998</v>
      </c>
      <c r="J84" s="164">
        <f t="shared" si="6"/>
        <v>3.60441357799475E-2</v>
      </c>
    </row>
    <row r="85" spans="3:10" x14ac:dyDescent="0.25">
      <c r="C85" s="82" t="s">
        <v>107</v>
      </c>
      <c r="D85" s="134">
        <v>627.87145376000001</v>
      </c>
      <c r="E85" s="138">
        <v>207.668983</v>
      </c>
      <c r="F85" s="154">
        <f t="shared" si="7"/>
        <v>-0.66924920418602085</v>
      </c>
      <c r="G85" s="142">
        <v>4335.9069686000003</v>
      </c>
      <c r="H85" s="133">
        <v>3768.2575328500002</v>
      </c>
      <c r="I85" s="157">
        <f t="shared" si="8"/>
        <v>-0.13091826920199945</v>
      </c>
      <c r="J85" s="164">
        <f t="shared" si="6"/>
        <v>1.9674187870945246E-2</v>
      </c>
    </row>
    <row r="86" spans="3:10" x14ac:dyDescent="0.25">
      <c r="C86" s="82" t="s">
        <v>106</v>
      </c>
      <c r="D86" s="139">
        <v>392.97823360000001</v>
      </c>
      <c r="E86" s="144">
        <v>311.52810499999998</v>
      </c>
      <c r="F86" s="154">
        <f t="shared" si="7"/>
        <v>-0.20726371497436546</v>
      </c>
      <c r="G86" s="142">
        <v>2899.7780198999999</v>
      </c>
      <c r="H86" s="133">
        <v>2630.5489566000001</v>
      </c>
      <c r="I86" s="157">
        <f t="shared" si="8"/>
        <v>-9.2844714820372487E-2</v>
      </c>
      <c r="J86" s="164">
        <f t="shared" si="6"/>
        <v>1.3734176585517229E-2</v>
      </c>
    </row>
    <row r="87" spans="3:10" x14ac:dyDescent="0.25">
      <c r="C87" s="82" t="s">
        <v>99</v>
      </c>
      <c r="D87" s="139">
        <v>8.4159900000000007</v>
      </c>
      <c r="E87" s="144">
        <v>7.2625000000000002</v>
      </c>
      <c r="F87" s="154">
        <f t="shared" si="7"/>
        <v>-0.13705933585947705</v>
      </c>
      <c r="G87" s="142">
        <v>65.591849999999994</v>
      </c>
      <c r="H87" s="133">
        <v>108.500923</v>
      </c>
      <c r="I87" s="157">
        <f t="shared" si="8"/>
        <v>0.6541829968204893</v>
      </c>
      <c r="J87" s="164">
        <f t="shared" si="6"/>
        <v>5.6648663862909519E-4</v>
      </c>
    </row>
    <row r="88" spans="3:10" x14ac:dyDescent="0.25">
      <c r="C88" s="82" t="s">
        <v>95</v>
      </c>
      <c r="D88" s="134">
        <v>6.7535810976000006</v>
      </c>
      <c r="E88" s="138">
        <v>0</v>
      </c>
      <c r="F88" s="154" t="s">
        <v>46</v>
      </c>
      <c r="G88" s="142">
        <v>29.440951202400001</v>
      </c>
      <c r="H88" s="133">
        <v>5.23644467</v>
      </c>
      <c r="I88" s="157">
        <f t="shared" si="8"/>
        <v>-0.82213738156757898</v>
      </c>
      <c r="J88" s="215">
        <f t="shared" si="6"/>
        <v>2.7339637834007565E-5</v>
      </c>
    </row>
    <row r="89" spans="3:10" x14ac:dyDescent="0.25">
      <c r="C89" s="79" t="s">
        <v>115</v>
      </c>
      <c r="D89" s="136">
        <f>+D90</f>
        <v>1148061.4364120001</v>
      </c>
      <c r="E89" s="132">
        <f>+E90</f>
        <v>1253372.779544</v>
      </c>
      <c r="F89" s="155">
        <f t="shared" si="7"/>
        <v>9.1729710442261858E-2</v>
      </c>
      <c r="G89" s="136">
        <f>+G90</f>
        <v>7241037.3594579995</v>
      </c>
      <c r="H89" s="132">
        <f>+H90</f>
        <v>9449020.3268720005</v>
      </c>
      <c r="I89" s="155">
        <f t="shared" si="8"/>
        <v>0.30492633276225378</v>
      </c>
      <c r="J89" s="162">
        <f>SUM(J90)</f>
        <v>1</v>
      </c>
    </row>
    <row r="90" spans="3:10" x14ac:dyDescent="0.25">
      <c r="C90" s="84" t="s">
        <v>100</v>
      </c>
      <c r="D90" s="145">
        <v>1148061.4364120001</v>
      </c>
      <c r="E90" s="146">
        <v>1253372.779544</v>
      </c>
      <c r="F90" s="156">
        <f t="shared" si="7"/>
        <v>9.1729710442261858E-2</v>
      </c>
      <c r="G90" s="150">
        <v>7241037.3594579995</v>
      </c>
      <c r="H90" s="151">
        <v>9449020.3268720005</v>
      </c>
      <c r="I90" s="158">
        <f t="shared" si="8"/>
        <v>0.30492633276225378</v>
      </c>
      <c r="J90" s="165">
        <f>(H90/$H$89)</f>
        <v>1</v>
      </c>
    </row>
    <row r="91" spans="3:10" x14ac:dyDescent="0.25">
      <c r="C91" s="79" t="s">
        <v>116</v>
      </c>
      <c r="D91" s="136">
        <f>SUM(D92:D92)</f>
        <v>2934.8496</v>
      </c>
      <c r="E91" s="132">
        <f>SUM(E92:E92)</f>
        <v>2732.7916949999999</v>
      </c>
      <c r="F91" s="155">
        <f t="shared" si="7"/>
        <v>-6.8847788656699827E-2</v>
      </c>
      <c r="G91" s="136">
        <f>SUM(G92:G92)</f>
        <v>22413.989740000001</v>
      </c>
      <c r="H91" s="132">
        <f>SUM(H92:H92)</f>
        <v>23477.922262</v>
      </c>
      <c r="I91" s="155">
        <f t="shared" si="8"/>
        <v>4.7467342242122346E-2</v>
      </c>
      <c r="J91" s="162">
        <f>SUM(J92:J92)</f>
        <v>1</v>
      </c>
    </row>
    <row r="92" spans="3:10" x14ac:dyDescent="0.25">
      <c r="C92" s="173" t="s">
        <v>106</v>
      </c>
      <c r="D92" s="174">
        <v>2934.8496</v>
      </c>
      <c r="E92" s="175">
        <v>2732.7916949999999</v>
      </c>
      <c r="F92" s="156">
        <f t="shared" si="7"/>
        <v>-6.8847788656699827E-2</v>
      </c>
      <c r="G92" s="140">
        <v>22413.989740000001</v>
      </c>
      <c r="H92" s="141">
        <v>23477.922262</v>
      </c>
      <c r="I92" s="156">
        <f t="shared" si="8"/>
        <v>4.7467342242122346E-2</v>
      </c>
      <c r="J92" s="163">
        <f>(H92/$H$91)</f>
        <v>1</v>
      </c>
    </row>
    <row r="93" spans="3:10" x14ac:dyDescent="0.25">
      <c r="C93" s="79" t="s">
        <v>117</v>
      </c>
      <c r="D93" s="136">
        <f>SUM(D94:D98)</f>
        <v>2874.9100077799999</v>
      </c>
      <c r="E93" s="132">
        <f>SUM(E94:E98)</f>
        <v>3233.3038819999997</v>
      </c>
      <c r="F93" s="155">
        <f t="shared" ref="F93:F112" si="9">(E93-D93)/D93</f>
        <v>0.12466264100445736</v>
      </c>
      <c r="G93" s="136">
        <f>SUM(G94:G98)</f>
        <v>25669.101217354899</v>
      </c>
      <c r="H93" s="132">
        <f>SUM(H94:H98)</f>
        <v>25617.342334193399</v>
      </c>
      <c r="I93" s="155">
        <f t="shared" si="8"/>
        <v>-2.0163886036845824E-3</v>
      </c>
      <c r="J93" s="162">
        <f>SUM(J94:J98)</f>
        <v>1</v>
      </c>
    </row>
    <row r="94" spans="3:10" x14ac:dyDescent="0.25">
      <c r="C94" s="83" t="s">
        <v>96</v>
      </c>
      <c r="D94" s="91">
        <v>957.70844939999995</v>
      </c>
      <c r="E94" s="92">
        <v>698.66276900000003</v>
      </c>
      <c r="F94" s="156">
        <f t="shared" si="9"/>
        <v>-0.2704849065102129</v>
      </c>
      <c r="G94" s="91">
        <v>6434.8807647000003</v>
      </c>
      <c r="H94" s="92">
        <v>6927.8438301000006</v>
      </c>
      <c r="I94" s="156">
        <f t="shared" ref="I94:I105" si="10">(H94-G94)/G94</f>
        <v>7.6607956452629411E-2</v>
      </c>
      <c r="J94" s="163">
        <f>(H94/$H$93)</f>
        <v>0.27043569702595122</v>
      </c>
    </row>
    <row r="95" spans="3:10" x14ac:dyDescent="0.25">
      <c r="C95" s="80" t="s">
        <v>94</v>
      </c>
      <c r="D95" s="142">
        <v>767.70786840000005</v>
      </c>
      <c r="E95" s="133">
        <v>904.14355699999999</v>
      </c>
      <c r="F95" s="157">
        <f t="shared" si="9"/>
        <v>0.17771823660521952</v>
      </c>
      <c r="G95" s="142">
        <v>5964.7554718048987</v>
      </c>
      <c r="H95" s="133">
        <v>6790.1918588434</v>
      </c>
      <c r="I95" s="157">
        <f t="shared" si="10"/>
        <v>0.13838562049027792</v>
      </c>
      <c r="J95" s="164">
        <f>(H95/$H$93)</f>
        <v>0.26506230702081918</v>
      </c>
    </row>
    <row r="96" spans="3:10" x14ac:dyDescent="0.25">
      <c r="C96" s="80" t="s">
        <v>98</v>
      </c>
      <c r="D96" s="142">
        <v>806.3877354</v>
      </c>
      <c r="E96" s="133">
        <v>832.01889400000005</v>
      </c>
      <c r="F96" s="157">
        <f t="shared" si="9"/>
        <v>3.1785154305807972E-2</v>
      </c>
      <c r="G96" s="142">
        <v>6797.2490687999998</v>
      </c>
      <c r="H96" s="133">
        <v>6412.7158938000002</v>
      </c>
      <c r="I96" s="157">
        <f t="shared" si="10"/>
        <v>-5.6571882405345761E-2</v>
      </c>
      <c r="J96" s="164">
        <f>(H96/$H$93)</f>
        <v>0.25032713425703279</v>
      </c>
    </row>
    <row r="97" spans="3:10" x14ac:dyDescent="0.25">
      <c r="C97" s="80" t="s">
        <v>95</v>
      </c>
      <c r="D97" s="142">
        <v>141.39534800000001</v>
      </c>
      <c r="E97" s="133">
        <v>357.53128400000003</v>
      </c>
      <c r="F97" s="157">
        <f t="shared" si="9"/>
        <v>1.528592977471932</v>
      </c>
      <c r="G97" s="142">
        <v>1814.020912</v>
      </c>
      <c r="H97" s="133">
        <v>2340.74953</v>
      </c>
      <c r="I97" s="157">
        <f t="shared" si="10"/>
        <v>0.29036524028781435</v>
      </c>
      <c r="J97" s="164">
        <f>(H97/$H$93)</f>
        <v>9.137362882782829E-2</v>
      </c>
    </row>
    <row r="98" spans="3:10" x14ac:dyDescent="0.25">
      <c r="C98" s="82" t="s">
        <v>146</v>
      </c>
      <c r="D98" s="123">
        <v>201.71060657999999</v>
      </c>
      <c r="E98" s="134">
        <v>440.94737799999996</v>
      </c>
      <c r="F98" s="157">
        <f t="shared" si="9"/>
        <v>1.1860396211991797</v>
      </c>
      <c r="G98" s="142">
        <v>4658.1950000499992</v>
      </c>
      <c r="H98" s="133">
        <v>3145.8412214499999</v>
      </c>
      <c r="I98" s="157">
        <f t="shared" si="10"/>
        <v>-0.32466519297362312</v>
      </c>
      <c r="J98" s="177">
        <f t="shared" ref="J98" si="11">(H98/$H$93)</f>
        <v>0.12280123286836857</v>
      </c>
    </row>
    <row r="99" spans="3:10" x14ac:dyDescent="0.25">
      <c r="C99" s="79" t="s">
        <v>118</v>
      </c>
      <c r="D99" s="136">
        <f>SUM(D100:D105)</f>
        <v>2570.0481632000001</v>
      </c>
      <c r="E99" s="132">
        <f>SUM(E100:E105)</f>
        <v>2307.3176539999999</v>
      </c>
      <c r="F99" s="155">
        <f t="shared" si="9"/>
        <v>-0.10222785431105345</v>
      </c>
      <c r="G99" s="136">
        <f>SUM(G100:G105)</f>
        <v>18826.486665</v>
      </c>
      <c r="H99" s="132">
        <f>SUM(H100:H105)</f>
        <v>17485.753498199996</v>
      </c>
      <c r="I99" s="155">
        <f t="shared" si="10"/>
        <v>-7.1215261278278666E-2</v>
      </c>
      <c r="J99" s="162">
        <f>SUM(J100:J105)</f>
        <v>1.0000000000000002</v>
      </c>
    </row>
    <row r="100" spans="3:10" x14ac:dyDescent="0.25">
      <c r="C100" s="70" t="s">
        <v>101</v>
      </c>
      <c r="D100" s="110">
        <v>1680.107</v>
      </c>
      <c r="E100" s="111">
        <v>1406.045558</v>
      </c>
      <c r="F100" s="102">
        <f t="shared" si="9"/>
        <v>-0.16312142143327774</v>
      </c>
      <c r="G100" s="91">
        <v>12236.162878000001</v>
      </c>
      <c r="H100" s="92">
        <v>10845.087894</v>
      </c>
      <c r="I100" s="126">
        <f t="shared" si="10"/>
        <v>-0.11368555631938203</v>
      </c>
      <c r="J100" s="163">
        <f>(H100/$H$99)</f>
        <v>0.62022422397275623</v>
      </c>
    </row>
    <row r="101" spans="3:10" x14ac:dyDescent="0.25">
      <c r="C101" s="66" t="s">
        <v>97</v>
      </c>
      <c r="D101" s="95">
        <v>752.91162599999996</v>
      </c>
      <c r="E101" s="96">
        <v>772.48993199999995</v>
      </c>
      <c r="F101" s="105">
        <f t="shared" si="9"/>
        <v>2.6003458206660762E-2</v>
      </c>
      <c r="G101" s="93">
        <v>5228.2992540000005</v>
      </c>
      <c r="H101" s="94">
        <v>5690.9145289999997</v>
      </c>
      <c r="I101" s="103">
        <f t="shared" si="10"/>
        <v>8.8482937285211324E-2</v>
      </c>
      <c r="J101" s="164">
        <f t="shared" ref="J101:J105" si="12">(H101/$H$99)</f>
        <v>0.32546006836856239</v>
      </c>
    </row>
    <row r="102" spans="3:10" x14ac:dyDescent="0.25">
      <c r="C102" s="66" t="s">
        <v>93</v>
      </c>
      <c r="D102" s="95">
        <v>74.442892999999998</v>
      </c>
      <c r="E102" s="96">
        <v>91.502376999999996</v>
      </c>
      <c r="F102" s="105">
        <f t="shared" si="9"/>
        <v>0.22916202356617169</v>
      </c>
      <c r="G102" s="93">
        <v>879.71648419999997</v>
      </c>
      <c r="H102" s="94">
        <v>660.97783609999999</v>
      </c>
      <c r="I102" s="103">
        <f t="shared" si="10"/>
        <v>-0.24864675384469734</v>
      </c>
      <c r="J102" s="164">
        <f t="shared" si="12"/>
        <v>3.7800935268133676E-2</v>
      </c>
    </row>
    <row r="103" spans="3:10" x14ac:dyDescent="0.25">
      <c r="C103" s="66" t="s">
        <v>104</v>
      </c>
      <c r="D103" s="95">
        <v>60.617534200000001</v>
      </c>
      <c r="E103" s="96">
        <v>30.618167999999997</v>
      </c>
      <c r="F103" s="105">
        <f t="shared" si="9"/>
        <v>-0.49489585143831211</v>
      </c>
      <c r="G103" s="93">
        <v>459.05614480000003</v>
      </c>
      <c r="H103" s="94">
        <v>255.44549910000003</v>
      </c>
      <c r="I103" s="103">
        <f t="shared" si="10"/>
        <v>-0.44354192402480175</v>
      </c>
      <c r="J103" s="164">
        <f t="shared" si="12"/>
        <v>1.4608778462209015E-2</v>
      </c>
    </row>
    <row r="104" spans="3:10" x14ac:dyDescent="0.25">
      <c r="C104" s="66" t="s">
        <v>102</v>
      </c>
      <c r="D104" s="191">
        <v>1.58928</v>
      </c>
      <c r="E104" s="96">
        <v>6.4236190000000004</v>
      </c>
      <c r="F104" s="105">
        <f t="shared" si="9"/>
        <v>3.0418422178596596</v>
      </c>
      <c r="G104" s="93">
        <v>17.666573999999997</v>
      </c>
      <c r="H104" s="94">
        <v>30.470039999999997</v>
      </c>
      <c r="I104" s="103">
        <f t="shared" si="10"/>
        <v>0.72472829197104105</v>
      </c>
      <c r="J104" s="164">
        <f t="shared" si="12"/>
        <v>1.7425637392827606E-3</v>
      </c>
    </row>
    <row r="105" spans="3:10" x14ac:dyDescent="0.25">
      <c r="C105" s="69" t="s">
        <v>99</v>
      </c>
      <c r="D105" s="216">
        <v>0.37983</v>
      </c>
      <c r="E105" s="217">
        <v>0.23799999999999999</v>
      </c>
      <c r="F105" s="107">
        <f t="shared" si="9"/>
        <v>-0.37340389121449075</v>
      </c>
      <c r="G105" s="117">
        <v>5.5853300000000008</v>
      </c>
      <c r="H105" s="118">
        <v>2.8576999999999999</v>
      </c>
      <c r="I105" s="103">
        <f t="shared" si="10"/>
        <v>-0.48835610429464338</v>
      </c>
      <c r="J105" s="218">
        <f t="shared" si="12"/>
        <v>1.6343018905614647E-4</v>
      </c>
    </row>
    <row r="106" spans="3:10" x14ac:dyDescent="0.25">
      <c r="C106" s="79" t="s">
        <v>119</v>
      </c>
      <c r="D106" s="136">
        <f>SUM(D107:D109)</f>
        <v>28.906147000000001</v>
      </c>
      <c r="E106" s="132">
        <f>SUM(E107:E109)</f>
        <v>33.699624</v>
      </c>
      <c r="F106" s="155">
        <f t="shared" si="9"/>
        <v>0.1658289844025217</v>
      </c>
      <c r="G106" s="136">
        <f>SUM(G107:G109)</f>
        <v>180.89866087999999</v>
      </c>
      <c r="H106" s="132">
        <f>SUM(H107:H109)</f>
        <v>200.31078960000002</v>
      </c>
      <c r="I106" s="155">
        <f>(H106-G106)/G106</f>
        <v>0.10730941083570075</v>
      </c>
      <c r="J106" s="162">
        <f>SUM(J107:J109)</f>
        <v>0.99999999999999989</v>
      </c>
    </row>
    <row r="107" spans="3:10" x14ac:dyDescent="0.25">
      <c r="C107" s="70" t="s">
        <v>101</v>
      </c>
      <c r="D107" s="110">
        <v>24.523652999999999</v>
      </c>
      <c r="E107" s="111">
        <v>26.392592</v>
      </c>
      <c r="F107" s="102">
        <f t="shared" si="9"/>
        <v>7.6209649516733952E-2</v>
      </c>
      <c r="G107" s="91">
        <v>143.352923</v>
      </c>
      <c r="H107" s="92">
        <v>151.04884700000002</v>
      </c>
      <c r="I107" s="102">
        <f>(H107-G107)/G107</f>
        <v>5.3685155760653858E-2</v>
      </c>
      <c r="J107" s="163">
        <f>(H107/$H$106)</f>
        <v>0.75407244563125619</v>
      </c>
    </row>
    <row r="108" spans="3:10" x14ac:dyDescent="0.25">
      <c r="C108" s="66" t="s">
        <v>93</v>
      </c>
      <c r="D108" s="95">
        <v>4.3204539999999998</v>
      </c>
      <c r="E108" s="96">
        <v>7.2895320000000003</v>
      </c>
      <c r="F108" s="105">
        <f t="shared" si="9"/>
        <v>0.68721435293605737</v>
      </c>
      <c r="G108" s="93">
        <v>36.838597879999995</v>
      </c>
      <c r="H108" s="94">
        <v>48.985242599999999</v>
      </c>
      <c r="I108" s="105">
        <f>(H108-G108)/G108</f>
        <v>0.32972603245017984</v>
      </c>
      <c r="J108" s="164">
        <f>(H108/$H$106)</f>
        <v>0.24454620092017249</v>
      </c>
    </row>
    <row r="109" spans="3:10" x14ac:dyDescent="0.25">
      <c r="C109" s="69" t="s">
        <v>99</v>
      </c>
      <c r="D109" s="216">
        <v>6.2039999999999998E-2</v>
      </c>
      <c r="E109" s="217">
        <v>1.7500000000000002E-2</v>
      </c>
      <c r="F109" s="107">
        <f t="shared" si="9"/>
        <v>-0.71792392005157957</v>
      </c>
      <c r="G109" s="117">
        <v>0.7071400000000001</v>
      </c>
      <c r="H109" s="219">
        <v>0.27670000000000006</v>
      </c>
      <c r="I109" s="107">
        <f>(H109-G109)/G109</f>
        <v>-0.60870548971915039</v>
      </c>
      <c r="J109" s="176">
        <f>(H109/$H$106)</f>
        <v>1.3813534485712998E-3</v>
      </c>
    </row>
    <row r="110" spans="3:10" x14ac:dyDescent="0.25">
      <c r="C110" s="79" t="s">
        <v>120</v>
      </c>
      <c r="D110" s="136">
        <f>SUM(D111:D112)</f>
        <v>24.351747</v>
      </c>
      <c r="E110" s="132">
        <f>SUM(E111:E112)</f>
        <v>23.790514999999999</v>
      </c>
      <c r="F110" s="155">
        <f t="shared" si="9"/>
        <v>-2.3046888586679238E-2</v>
      </c>
      <c r="G110" s="136">
        <f>SUM(G111:G112)</f>
        <v>218.61998299999999</v>
      </c>
      <c r="H110" s="132">
        <f>SUM(H111:H112)</f>
        <v>187.00514900000002</v>
      </c>
      <c r="I110" s="155">
        <f t="shared" ref="I110:I118" si="13">(H110-G110)/G110</f>
        <v>-0.14461090686298322</v>
      </c>
      <c r="J110" s="162">
        <f>SUM(J111:J112)</f>
        <v>1</v>
      </c>
    </row>
    <row r="111" spans="3:10" x14ac:dyDescent="0.25">
      <c r="C111" s="70" t="s">
        <v>96</v>
      </c>
      <c r="D111" s="110">
        <v>15.144987</v>
      </c>
      <c r="E111" s="111">
        <v>12.751519999999999</v>
      </c>
      <c r="F111" s="102">
        <f t="shared" si="9"/>
        <v>-0.15803691346846327</v>
      </c>
      <c r="G111" s="91">
        <v>125.496005</v>
      </c>
      <c r="H111" s="92">
        <v>108.54335</v>
      </c>
      <c r="I111" s="102">
        <f t="shared" si="13"/>
        <v>-0.13508521645768717</v>
      </c>
      <c r="J111" s="163">
        <f>(H111/$H$110)</f>
        <v>0.58042973993192026</v>
      </c>
    </row>
    <row r="112" spans="3:10" x14ac:dyDescent="0.25">
      <c r="C112" s="69" t="s">
        <v>93</v>
      </c>
      <c r="D112" s="97">
        <v>9.2067599999999992</v>
      </c>
      <c r="E112" s="98">
        <v>11.038995</v>
      </c>
      <c r="F112" s="107">
        <f t="shared" si="9"/>
        <v>0.19900974935808047</v>
      </c>
      <c r="G112" s="117">
        <v>93.123978000000008</v>
      </c>
      <c r="H112" s="118">
        <v>78.461798999999999</v>
      </c>
      <c r="I112" s="107">
        <f t="shared" si="13"/>
        <v>-0.15744794536161252</v>
      </c>
      <c r="J112" s="176">
        <f>(H112/$H$110)</f>
        <v>0.41957026006807968</v>
      </c>
    </row>
    <row r="113" spans="3:10" x14ac:dyDescent="0.25">
      <c r="C113" s="79" t="s">
        <v>121</v>
      </c>
      <c r="D113" s="136">
        <f>SUM(D114:D116)</f>
        <v>3892.8888760000004</v>
      </c>
      <c r="E113" s="132">
        <f>SUM(E114:E116)</f>
        <v>2662.3643119999997</v>
      </c>
      <c r="F113" s="155">
        <f>(E113-D113)/D113</f>
        <v>-0.31609547644328922</v>
      </c>
      <c r="G113" s="136">
        <f>SUM(G114:G116)</f>
        <v>24751.531202800001</v>
      </c>
      <c r="H113" s="132">
        <f>SUM(H114:H116)</f>
        <v>26546.732107300002</v>
      </c>
      <c r="I113" s="155">
        <f t="shared" si="13"/>
        <v>7.2528882750369825E-2</v>
      </c>
      <c r="J113" s="162">
        <f>SUM(J114:J116)</f>
        <v>0.99999999999999989</v>
      </c>
    </row>
    <row r="114" spans="3:10" x14ac:dyDescent="0.25">
      <c r="C114" s="70" t="s">
        <v>102</v>
      </c>
      <c r="D114" s="110">
        <v>3808.8454650000003</v>
      </c>
      <c r="E114" s="111">
        <v>2585.6734189999997</v>
      </c>
      <c r="F114" s="102">
        <f>(E114-D114)/D114</f>
        <v>-0.3211398459821736</v>
      </c>
      <c r="G114" s="91">
        <v>24040.130985800002</v>
      </c>
      <c r="H114" s="92">
        <v>25906.0865175</v>
      </c>
      <c r="I114" s="102">
        <f t="shared" si="13"/>
        <v>7.7618359600543696E-2</v>
      </c>
      <c r="J114" s="163">
        <f>(H114/$H$113)</f>
        <v>0.97586725223991566</v>
      </c>
    </row>
    <row r="115" spans="3:10" x14ac:dyDescent="0.25">
      <c r="C115" s="66" t="s">
        <v>96</v>
      </c>
      <c r="D115" s="95">
        <v>74.836651000000003</v>
      </c>
      <c r="E115" s="96">
        <v>65.651898000000003</v>
      </c>
      <c r="F115" s="105">
        <f>(E115-D115)/D115</f>
        <v>-0.12273067911603902</v>
      </c>
      <c r="G115" s="93">
        <v>617.72745099999997</v>
      </c>
      <c r="H115" s="94">
        <v>536.07679599999994</v>
      </c>
      <c r="I115" s="105">
        <f t="shared" si="13"/>
        <v>-0.1321790943041643</v>
      </c>
      <c r="J115" s="164">
        <f>(H115/$H$113)</f>
        <v>2.0193701952964143E-2</v>
      </c>
    </row>
    <row r="116" spans="3:10" x14ac:dyDescent="0.25">
      <c r="C116" s="69" t="s">
        <v>93</v>
      </c>
      <c r="D116" s="97">
        <v>9.2067599999999992</v>
      </c>
      <c r="E116" s="98">
        <v>11.038995</v>
      </c>
      <c r="F116" s="107">
        <f>(E116-D116)/D116</f>
        <v>0.19900974935808047</v>
      </c>
      <c r="G116" s="117">
        <v>93.67276600000001</v>
      </c>
      <c r="H116" s="118">
        <v>104.56879379999999</v>
      </c>
      <c r="I116" s="107">
        <f t="shared" si="13"/>
        <v>0.11632012446392352</v>
      </c>
      <c r="J116" s="176">
        <f>(H116/$H$113)</f>
        <v>3.9390458071200769E-3</v>
      </c>
    </row>
    <row r="117" spans="3:10" x14ac:dyDescent="0.25">
      <c r="C117" s="79" t="s">
        <v>122</v>
      </c>
      <c r="D117" s="136">
        <f>SUM(D118)</f>
        <v>2.8652799999999998</v>
      </c>
      <c r="E117" s="132">
        <f>SUM(E118)</f>
        <v>4.7183190000000002</v>
      </c>
      <c r="F117" s="155">
        <f t="shared" ref="F117:F118" si="14">(E117-D117)/D117</f>
        <v>0.64672178635246835</v>
      </c>
      <c r="G117" s="171">
        <f>SUM(G118)</f>
        <v>24.201452</v>
      </c>
      <c r="H117" s="171">
        <f>SUM(H118)</f>
        <v>35.106030000000004</v>
      </c>
      <c r="I117" s="161">
        <f t="shared" si="13"/>
        <v>0.45057536217248473</v>
      </c>
      <c r="J117" s="162">
        <f>SUM(J118)</f>
        <v>1</v>
      </c>
    </row>
    <row r="118" spans="3:10" x14ac:dyDescent="0.25">
      <c r="C118" s="85" t="s">
        <v>93</v>
      </c>
      <c r="D118" s="192">
        <v>2.8652799999999998</v>
      </c>
      <c r="E118" s="193">
        <v>4.7183190000000002</v>
      </c>
      <c r="F118" s="159">
        <f t="shared" si="14"/>
        <v>0.64672178635246835</v>
      </c>
      <c r="G118" s="172">
        <v>24.201452</v>
      </c>
      <c r="H118" s="119">
        <v>35.106030000000004</v>
      </c>
      <c r="I118" s="120">
        <f t="shared" si="13"/>
        <v>0.45057536217248473</v>
      </c>
      <c r="J118" s="165">
        <f>(H118/$H$117)</f>
        <v>1</v>
      </c>
    </row>
    <row r="119" spans="3:10" ht="159" customHeight="1" x14ac:dyDescent="0.25">
      <c r="C119" s="250" t="s">
        <v>147</v>
      </c>
      <c r="D119" s="251"/>
      <c r="E119" s="251"/>
      <c r="F119" s="251"/>
      <c r="G119" s="251"/>
      <c r="H119" s="251"/>
      <c r="I119" s="251"/>
      <c r="J119" s="252"/>
    </row>
    <row r="120" spans="3:10" x14ac:dyDescent="0.25">
      <c r="D120" s="86"/>
      <c r="E120" s="86"/>
      <c r="F120" s="160"/>
    </row>
    <row r="121" spans="3:10" x14ac:dyDescent="0.25">
      <c r="F121" s="56"/>
    </row>
    <row r="122" spans="3:10" x14ac:dyDescent="0.25">
      <c r="F122" s="56"/>
    </row>
    <row r="123" spans="3:10" x14ac:dyDescent="0.25">
      <c r="F123" s="56"/>
    </row>
    <row r="124" spans="3:10" x14ac:dyDescent="0.25">
      <c r="F124" s="56"/>
    </row>
  </sheetData>
  <mergeCells count="5">
    <mergeCell ref="C3:J3"/>
    <mergeCell ref="C4:J4"/>
    <mergeCell ref="D8:F8"/>
    <mergeCell ref="G8:J8"/>
    <mergeCell ref="C119:J119"/>
  </mergeCells>
  <pageMargins left="0.7" right="0.7" top="0.75" bottom="0.75" header="0.3" footer="0.3"/>
  <pageSetup scale="3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S01.C01</vt:lpstr>
      <vt:lpstr>S01.C02</vt:lpstr>
      <vt:lpstr>S01.C03</vt:lpstr>
      <vt:lpstr>'S01.C01'!Área_de_impresión</vt:lpstr>
      <vt:lpstr>'S01.C02'!Área_de_impresión</vt:lpstr>
      <vt:lpstr>'S01.C03'!Área_de_impresión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LAURA ESPINOZA</dc:creator>
  <cp:lastModifiedBy>DEIVID JHONATAN RALIREZ RAMIREZ</cp:lastModifiedBy>
  <dcterms:created xsi:type="dcterms:W3CDTF">2026-08-27T16:30:44Z</dcterms:created>
  <dcterms:modified xsi:type="dcterms:W3CDTF">2026-10-16T21:07:35Z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{002421EE-CDE2-4951-8CA0-C978F8441184}</vt:lpwstr>
  </property>
</Properties>
</file>