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1. MINEM\1. BEM 2025\1. SECCION PROD METALICA\2026\1. ENERO\4. CUADROS ESTADISTICOS\"/>
    </mc:Choice>
  </mc:AlternateContent>
  <bookViews>
    <workbookView xWindow="-120" yWindow="-120" windowWidth="29040" windowHeight="15720"/>
  </bookViews>
  <sheets>
    <sheet name="S01.C01" sheetId="1" r:id="rId1"/>
    <sheet name="S01.C02" sheetId="2" r:id="rId2"/>
    <sheet name="S01.C03" sheetId="3" r:id="rId3"/>
  </sheets>
  <definedNames>
    <definedName name="_xlnm._FilterDatabase" localSheetId="1" hidden="1">'S01.C02'!$C$9:$D$109</definedName>
    <definedName name="_xlnm._FilterDatabase" localSheetId="2" hidden="1">'S01.C03'!$C$11:$D$119</definedName>
    <definedName name="_xlnm.Print_Area" localSheetId="0">'S01.C01'!$A$1:$Q$61</definedName>
    <definedName name="_xlnm.Print_Area" localSheetId="1">'S01.C02'!$B$2:$H$110</definedName>
    <definedName name="_xlnm.Print_Area" localSheetId="2">'S01.C03'!$B$2:$H$120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TI_2" localSheetId="0">#REF!</definedName>
    <definedName name="OTI_2" localSheetId="1">#REF!</definedName>
    <definedName name="OTI_2" localSheetId="2">#REF!</definedName>
    <definedName name="OTI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6" i="3" l="1"/>
  <c r="F86" i="3" l="1"/>
  <c r="G56" i="3"/>
  <c r="G43" i="3"/>
  <c r="F43" i="3"/>
  <c r="G25" i="3"/>
  <c r="F25" i="3"/>
  <c r="F72" i="3"/>
  <c r="F52" i="2" l="1"/>
  <c r="Q38" i="1"/>
  <c r="Q35" i="1"/>
  <c r="Q36" i="1"/>
  <c r="E37" i="1" l="1"/>
  <c r="F37" i="1"/>
  <c r="G37" i="1"/>
  <c r="H37" i="1"/>
  <c r="I37" i="1"/>
  <c r="J37" i="1"/>
  <c r="K37" i="1"/>
  <c r="L37" i="1"/>
  <c r="M37" i="1"/>
  <c r="N37" i="1"/>
  <c r="O37" i="1"/>
  <c r="P37" i="1"/>
  <c r="D37" i="1"/>
  <c r="E74" i="2" l="1"/>
  <c r="D74" i="2"/>
  <c r="D91" i="3" l="1"/>
  <c r="E91" i="3"/>
  <c r="L47" i="1" l="1"/>
  <c r="F69" i="2"/>
  <c r="E107" i="2" l="1"/>
  <c r="G108" i="2" s="1"/>
  <c r="D107" i="2"/>
  <c r="I47" i="1"/>
  <c r="F96" i="2" l="1"/>
  <c r="F95" i="2"/>
  <c r="F94" i="2"/>
  <c r="F93" i="2"/>
  <c r="F92" i="2"/>
  <c r="Q37" i="1"/>
  <c r="F118" i="3"/>
  <c r="E117" i="3"/>
  <c r="G118" i="3" s="1"/>
  <c r="G117" i="3" s="1"/>
  <c r="D117" i="3"/>
  <c r="F116" i="3"/>
  <c r="F115" i="3"/>
  <c r="F114" i="3"/>
  <c r="E113" i="3"/>
  <c r="G116" i="3" s="1"/>
  <c r="D113" i="3"/>
  <c r="F112" i="3"/>
  <c r="F111" i="3"/>
  <c r="E110" i="3"/>
  <c r="G112" i="3" s="1"/>
  <c r="D110" i="3"/>
  <c r="F109" i="3"/>
  <c r="F108" i="3"/>
  <c r="F107" i="3"/>
  <c r="E106" i="3"/>
  <c r="G109" i="3" s="1"/>
  <c r="D106" i="3"/>
  <c r="F105" i="3"/>
  <c r="F103" i="3"/>
  <c r="F102" i="3"/>
  <c r="F101" i="3"/>
  <c r="F100" i="3"/>
  <c r="E99" i="3"/>
  <c r="G104" i="3" s="1"/>
  <c r="D99" i="3"/>
  <c r="F98" i="3"/>
  <c r="F97" i="3"/>
  <c r="F96" i="3"/>
  <c r="F95" i="3"/>
  <c r="F94" i="3"/>
  <c r="E93" i="3"/>
  <c r="G97" i="3" s="1"/>
  <c r="D93" i="3"/>
  <c r="F92" i="3"/>
  <c r="G92" i="3"/>
  <c r="G91" i="3" s="1"/>
  <c r="F90" i="3"/>
  <c r="E89" i="3"/>
  <c r="D89" i="3"/>
  <c r="F87" i="3"/>
  <c r="F84" i="3"/>
  <c r="F83" i="3"/>
  <c r="F82" i="3"/>
  <c r="F81" i="3"/>
  <c r="F80" i="3"/>
  <c r="F79" i="3"/>
  <c r="F78" i="3"/>
  <c r="F77" i="3"/>
  <c r="E76" i="3"/>
  <c r="G84" i="3" s="1"/>
  <c r="D76" i="3"/>
  <c r="F73" i="3"/>
  <c r="F71" i="3"/>
  <c r="F70" i="3"/>
  <c r="F69" i="3"/>
  <c r="F68" i="3"/>
  <c r="F67" i="3"/>
  <c r="F66" i="3"/>
  <c r="F65" i="3"/>
  <c r="F64" i="3"/>
  <c r="F63" i="3"/>
  <c r="F62" i="3"/>
  <c r="F61" i="3"/>
  <c r="F60" i="3"/>
  <c r="F59" i="3"/>
  <c r="E58" i="3"/>
  <c r="G68" i="3" s="1"/>
  <c r="D58" i="3"/>
  <c r="F54" i="3"/>
  <c r="F53" i="3"/>
  <c r="F52" i="3"/>
  <c r="F51" i="3"/>
  <c r="F50" i="3"/>
  <c r="F49" i="3"/>
  <c r="F48" i="3"/>
  <c r="F47" i="3"/>
  <c r="F46" i="3"/>
  <c r="E45" i="3"/>
  <c r="D45" i="3"/>
  <c r="F42" i="3"/>
  <c r="F41" i="3"/>
  <c r="F40" i="3"/>
  <c r="F39" i="3"/>
  <c r="F38" i="3"/>
  <c r="F37" i="3"/>
  <c r="F36" i="3"/>
  <c r="F35" i="3"/>
  <c r="F34" i="3"/>
  <c r="F33" i="3"/>
  <c r="F32" i="3"/>
  <c r="F31" i="3"/>
  <c r="F30" i="3"/>
  <c r="F29" i="3"/>
  <c r="F28" i="3"/>
  <c r="E27" i="3"/>
  <c r="G37" i="3" s="1"/>
  <c r="D27" i="3"/>
  <c r="F24" i="3"/>
  <c r="F23" i="3"/>
  <c r="F22" i="3"/>
  <c r="F21" i="3"/>
  <c r="F20" i="3"/>
  <c r="F19" i="3"/>
  <c r="F18" i="3"/>
  <c r="F17" i="3"/>
  <c r="F16" i="3"/>
  <c r="F15" i="3"/>
  <c r="F14" i="3"/>
  <c r="F13" i="3"/>
  <c r="F12" i="3"/>
  <c r="E11" i="3"/>
  <c r="G21" i="3" s="1"/>
  <c r="D11" i="3"/>
  <c r="F108" i="2"/>
  <c r="F106" i="2"/>
  <c r="F105" i="2"/>
  <c r="F104" i="2"/>
  <c r="F103" i="2"/>
  <c r="E102" i="2"/>
  <c r="G106" i="2" s="1"/>
  <c r="D102" i="2"/>
  <c r="F101" i="2"/>
  <c r="F100" i="2"/>
  <c r="F99" i="2"/>
  <c r="E98" i="2"/>
  <c r="G101" i="2" s="1"/>
  <c r="D98" i="2"/>
  <c r="E91" i="2"/>
  <c r="D91" i="2"/>
  <c r="F88" i="2"/>
  <c r="F86" i="2"/>
  <c r="F85" i="2"/>
  <c r="F84" i="2"/>
  <c r="F83" i="2"/>
  <c r="E82" i="2"/>
  <c r="D82" i="2"/>
  <c r="F81" i="2"/>
  <c r="F80" i="2"/>
  <c r="F79" i="2"/>
  <c r="F78" i="2"/>
  <c r="F77" i="2"/>
  <c r="E76" i="2"/>
  <c r="G78" i="2" s="1"/>
  <c r="D76" i="2"/>
  <c r="F75" i="2"/>
  <c r="G75" i="2"/>
  <c r="G74" i="2" s="1"/>
  <c r="F73" i="2"/>
  <c r="F72" i="2"/>
  <c r="E71" i="2"/>
  <c r="G73" i="2" s="1"/>
  <c r="D71" i="2"/>
  <c r="F70" i="2"/>
  <c r="F68" i="2"/>
  <c r="F67" i="2"/>
  <c r="F66" i="2"/>
  <c r="F65" i="2"/>
  <c r="F64" i="2"/>
  <c r="F63" i="2"/>
  <c r="F62" i="2"/>
  <c r="F61" i="2"/>
  <c r="F60" i="2"/>
  <c r="E59" i="2"/>
  <c r="G61" i="2" s="1"/>
  <c r="D59" i="2"/>
  <c r="F58" i="2"/>
  <c r="F57" i="2"/>
  <c r="F56" i="2"/>
  <c r="F55" i="2"/>
  <c r="F54" i="2"/>
  <c r="F53" i="2"/>
  <c r="F51" i="2"/>
  <c r="F50" i="2"/>
  <c r="F49" i="2"/>
  <c r="F48" i="2"/>
  <c r="E47" i="2"/>
  <c r="G57" i="2" s="1"/>
  <c r="D47" i="2"/>
  <c r="F46" i="2"/>
  <c r="F45" i="2"/>
  <c r="F44" i="2"/>
  <c r="F43" i="2"/>
  <c r="F42" i="2"/>
  <c r="F41" i="2"/>
  <c r="F40" i="2"/>
  <c r="F39" i="2"/>
  <c r="F38" i="2"/>
  <c r="F37" i="2"/>
  <c r="F36" i="2"/>
  <c r="E35" i="2"/>
  <c r="G37" i="2" s="1"/>
  <c r="D35" i="2"/>
  <c r="F34" i="2"/>
  <c r="F33" i="2"/>
  <c r="F32" i="2"/>
  <c r="F31" i="2"/>
  <c r="F30" i="2"/>
  <c r="F29" i="2"/>
  <c r="F28" i="2"/>
  <c r="F27" i="2"/>
  <c r="F26" i="2"/>
  <c r="F25" i="2"/>
  <c r="F24" i="2"/>
  <c r="E23" i="2"/>
  <c r="G28" i="2" s="1"/>
  <c r="D23" i="2"/>
  <c r="F22" i="2"/>
  <c r="F21" i="2"/>
  <c r="F20" i="2"/>
  <c r="F19" i="2"/>
  <c r="F18" i="2"/>
  <c r="F17" i="2"/>
  <c r="F16" i="2"/>
  <c r="F15" i="2"/>
  <c r="F14" i="2"/>
  <c r="F13" i="2"/>
  <c r="F12" i="2"/>
  <c r="E11" i="2"/>
  <c r="G12" i="2" s="1"/>
  <c r="D11" i="2"/>
  <c r="P47" i="1"/>
  <c r="O47" i="1"/>
  <c r="N47" i="1"/>
  <c r="M47" i="1"/>
  <c r="K47" i="1"/>
  <c r="J47" i="1"/>
  <c r="H47" i="1"/>
  <c r="G47" i="1"/>
  <c r="F47" i="1"/>
  <c r="E47" i="1"/>
  <c r="D47" i="1"/>
  <c r="P42" i="1"/>
  <c r="O42" i="1"/>
  <c r="N42" i="1"/>
  <c r="M42" i="1"/>
  <c r="L42" i="1"/>
  <c r="K42" i="1"/>
  <c r="J42" i="1"/>
  <c r="I42" i="1"/>
  <c r="H42" i="1"/>
  <c r="G42" i="1"/>
  <c r="F42" i="1"/>
  <c r="E42" i="1"/>
  <c r="D42" i="1"/>
  <c r="Q34" i="1"/>
  <c r="Q33" i="1"/>
  <c r="Q32" i="1"/>
  <c r="Q31" i="1"/>
  <c r="Q30" i="1"/>
  <c r="Q29" i="1"/>
  <c r="Q28" i="1"/>
  <c r="Q27" i="1"/>
  <c r="Q26" i="1"/>
  <c r="Q25" i="1"/>
  <c r="Q24" i="1"/>
  <c r="Q23" i="1"/>
  <c r="Q22" i="1"/>
  <c r="G87" i="2" l="1"/>
  <c r="G96" i="2"/>
  <c r="F91" i="2"/>
  <c r="F11" i="2"/>
  <c r="F45" i="3"/>
  <c r="F98" i="2"/>
  <c r="G43" i="2"/>
  <c r="G103" i="2"/>
  <c r="G65" i="3"/>
  <c r="F58" i="3"/>
  <c r="G74" i="3"/>
  <c r="G39" i="2"/>
  <c r="G62" i="2"/>
  <c r="G53" i="2"/>
  <c r="G18" i="2"/>
  <c r="F91" i="3"/>
  <c r="G50" i="3"/>
  <c r="G51" i="3"/>
  <c r="G86" i="3"/>
  <c r="G52" i="3"/>
  <c r="F117" i="3"/>
  <c r="G46" i="3"/>
  <c r="G69" i="3"/>
  <c r="F27" i="3"/>
  <c r="G79" i="3"/>
  <c r="F89" i="3"/>
  <c r="G53" i="3"/>
  <c r="G70" i="3"/>
  <c r="G59" i="3"/>
  <c r="G47" i="3"/>
  <c r="G54" i="3"/>
  <c r="G63" i="3"/>
  <c r="G90" i="3"/>
  <c r="G89" i="3" s="1"/>
  <c r="G48" i="3"/>
  <c r="G55" i="3"/>
  <c r="G64" i="3"/>
  <c r="G49" i="3"/>
  <c r="F102" i="2"/>
  <c r="G99" i="2"/>
  <c r="G79" i="2"/>
  <c r="G80" i="2"/>
  <c r="G72" i="2"/>
  <c r="G71" i="2" s="1"/>
  <c r="G58" i="2"/>
  <c r="G38" i="2"/>
  <c r="G30" i="2"/>
  <c r="G15" i="2"/>
  <c r="G16" i="2"/>
  <c r="G13" i="3"/>
  <c r="F23" i="2"/>
  <c r="F47" i="2"/>
  <c r="G63" i="2"/>
  <c r="F107" i="2"/>
  <c r="G16" i="3"/>
  <c r="G23" i="3"/>
  <c r="G54" i="2"/>
  <c r="G22" i="3"/>
  <c r="G92" i="2"/>
  <c r="F93" i="3"/>
  <c r="F99" i="3"/>
  <c r="F113" i="3"/>
  <c r="G24" i="2"/>
  <c r="G48" i="2"/>
  <c r="F71" i="2"/>
  <c r="G93" i="2"/>
  <c r="G80" i="3"/>
  <c r="G100" i="3"/>
  <c r="G49" i="2"/>
  <c r="G94" i="2"/>
  <c r="G101" i="3"/>
  <c r="G34" i="2"/>
  <c r="G17" i="3"/>
  <c r="G24" i="3"/>
  <c r="G19" i="2"/>
  <c r="G32" i="3"/>
  <c r="G18" i="3"/>
  <c r="F11" i="3"/>
  <c r="G102" i="3"/>
  <c r="G13" i="2"/>
  <c r="G20" i="2"/>
  <c r="G44" i="2"/>
  <c r="G67" i="2"/>
  <c r="G19" i="3"/>
  <c r="G98" i="3"/>
  <c r="G12" i="3"/>
  <c r="G14" i="2"/>
  <c r="G29" i="2"/>
  <c r="G52" i="2"/>
  <c r="G68" i="2"/>
  <c r="F74" i="2"/>
  <c r="G20" i="3"/>
  <c r="G85" i="3"/>
  <c r="G105" i="3"/>
  <c r="F106" i="3"/>
  <c r="G25" i="2"/>
  <c r="F76" i="2"/>
  <c r="G39" i="3"/>
  <c r="F76" i="3"/>
  <c r="G114" i="3"/>
  <c r="G21" i="2"/>
  <c r="F35" i="2"/>
  <c r="G40" i="2"/>
  <c r="F59" i="2"/>
  <c r="G64" i="2"/>
  <c r="G95" i="2"/>
  <c r="G100" i="2"/>
  <c r="G104" i="2"/>
  <c r="G107" i="2"/>
  <c r="G14" i="3"/>
  <c r="G34" i="3"/>
  <c r="G60" i="3"/>
  <c r="G87" i="3"/>
  <c r="G81" i="2"/>
  <c r="G28" i="3"/>
  <c r="G45" i="2"/>
  <c r="G94" i="3"/>
  <c r="G29" i="3"/>
  <c r="G71" i="3"/>
  <c r="G26" i="2"/>
  <c r="G46" i="2"/>
  <c r="G50" i="2"/>
  <c r="G70" i="2"/>
  <c r="G84" i="2"/>
  <c r="G40" i="3"/>
  <c r="G66" i="3"/>
  <c r="G82" i="3"/>
  <c r="G95" i="3"/>
  <c r="G107" i="3"/>
  <c r="G111" i="3"/>
  <c r="G110" i="3" s="1"/>
  <c r="G115" i="3"/>
  <c r="F110" i="3"/>
  <c r="G81" i="3"/>
  <c r="G55" i="2"/>
  <c r="G22" i="2"/>
  <c r="G41" i="2"/>
  <c r="G65" i="2"/>
  <c r="G77" i="2"/>
  <c r="G105" i="2"/>
  <c r="G15" i="3"/>
  <c r="G35" i="3"/>
  <c r="G61" i="3"/>
  <c r="G77" i="3"/>
  <c r="G83" i="2"/>
  <c r="G31" i="2"/>
  <c r="G17" i="2"/>
  <c r="G32" i="2"/>
  <c r="G36" i="2"/>
  <c r="G56" i="2"/>
  <c r="G60" i="2"/>
  <c r="G30" i="3"/>
  <c r="G72" i="3"/>
  <c r="G103" i="3"/>
  <c r="G69" i="2"/>
  <c r="G27" i="2"/>
  <c r="G51" i="2"/>
  <c r="G85" i="2"/>
  <c r="G41" i="3"/>
  <c r="G67" i="3"/>
  <c r="G83" i="3"/>
  <c r="G96" i="3"/>
  <c r="G108" i="3"/>
  <c r="G88" i="2"/>
  <c r="G42" i="2"/>
  <c r="G66" i="2"/>
  <c r="G36" i="3"/>
  <c r="G62" i="3"/>
  <c r="G73" i="3"/>
  <c r="G78" i="3"/>
  <c r="F82" i="2"/>
  <c r="G33" i="3"/>
  <c r="G33" i="2"/>
  <c r="G31" i="3"/>
  <c r="G38" i="3"/>
  <c r="G86" i="2"/>
  <c r="G42" i="3"/>
  <c r="G98" i="2" l="1"/>
  <c r="G99" i="3"/>
  <c r="G45" i="3"/>
  <c r="G11" i="2"/>
  <c r="G11" i="3"/>
  <c r="G35" i="2"/>
  <c r="G91" i="2"/>
  <c r="G93" i="3"/>
  <c r="G82" i="2"/>
  <c r="G58" i="3"/>
  <c r="G27" i="3"/>
  <c r="G23" i="2"/>
  <c r="G106" i="3"/>
  <c r="G76" i="2"/>
  <c r="G113" i="3"/>
  <c r="G76" i="3"/>
  <c r="G47" i="2"/>
  <c r="G102" i="2"/>
  <c r="G59" i="2"/>
</calcChain>
</file>

<file path=xl/sharedStrings.xml><?xml version="1.0" encoding="utf-8"?>
<sst xmlns="http://schemas.openxmlformats.org/spreadsheetml/2006/main" count="380" uniqueCount="140">
  <si>
    <t>SECCIÓN N° 01: PRODUCCIÓN METÁLICA</t>
  </si>
  <si>
    <t>METALLIC MINERAL PRODUCTION</t>
  </si>
  <si>
    <t>CUADRO N° 01. VOLUMEN DE LA PRODUCCIÓN MINERA METÁLICA</t>
  </si>
  <si>
    <t>VOLUME OF METALLIC MINING PRODUCTION</t>
  </si>
  <si>
    <r>
      <t xml:space="preserve">PERIODO
</t>
    </r>
    <r>
      <rPr>
        <i/>
        <sz val="10"/>
        <color theme="1"/>
        <rFont val="Calibri Light"/>
        <family val="2"/>
        <scheme val="major"/>
      </rPr>
      <t>Period</t>
    </r>
  </si>
  <si>
    <r>
      <t xml:space="preserve">COBRE
</t>
    </r>
    <r>
      <rPr>
        <i/>
        <sz val="10"/>
        <color theme="1"/>
        <rFont val="Calibri Light"/>
        <family val="2"/>
        <scheme val="major"/>
      </rPr>
      <t>Copper</t>
    </r>
  </si>
  <si>
    <r>
      <t xml:space="preserve">ORO*
</t>
    </r>
    <r>
      <rPr>
        <i/>
        <sz val="10"/>
        <color theme="1"/>
        <rFont val="Calibri Light"/>
        <family val="2"/>
        <scheme val="major"/>
      </rPr>
      <t>Gold</t>
    </r>
  </si>
  <si>
    <r>
      <t xml:space="preserve">ZINC
</t>
    </r>
    <r>
      <rPr>
        <i/>
        <sz val="10"/>
        <color theme="1"/>
        <rFont val="Calibri Light"/>
        <family val="2"/>
        <scheme val="major"/>
      </rPr>
      <t>Zinc</t>
    </r>
  </si>
  <si>
    <r>
      <t xml:space="preserve">PLATA
</t>
    </r>
    <r>
      <rPr>
        <i/>
        <sz val="10"/>
        <color theme="1"/>
        <rFont val="Calibri Light"/>
        <family val="2"/>
        <scheme val="major"/>
      </rPr>
      <t>Silver</t>
    </r>
  </si>
  <si>
    <r>
      <t xml:space="preserve">PLOMO
</t>
    </r>
    <r>
      <rPr>
        <i/>
        <sz val="10"/>
        <color theme="1"/>
        <rFont val="Calibri Light"/>
        <family val="2"/>
        <scheme val="major"/>
      </rPr>
      <t>Lead</t>
    </r>
  </si>
  <si>
    <r>
      <t xml:space="preserve">HIERRO
</t>
    </r>
    <r>
      <rPr>
        <i/>
        <sz val="10"/>
        <color theme="1"/>
        <rFont val="Calibri Light"/>
        <family val="2"/>
        <scheme val="major"/>
      </rPr>
      <t>Iron</t>
    </r>
  </si>
  <si>
    <r>
      <t xml:space="preserve">ESTAÑO
</t>
    </r>
    <r>
      <rPr>
        <i/>
        <sz val="10"/>
        <color theme="1"/>
        <rFont val="Calibri Light"/>
        <family val="2"/>
        <scheme val="major"/>
      </rPr>
      <t>Tin</t>
    </r>
  </si>
  <si>
    <r>
      <t xml:space="preserve">MOLIBDENO
</t>
    </r>
    <r>
      <rPr>
        <i/>
        <sz val="10"/>
        <color theme="1"/>
        <rFont val="Calibri Light"/>
        <family val="2"/>
        <scheme val="major"/>
      </rPr>
      <t>Molybdenum</t>
    </r>
  </si>
  <si>
    <r>
      <t xml:space="preserve">ARSÉNICO
</t>
    </r>
    <r>
      <rPr>
        <i/>
        <sz val="10"/>
        <color theme="1"/>
        <rFont val="Calibri Light"/>
        <family val="2"/>
        <scheme val="major"/>
      </rPr>
      <t>Arsenic</t>
    </r>
  </si>
  <si>
    <r>
      <t xml:space="preserve">BISMUTO
</t>
    </r>
    <r>
      <rPr>
        <i/>
        <sz val="10"/>
        <color theme="1"/>
        <rFont val="Calibri Light"/>
        <family val="2"/>
        <scheme val="major"/>
      </rPr>
      <t>Bismuth</t>
    </r>
  </si>
  <si>
    <r>
      <t xml:space="preserve">CADMIO
</t>
    </r>
    <r>
      <rPr>
        <i/>
        <sz val="10"/>
        <color theme="1"/>
        <rFont val="Calibri Light"/>
        <family val="2"/>
        <scheme val="major"/>
      </rPr>
      <t>Cadmium</t>
    </r>
  </si>
  <si>
    <r>
      <t xml:space="preserve">MANGANESO
</t>
    </r>
    <r>
      <rPr>
        <i/>
        <sz val="10"/>
        <color theme="1"/>
        <rFont val="Calibri Light"/>
        <family val="2"/>
        <scheme val="major"/>
      </rPr>
      <t>Manganese</t>
    </r>
  </si>
  <si>
    <r>
      <t xml:space="preserve">MAGNESIO
</t>
    </r>
    <r>
      <rPr>
        <i/>
        <sz val="10"/>
        <color theme="1"/>
        <rFont val="Calibri Light"/>
        <family val="2"/>
        <scheme val="major"/>
      </rPr>
      <t>Magnesium</t>
    </r>
  </si>
  <si>
    <r>
      <t xml:space="preserve">TMF
</t>
    </r>
    <r>
      <rPr>
        <i/>
        <sz val="8"/>
        <color rgb="FF000000"/>
        <rFont val="Calibri Light"/>
        <family val="2"/>
        <scheme val="major"/>
      </rPr>
      <t>FTM</t>
    </r>
  </si>
  <si>
    <r>
      <t xml:space="preserve">gf
</t>
    </r>
    <r>
      <rPr>
        <i/>
        <sz val="8"/>
        <color rgb="FF000000"/>
        <rFont val="Calibri Light"/>
        <family val="2"/>
        <scheme val="major"/>
      </rPr>
      <t>fg</t>
    </r>
  </si>
  <si>
    <r>
      <t xml:space="preserve">kgf
</t>
    </r>
    <r>
      <rPr>
        <i/>
        <sz val="8"/>
        <color rgb="FF000000"/>
        <rFont val="Calibri Light"/>
        <family val="2"/>
        <scheme val="major"/>
      </rPr>
      <t>fkg</t>
    </r>
  </si>
  <si>
    <t>N/D</t>
  </si>
  <si>
    <r>
      <t xml:space="preserve">Ene. / </t>
    </r>
    <r>
      <rPr>
        <i/>
        <sz val="10"/>
        <color rgb="FF000000"/>
        <rFont val="Calibri Light"/>
        <family val="2"/>
        <scheme val="major"/>
      </rPr>
      <t>Jan.</t>
    </r>
  </si>
  <si>
    <t>Var. %</t>
  </si>
  <si>
    <r>
      <t>VARIACIÓN RESPECTO AL MES ANTERIOR /</t>
    </r>
    <r>
      <rPr>
        <i/>
        <sz val="10"/>
        <color rgb="FF000000"/>
        <rFont val="Calibri Light"/>
        <family val="2"/>
        <scheme val="major"/>
      </rPr>
      <t xml:space="preserve"> </t>
    </r>
    <r>
      <rPr>
        <i/>
        <sz val="8"/>
        <color rgb="FF000000"/>
        <rFont val="Calibri Light"/>
        <family val="2"/>
        <scheme val="major"/>
      </rPr>
      <t>VARIATION COMPARED TO THE PREVIOUS MONTH</t>
    </r>
  </si>
  <si>
    <r>
      <t xml:space="preserve">EVOLUCIÓN ANUAL DE LA PRODUCCIÓN DE COBRE / </t>
    </r>
    <r>
      <rPr>
        <i/>
        <sz val="8"/>
        <color rgb="FF000000"/>
        <rFont val="Calibri Light"/>
        <family val="2"/>
        <scheme val="major"/>
      </rPr>
      <t>ANNUAL EVOLUTION OF COPPER PRODUCTION</t>
    </r>
    <r>
      <rPr>
        <b/>
        <sz val="10"/>
        <color indexed="8"/>
        <rFont val="Calibri Light"/>
        <family val="2"/>
        <scheme val="major"/>
      </rPr>
      <t xml:space="preserve">
(MILES DE TMF) / </t>
    </r>
    <r>
      <rPr>
        <i/>
        <sz val="8"/>
        <color rgb="FF000000"/>
        <rFont val="Calibri Light"/>
        <family val="2"/>
        <scheme val="major"/>
      </rPr>
      <t>Thousands of FMT</t>
    </r>
  </si>
  <si>
    <t>CUADRO N° 02: PRODUCCIÓN MINERA METÁLICA SEGÚN EMPRESA</t>
  </si>
  <si>
    <t>METALLIC MINING PRODUCTION BY COMPANY</t>
  </si>
  <si>
    <r>
      <t xml:space="preserve">PRODUCTO / EMPRESA
</t>
    </r>
    <r>
      <rPr>
        <i/>
        <sz val="8"/>
        <color theme="1"/>
        <rFont val="Calibri Light"/>
        <family val="2"/>
        <scheme val="major"/>
      </rPr>
      <t>PRODUCT / COMPANY</t>
    </r>
  </si>
  <si>
    <t>Part. %</t>
  </si>
  <si>
    <r>
      <rPr>
        <b/>
        <sz val="10"/>
        <color theme="1"/>
        <rFont val="Calibri Light"/>
        <family val="2"/>
        <scheme val="major"/>
      </rPr>
      <t>COBRE (TMF)</t>
    </r>
    <r>
      <rPr>
        <sz val="10"/>
        <color theme="1"/>
        <rFont val="Calibri Light"/>
        <family val="2"/>
        <scheme val="major"/>
      </rPr>
      <t xml:space="preserve"> / </t>
    </r>
    <r>
      <rPr>
        <i/>
        <sz val="9"/>
        <color theme="1"/>
        <rFont val="Calibri Light"/>
        <family val="2"/>
        <scheme val="major"/>
      </rPr>
      <t>Copper (FTM)</t>
    </r>
  </si>
  <si>
    <t>SOUTHERN PERU COPPER CORPORATION SUCURSAL DEL PERU</t>
  </si>
  <si>
    <t>MINERA LAS BAMBAS S.A.</t>
  </si>
  <si>
    <t>COMPAÑIA MINERA ANTAMINA S.A.</t>
  </si>
  <si>
    <t>ANGLO AMERICAN QUELLAVECO S.A.</t>
  </si>
  <si>
    <t>MINERA CHINALCO PERU S.A.</t>
  </si>
  <si>
    <t>COMPAÑIA MINERA ANTAPACCAY S.A.</t>
  </si>
  <si>
    <t>HUDBAY PERU S.A.C.</t>
  </si>
  <si>
    <t>SOCIEDAD MINERA EL BROCAL S.A.A.</t>
  </si>
  <si>
    <r>
      <rPr>
        <b/>
        <sz val="11"/>
        <color theme="1"/>
        <rFont val="Calibri Light"/>
        <family val="2"/>
        <scheme val="major"/>
      </rPr>
      <t>ORO** (g finos)</t>
    </r>
    <r>
      <rPr>
        <sz val="11"/>
        <color theme="1"/>
        <rFont val="Calibri Light"/>
        <family val="2"/>
        <scheme val="major"/>
      </rPr>
      <t xml:space="preserve"> / </t>
    </r>
    <r>
      <rPr>
        <i/>
        <sz val="9"/>
        <color theme="1"/>
        <rFont val="Calibri Light"/>
        <family val="2"/>
        <scheme val="major"/>
      </rPr>
      <t>Gold (fg)</t>
    </r>
  </si>
  <si>
    <t>MINERA YANACOCHA S.R.L.</t>
  </si>
  <si>
    <t>COMPAÑIA MINERA PODEROSA S.A.</t>
  </si>
  <si>
    <t>-</t>
  </si>
  <si>
    <t>MINERA AURIFERA RETAMAS S.A.</t>
  </si>
  <si>
    <t>MINERA BOROO MISQUICHILCA S.A.</t>
  </si>
  <si>
    <t>COMPAÑIA MINERA ARES S.A.C.</t>
  </si>
  <si>
    <t>PALTARUMI S.A.C.</t>
  </si>
  <si>
    <t>SHAHUINDO S.A.C.</t>
  </si>
  <si>
    <t>MINERA VETA DORADA S.A.C.</t>
  </si>
  <si>
    <r>
      <t xml:space="preserve">ZINC (TMF) / </t>
    </r>
    <r>
      <rPr>
        <i/>
        <sz val="9"/>
        <color theme="1"/>
        <rFont val="Calibri Light"/>
        <family val="2"/>
        <scheme val="major"/>
      </rPr>
      <t>Zinc (FTM)</t>
    </r>
  </si>
  <si>
    <t>VOLCAN COMPAÑIA MINERA S.A.A.</t>
  </si>
  <si>
    <t>NEXA RESOURCES PERU S.A.A.</t>
  </si>
  <si>
    <t>NEXA RESOURCES EL PORVENIR S.A.C.</t>
  </si>
  <si>
    <t>MINERA SHOUXIN PERU S.A.</t>
  </si>
  <si>
    <t>COMPAÑIA MINERA CHUNGAR S.A.C.</t>
  </si>
  <si>
    <t>COMPAÑIA MINERA RAURA S.A.</t>
  </si>
  <si>
    <t>CATALINA HUANCA SOCIEDAD MINERA S.A.C.</t>
  </si>
  <si>
    <r>
      <t>PLATA (kg finos) /</t>
    </r>
    <r>
      <rPr>
        <i/>
        <sz val="9"/>
        <color theme="1"/>
        <rFont val="Calibri Light"/>
        <family val="2"/>
        <scheme val="major"/>
      </rPr>
      <t xml:space="preserve"> Silver (fkg)</t>
    </r>
  </si>
  <si>
    <t>COMPAÑIA DE MINAS BUENAVENTURA S.A.A.</t>
  </si>
  <si>
    <t>EMPRESA ADMINISTRADORA CERRO S.A.C.</t>
  </si>
  <si>
    <t>MARCOBRE S.A.C.</t>
  </si>
  <si>
    <r>
      <t xml:space="preserve">PLOMO (TMF) / </t>
    </r>
    <r>
      <rPr>
        <i/>
        <sz val="9"/>
        <color theme="1"/>
        <rFont val="Calibri Light"/>
        <family val="2"/>
        <scheme val="major"/>
      </rPr>
      <t>Lead (FTM)</t>
    </r>
  </si>
  <si>
    <t>COMPAÑIA MINERA KOLPA S.A.</t>
  </si>
  <si>
    <t>MINERA BATEAS S.A.C.</t>
  </si>
  <si>
    <t>COMPAÑIA MINERA LINCUNA S.A.</t>
  </si>
  <si>
    <r>
      <t xml:space="preserve">HIERRO (TMF) / </t>
    </r>
    <r>
      <rPr>
        <i/>
        <sz val="9"/>
        <color theme="1"/>
        <rFont val="Calibri Light"/>
        <family val="2"/>
        <scheme val="major"/>
      </rPr>
      <t>Iron (FTM)</t>
    </r>
  </si>
  <si>
    <t>SHOUGANG HIERRO PERU S.A.A.</t>
  </si>
  <si>
    <r>
      <t xml:space="preserve">ESTAÑO (TMF) / </t>
    </r>
    <r>
      <rPr>
        <i/>
        <sz val="9"/>
        <color theme="1"/>
        <rFont val="Calibri Light"/>
        <family val="2"/>
        <scheme val="major"/>
      </rPr>
      <t>Tin (FTM)</t>
    </r>
  </si>
  <si>
    <t>MINSUR S.A.</t>
  </si>
  <si>
    <r>
      <t xml:space="preserve">MOLIBDENO (TMF) / </t>
    </r>
    <r>
      <rPr>
        <i/>
        <sz val="9"/>
        <color theme="1"/>
        <rFont val="Calibri Light"/>
        <family val="2"/>
        <scheme val="major"/>
      </rPr>
      <t>Molybdenum (FTM)</t>
    </r>
  </si>
  <si>
    <t>SOCIEDAD MINERA CERRO VERDE S.A.A.</t>
  </si>
  <si>
    <r>
      <t>ARSÉNICO (TMF) /</t>
    </r>
    <r>
      <rPr>
        <i/>
        <sz val="9"/>
        <color theme="1"/>
        <rFont val="Calibri Light"/>
        <family val="2"/>
        <scheme val="major"/>
      </rPr>
      <t xml:space="preserve"> Arsenic (FTM)</t>
    </r>
  </si>
  <si>
    <t>CMC CRITICAL MINERALS CORPORATION S.A.C.</t>
  </si>
  <si>
    <t>+</t>
  </si>
  <si>
    <t>SOCIEDAD MINERA ANDEREAL S.A.C.</t>
  </si>
  <si>
    <t>GLORE PERU S.A.C</t>
  </si>
  <si>
    <t>EL PACIFICO DORADO S.A.C.</t>
  </si>
  <si>
    <r>
      <t xml:space="preserve">BISMUTO (TMF) / </t>
    </r>
    <r>
      <rPr>
        <i/>
        <sz val="9"/>
        <color theme="1"/>
        <rFont val="Calibri Light"/>
        <family val="2"/>
        <scheme val="major"/>
      </rPr>
      <t>Bismuth (FTM)</t>
    </r>
  </si>
  <si>
    <t>NORCOBRE S.A.C.</t>
  </si>
  <si>
    <t>NEXA RESOURCES ATACOCHA S.A.A.</t>
  </si>
  <si>
    <r>
      <t>CADMIO (TMF) /</t>
    </r>
    <r>
      <rPr>
        <i/>
        <sz val="9"/>
        <color theme="1"/>
        <rFont val="Calibri Light"/>
        <family val="2"/>
        <scheme val="major"/>
      </rPr>
      <t xml:space="preserve"> Cadmium (FTM)</t>
    </r>
  </si>
  <si>
    <r>
      <t xml:space="preserve">MANGANESO (TMF) / </t>
    </r>
    <r>
      <rPr>
        <i/>
        <sz val="9"/>
        <color theme="1"/>
        <rFont val="Calibri Light"/>
        <family val="2"/>
        <scheme val="major"/>
      </rPr>
      <t>Manganese (FTM)</t>
    </r>
  </si>
  <si>
    <r>
      <t>MAGNESIO (TMF) /</t>
    </r>
    <r>
      <rPr>
        <i/>
        <sz val="9"/>
        <color theme="1"/>
        <rFont val="Calibri Light"/>
        <family val="2"/>
        <scheme val="major"/>
      </rPr>
      <t xml:space="preserve"> Magnesium (FTM)</t>
    </r>
  </si>
  <si>
    <t>CUADRO N° 03: PRODUCCIÓN MINERA METÁLICA SEGÚN DEPARTAMENTO</t>
  </si>
  <si>
    <t>METALLIC MINING PRODUCTION BY REGION</t>
  </si>
  <si>
    <r>
      <t xml:space="preserve">PRODUCTO / DEPARTAMENTO
</t>
    </r>
    <r>
      <rPr>
        <i/>
        <sz val="8"/>
        <color theme="1"/>
        <rFont val="Calibri Light"/>
        <family val="2"/>
        <scheme val="major"/>
      </rPr>
      <t>PRODUCT / REGION</t>
    </r>
  </si>
  <si>
    <r>
      <t>COBRE (TMF) /</t>
    </r>
    <r>
      <rPr>
        <i/>
        <sz val="9"/>
        <rFont val="Calibri Light"/>
        <family val="2"/>
        <scheme val="major"/>
      </rPr>
      <t xml:space="preserve"> Copper (FTM)</t>
    </r>
  </si>
  <si>
    <t>MOQUEGUA</t>
  </si>
  <si>
    <t>APURÍMAC</t>
  </si>
  <si>
    <t>AREQUIPA</t>
  </si>
  <si>
    <t>ÁNCASH</t>
  </si>
  <si>
    <t>TACNA</t>
  </si>
  <si>
    <t>JUNÍN</t>
  </si>
  <si>
    <t>ICA</t>
  </si>
  <si>
    <t>CUSCO</t>
  </si>
  <si>
    <t>PASCO</t>
  </si>
  <si>
    <t>LIMA</t>
  </si>
  <si>
    <t>CAJAMARCA</t>
  </si>
  <si>
    <t>HUANCAVELICA</t>
  </si>
  <si>
    <t>HUÁNUCO</t>
  </si>
  <si>
    <t>PUNO</t>
  </si>
  <si>
    <t>AYACUCHO</t>
  </si>
  <si>
    <r>
      <t>ORO* (G FINOS) /</t>
    </r>
    <r>
      <rPr>
        <i/>
        <sz val="8"/>
        <rFont val="Calibri Light"/>
        <family val="2"/>
        <scheme val="major"/>
      </rPr>
      <t xml:space="preserve"> Gold (fg)</t>
    </r>
  </si>
  <si>
    <t>LA LIBERTAD</t>
  </si>
  <si>
    <t>MADRE DE DIOS</t>
  </si>
  <si>
    <t>PIURA</t>
  </si>
  <si>
    <r>
      <t>ZINC (TMF) /</t>
    </r>
    <r>
      <rPr>
        <i/>
        <sz val="8"/>
        <rFont val="Calibri Light"/>
        <family val="2"/>
        <scheme val="major"/>
      </rPr>
      <t xml:space="preserve"> Zinc (FTM)</t>
    </r>
  </si>
  <si>
    <r>
      <t>PLATA (KG FINOS) /</t>
    </r>
    <r>
      <rPr>
        <i/>
        <sz val="8"/>
        <rFont val="Calibri Light"/>
        <family val="2"/>
        <scheme val="major"/>
      </rPr>
      <t xml:space="preserve"> Silver (fkg)</t>
    </r>
  </si>
  <si>
    <r>
      <t>PLOMO (TMF) /</t>
    </r>
    <r>
      <rPr>
        <i/>
        <sz val="8"/>
        <rFont val="Calibri Light"/>
        <family val="2"/>
        <scheme val="major"/>
      </rPr>
      <t xml:space="preserve"> Lead (FTM)</t>
    </r>
  </si>
  <si>
    <r>
      <t>HIERRO (TMF) /</t>
    </r>
    <r>
      <rPr>
        <i/>
        <sz val="8"/>
        <rFont val="Calibri Light"/>
        <family val="2"/>
        <scheme val="major"/>
      </rPr>
      <t xml:space="preserve"> Iron (FTM)</t>
    </r>
  </si>
  <si>
    <r>
      <t xml:space="preserve">ESTAÑO (TMF) / </t>
    </r>
    <r>
      <rPr>
        <i/>
        <sz val="8"/>
        <rFont val="Calibri Light"/>
        <family val="2"/>
        <scheme val="major"/>
      </rPr>
      <t>Tin (FTM)</t>
    </r>
  </si>
  <si>
    <r>
      <t>MOLIBDENO (TMF) /</t>
    </r>
    <r>
      <rPr>
        <i/>
        <sz val="8"/>
        <rFont val="Calibri Light"/>
        <family val="2"/>
        <scheme val="major"/>
      </rPr>
      <t xml:space="preserve"> Molybdenum (FTM)</t>
    </r>
  </si>
  <si>
    <r>
      <t>ARSÉNICO (TMF) /</t>
    </r>
    <r>
      <rPr>
        <i/>
        <sz val="8"/>
        <rFont val="Calibri Light"/>
        <family val="2"/>
        <scheme val="major"/>
      </rPr>
      <t xml:space="preserve"> Arsenic (FTM)</t>
    </r>
  </si>
  <si>
    <r>
      <t>BISMUTO (TMF) /</t>
    </r>
    <r>
      <rPr>
        <i/>
        <sz val="8"/>
        <rFont val="Calibri Light"/>
        <family val="2"/>
        <scheme val="major"/>
      </rPr>
      <t xml:space="preserve"> Bismuth (FTM)</t>
    </r>
  </si>
  <si>
    <r>
      <t>CADMIO (TMF) /</t>
    </r>
    <r>
      <rPr>
        <i/>
        <sz val="8"/>
        <rFont val="Calibri Light"/>
        <family val="2"/>
        <scheme val="major"/>
      </rPr>
      <t xml:space="preserve"> Cadmium (FTM)</t>
    </r>
  </si>
  <si>
    <r>
      <t>MANGANESO (TMF) /</t>
    </r>
    <r>
      <rPr>
        <i/>
        <sz val="8"/>
        <rFont val="Calibri Light"/>
        <family val="2"/>
        <scheme val="major"/>
      </rPr>
      <t xml:space="preserve"> Manganese (FTM)</t>
    </r>
  </si>
  <si>
    <r>
      <t>MAGNESIO (TMF) /</t>
    </r>
    <r>
      <rPr>
        <sz val="8"/>
        <rFont val="Calibri Light"/>
        <family val="2"/>
        <scheme val="major"/>
      </rPr>
      <t xml:space="preserve"> Magnesium (FTM)</t>
    </r>
  </si>
  <si>
    <t>EMPRESA MINERA LOS QUENUALES S.A.C.</t>
  </si>
  <si>
    <r>
      <t xml:space="preserve">Dic. 2025
</t>
    </r>
    <r>
      <rPr>
        <i/>
        <sz val="8"/>
        <color rgb="FF000000"/>
        <rFont val="Calibri Light"/>
        <family val="2"/>
        <scheme val="major"/>
      </rPr>
      <t>(Dec. 2025)</t>
    </r>
  </si>
  <si>
    <r>
      <rPr>
        <u/>
        <sz val="10"/>
        <color rgb="FF000000"/>
        <rFont val="Calibri Light"/>
        <family val="2"/>
        <scheme val="major"/>
      </rPr>
      <t>Fuente</t>
    </r>
    <r>
      <rPr>
        <sz val="10"/>
        <color rgb="FF000000"/>
        <rFont val="Calibri Light"/>
        <family val="2"/>
        <scheme val="major"/>
      </rPr>
      <t xml:space="preserve">:  Dirección de Gestión Minera, DGM. / </t>
    </r>
    <r>
      <rPr>
        <i/>
        <u/>
        <sz val="10"/>
        <color rgb="FF000000"/>
        <rFont val="Calibri Light"/>
        <family val="2"/>
        <scheme val="major"/>
      </rPr>
      <t>Source</t>
    </r>
    <r>
      <rPr>
        <i/>
        <sz val="10"/>
        <color rgb="FF000000"/>
        <rFont val="Calibri Light"/>
        <family val="2"/>
        <scheme val="major"/>
      </rPr>
      <t>: General Directorate of Mining, DGM.</t>
    </r>
    <r>
      <rPr>
        <sz val="10"/>
        <color rgb="FF000000"/>
        <rFont val="Calibri Light"/>
        <family val="2"/>
        <scheme val="major"/>
      </rPr>
      <t xml:space="preserve">
</t>
    </r>
    <r>
      <rPr>
        <u/>
        <sz val="10"/>
        <color rgb="FF000000"/>
        <rFont val="Calibri Light"/>
        <family val="2"/>
        <scheme val="major"/>
      </rPr>
      <t>Fecha de consulta</t>
    </r>
    <r>
      <rPr>
        <sz val="10"/>
        <color rgb="FF000000"/>
        <rFont val="Calibri Light"/>
        <family val="2"/>
        <scheme val="major"/>
      </rPr>
      <t>: 25 de febrero de 2026. /</t>
    </r>
    <r>
      <rPr>
        <i/>
        <sz val="10"/>
        <color rgb="FF000000"/>
        <rFont val="Calibri Light"/>
        <family val="2"/>
        <scheme val="major"/>
      </rPr>
      <t xml:space="preserve"> </t>
    </r>
    <r>
      <rPr>
        <i/>
        <u/>
        <sz val="10"/>
        <color rgb="FF000000"/>
        <rFont val="Calibri Light"/>
        <family val="2"/>
        <scheme val="major"/>
      </rPr>
      <t>Date of consultation</t>
    </r>
    <r>
      <rPr>
        <i/>
        <sz val="10"/>
        <color rgb="FF000000"/>
        <rFont val="Calibri Light"/>
        <family val="2"/>
        <scheme val="major"/>
      </rPr>
      <t>: February 25, 2026.</t>
    </r>
    <r>
      <rPr>
        <sz val="10"/>
        <color rgb="FF000000"/>
        <rFont val="Calibri Light"/>
        <family val="2"/>
        <scheme val="major"/>
      </rPr>
      <t xml:space="preserve">
</t>
    </r>
    <r>
      <rPr>
        <u/>
        <sz val="10"/>
        <color rgb="FF000000"/>
        <rFont val="Calibri Light"/>
        <family val="2"/>
        <scheme val="major"/>
      </rPr>
      <t>Elaboración</t>
    </r>
    <r>
      <rPr>
        <sz val="10"/>
        <color rgb="FF000000"/>
        <rFont val="Calibri Light"/>
        <family val="2"/>
        <scheme val="major"/>
      </rPr>
      <t xml:space="preserve">: Dirección General de Promoción y Sostenibilidad Minera, DGPSM. / </t>
    </r>
    <r>
      <rPr>
        <i/>
        <u/>
        <sz val="10"/>
        <color rgb="FF000000"/>
        <rFont val="Calibri Light"/>
        <family val="2"/>
        <scheme val="major"/>
      </rPr>
      <t>Prepared by</t>
    </r>
    <r>
      <rPr>
        <i/>
        <sz val="10"/>
        <color rgb="FF000000"/>
        <rFont val="Calibri Light"/>
        <family val="2"/>
        <scheme val="major"/>
      </rPr>
      <t>: General Directorate of Mining Promotion and Sustainability, DGPSM.</t>
    </r>
    <r>
      <rPr>
        <sz val="10"/>
        <color rgb="FF000000"/>
        <rFont val="Calibri Light"/>
        <family val="2"/>
        <scheme val="major"/>
      </rPr>
      <t xml:space="preserve">
(*) Información preliminar. Incluye producción aurífera estimada de mineros artesanales de Madre de Dios, Puno, Piura y Arequipa. / </t>
    </r>
    <r>
      <rPr>
        <i/>
        <sz val="10"/>
        <color rgb="FF000000"/>
        <rFont val="Calibri Light"/>
        <family val="2"/>
        <scheme val="major"/>
      </rPr>
      <t>(*) Preliminary information. Includes estimated gold production from artisanal miners in Madre de Dios, Puno, Piura, and Arequipa.</t>
    </r>
    <r>
      <rPr>
        <sz val="10"/>
        <color rgb="FF000000"/>
        <rFont val="Calibri Light"/>
        <family val="2"/>
        <scheme val="major"/>
      </rPr>
      <t xml:space="preserve">
N/D: Información no disponible / </t>
    </r>
    <r>
      <rPr>
        <i/>
        <sz val="10"/>
        <color rgb="FF000000"/>
        <rFont val="Calibri Light"/>
        <family val="2"/>
        <scheme val="major"/>
      </rPr>
      <t>N/A: Information not available.</t>
    </r>
  </si>
  <si>
    <r>
      <rPr>
        <u/>
        <sz val="10"/>
        <color theme="1"/>
        <rFont val="Calibri Light"/>
        <family val="2"/>
        <scheme val="major"/>
      </rPr>
      <t>Fuente</t>
    </r>
    <r>
      <rPr>
        <sz val="10"/>
        <color theme="1"/>
        <rFont val="Calibri Light"/>
        <family val="2"/>
        <scheme val="major"/>
      </rPr>
      <t xml:space="preserve">:  Dirección de Gestión Minera, DGM. / </t>
    </r>
    <r>
      <rPr>
        <i/>
        <u/>
        <sz val="10"/>
        <color theme="1"/>
        <rFont val="Calibri Light"/>
        <family val="2"/>
        <scheme val="major"/>
      </rPr>
      <t>Source</t>
    </r>
    <r>
      <rPr>
        <i/>
        <sz val="10"/>
        <color theme="1"/>
        <rFont val="Calibri Light"/>
        <family val="2"/>
        <scheme val="major"/>
      </rPr>
      <t>: Mining Management Directorate, MMD.</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25 de febrero de 2026. / </t>
    </r>
    <r>
      <rPr>
        <i/>
        <u/>
        <sz val="10"/>
        <color theme="1"/>
        <rFont val="Calibri Light"/>
        <family val="2"/>
        <scheme val="major"/>
      </rPr>
      <t>Date of consultation</t>
    </r>
    <r>
      <rPr>
        <i/>
        <sz val="10"/>
        <color theme="1"/>
        <rFont val="Calibri Light"/>
        <family val="2"/>
        <scheme val="major"/>
      </rPr>
      <t>: February 25,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General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GDPMS.</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</si>
  <si>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xml:space="preserve">: 25 de febrero de 2026. / </t>
    </r>
    <r>
      <rPr>
        <i/>
        <u/>
        <sz val="10"/>
        <color theme="1"/>
        <rFont val="Calibri Light"/>
        <family val="2"/>
        <scheme val="major"/>
      </rPr>
      <t>Date of consultation</t>
    </r>
    <r>
      <rPr>
        <i/>
        <sz val="10"/>
        <color theme="1"/>
        <rFont val="Calibri Light"/>
        <family val="2"/>
        <scheme val="major"/>
      </rPr>
      <t>: February 25,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xml:space="preserve">: Dirección de Promoción y Sostenibilidad Minera, DGPSM. /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(*)Incluye producción cuprífera por proceso de flotación (TMF), lixiviación y electro-obtención (TM). / </t>
    </r>
    <r>
      <rPr>
        <i/>
        <sz val="10"/>
        <color theme="1"/>
        <rFont val="Calibri Light"/>
        <family val="2"/>
        <scheme val="major"/>
      </rPr>
      <t>(*) Includes copper production through flotation process (FMT), leaching, and electrowinning (MT).</t>
    </r>
    <r>
      <rPr>
        <sz val="10"/>
        <color theme="1"/>
        <rFont val="Calibri Light"/>
        <family val="2"/>
        <scheme val="major"/>
      </rPr>
      <t xml:space="preserve">
(**) Información preliminar. Incluye producción aurífera estimada de mineros artesanales de Madre de Dios, Puno, Piura y Arequipa. / </t>
    </r>
    <r>
      <rPr>
        <i/>
        <sz val="10"/>
        <color theme="1"/>
        <rFont val="Calibri Light"/>
        <family val="2"/>
        <scheme val="major"/>
      </rPr>
      <t>(**) Preliminary information. Includes estimated gold production from artisanal miners in Madre de Dios, Puno, Piura, and Arequipa.</t>
    </r>
  </si>
  <si>
    <r>
      <rPr>
        <u/>
        <sz val="10"/>
        <color theme="1"/>
        <rFont val="Calibri Light"/>
        <family val="2"/>
        <scheme val="major"/>
      </rPr>
      <t>Fuente</t>
    </r>
    <r>
      <rPr>
        <sz val="10"/>
        <color theme="1"/>
        <rFont val="Calibri Light"/>
        <family val="2"/>
        <scheme val="major"/>
      </rPr>
      <t>:  Dirección de Gestión Minera, DGM /</t>
    </r>
    <r>
      <rPr>
        <i/>
        <sz val="10"/>
        <color theme="1"/>
        <rFont val="Calibri Light"/>
        <family val="2"/>
        <scheme val="major"/>
      </rPr>
      <t xml:space="preserve"> </t>
    </r>
    <r>
      <rPr>
        <i/>
        <u/>
        <sz val="10"/>
        <color theme="1"/>
        <rFont val="Calibri Light"/>
        <family val="2"/>
        <scheme val="major"/>
      </rPr>
      <t>Source</t>
    </r>
    <r>
      <rPr>
        <i/>
        <sz val="10"/>
        <color theme="1"/>
        <rFont val="Calibri Light"/>
        <family val="2"/>
        <scheme val="major"/>
      </rPr>
      <t>: General Directorate of Mining, DGM.</t>
    </r>
    <r>
      <rPr>
        <sz val="10"/>
        <color theme="1"/>
        <rFont val="Calibri Light"/>
        <family val="2"/>
        <scheme val="major"/>
      </rPr>
      <t xml:space="preserve">
</t>
    </r>
    <r>
      <rPr>
        <u/>
        <sz val="10"/>
        <color theme="1"/>
        <rFont val="Calibri Light"/>
        <family val="2"/>
        <scheme val="major"/>
      </rPr>
      <t>Fecha de consulta</t>
    </r>
    <r>
      <rPr>
        <sz val="10"/>
        <color theme="1"/>
        <rFont val="Calibri Light"/>
        <family val="2"/>
        <scheme val="major"/>
      </rPr>
      <t>: 25 de febrero de 2026. /</t>
    </r>
    <r>
      <rPr>
        <i/>
        <sz val="10"/>
        <color theme="1"/>
        <rFont val="Calibri Light"/>
        <family val="2"/>
        <scheme val="major"/>
      </rPr>
      <t xml:space="preserve"> </t>
    </r>
    <r>
      <rPr>
        <i/>
        <u/>
        <sz val="10"/>
        <color theme="1"/>
        <rFont val="Calibri Light"/>
        <family val="2"/>
        <scheme val="major"/>
      </rPr>
      <t>Date of consultation</t>
    </r>
    <r>
      <rPr>
        <i/>
        <sz val="10"/>
        <color theme="1"/>
        <rFont val="Calibri Light"/>
        <family val="2"/>
        <scheme val="major"/>
      </rPr>
      <t>: February 25, 2026.</t>
    </r>
    <r>
      <rPr>
        <sz val="10"/>
        <color theme="1"/>
        <rFont val="Calibri Light"/>
        <family val="2"/>
        <scheme val="major"/>
      </rPr>
      <t xml:space="preserve">
</t>
    </r>
    <r>
      <rPr>
        <u/>
        <sz val="10"/>
        <color theme="1"/>
        <rFont val="Calibri Light"/>
        <family val="2"/>
        <scheme val="major"/>
      </rPr>
      <t>Elaboración</t>
    </r>
    <r>
      <rPr>
        <sz val="10"/>
        <color theme="1"/>
        <rFont val="Calibri Light"/>
        <family val="2"/>
        <scheme val="major"/>
      </rPr>
      <t>: Dirección de Promoción y Sostenibilidad Minera, DGPSM. /</t>
    </r>
    <r>
      <rPr>
        <i/>
        <sz val="10"/>
        <color theme="1"/>
        <rFont val="Calibri Light"/>
        <family val="2"/>
        <scheme val="major"/>
      </rPr>
      <t xml:space="preserve"> </t>
    </r>
    <r>
      <rPr>
        <i/>
        <u/>
        <sz val="10"/>
        <color theme="1"/>
        <rFont val="Calibri Light"/>
        <family val="2"/>
        <scheme val="major"/>
      </rPr>
      <t>Prepared by</t>
    </r>
    <r>
      <rPr>
        <i/>
        <sz val="10"/>
        <color theme="1"/>
        <rFont val="Calibri Light"/>
        <family val="2"/>
        <scheme val="major"/>
      </rPr>
      <t>: General Directorate of Mining Promotion and Sustainability, DGPSM.</t>
    </r>
    <r>
      <rPr>
        <sz val="10"/>
        <color theme="1"/>
        <rFont val="Calibri Light"/>
        <family val="2"/>
        <scheme val="major"/>
      </rPr>
      <t xml:space="preserve">
(*) Información preliminar. Incluye producción aurífera estimada de mineros artesanales de Madre de Dios, Puno, Piura y Arequipa. /</t>
    </r>
    <r>
      <rPr>
        <i/>
        <sz val="10"/>
        <color theme="1"/>
        <rFont val="Calibri Light"/>
        <family val="2"/>
        <scheme val="major"/>
      </rPr>
      <t xml:space="preserve"> (*) Preliminary information. Includes estimated gold production from artisanal miners in Madre de Dios, Puno, Piura, and Arequipa.</t>
    </r>
    <r>
      <rPr>
        <sz val="10"/>
        <color theme="1"/>
        <rFont val="Calibri Light"/>
        <family val="2"/>
        <scheme val="major"/>
      </rPr>
      <t xml:space="preserve">
(**) Contempla la producción metálica de molibdeno de los departamentos de Apurímac, Cusco y Junín (el titular Minera Chinalco Perú S.A. es el único que reporta molibdeno como subproducto dentro del proceso de flotación en planta para la obtención de cobre como su producto principal. Es importante mencionar que, para efectos estadísticos se está contemplando tanto la producción de producto principal como subproducto; no obstante, se precisa que Minera Chinalco Perú S.A no produce ni comercializa molibdeno). / </t>
    </r>
    <r>
      <rPr>
        <i/>
        <sz val="10"/>
        <color theme="1"/>
        <rFont val="Calibri Light"/>
        <family val="2"/>
        <scheme val="major"/>
      </rPr>
      <t>It considers the metallic molybdenum production from the departments of Apurímac, Cusco, and Junín (the titleholder Minera Chinalco Perú S.A. is the only company reporting molybdenum as a byproduct within the flotation plant process for obtaining copper as its main product. It is important to mention that, for statistical purposes, both main product and byproduct production are taken into account; however, it should be noted that Minera Chinalco Perú S.A. neither produces nor markets molybdenum).</t>
    </r>
  </si>
  <si>
    <r>
      <t xml:space="preserve">2026
(Ene)
</t>
    </r>
    <r>
      <rPr>
        <i/>
        <sz val="10"/>
        <color rgb="FF000000"/>
        <rFont val="Calibri Light"/>
        <family val="2"/>
        <scheme val="major"/>
      </rPr>
      <t>(Jan)</t>
    </r>
  </si>
  <si>
    <r>
      <t xml:space="preserve">Ene. 2026
</t>
    </r>
    <r>
      <rPr>
        <i/>
        <sz val="8"/>
        <color rgb="FF000000"/>
        <rFont val="Calibri Light"/>
        <family val="2"/>
        <scheme val="major"/>
      </rPr>
      <t>(Jan. 2026)</t>
    </r>
  </si>
  <si>
    <r>
      <t xml:space="preserve">Ene. 2026
</t>
    </r>
    <r>
      <rPr>
        <i/>
        <sz val="10"/>
        <color rgb="FF000000"/>
        <rFont val="Calibri Light"/>
        <family val="2"/>
        <scheme val="major"/>
      </rPr>
      <t>(Jan</t>
    </r>
    <r>
      <rPr>
        <i/>
        <sz val="8"/>
        <color rgb="FF000000"/>
        <rFont val="Calibri Light"/>
        <family val="2"/>
        <scheme val="major"/>
      </rPr>
      <t>. 2026)</t>
    </r>
  </si>
  <si>
    <r>
      <t xml:space="preserve">ENERO
</t>
    </r>
    <r>
      <rPr>
        <i/>
        <sz val="9"/>
        <color theme="1"/>
        <rFont val="Calibri Light"/>
        <family val="2"/>
        <scheme val="major"/>
      </rPr>
      <t>January</t>
    </r>
  </si>
  <si>
    <r>
      <t xml:space="preserve">ENERO
</t>
    </r>
    <r>
      <rPr>
        <i/>
        <sz val="8"/>
        <color theme="1"/>
        <rFont val="Calibri Light"/>
        <family val="2"/>
        <scheme val="major"/>
      </rPr>
      <t>January</t>
    </r>
  </si>
  <si>
    <t>SUMMA GOLD CORPORATION S.A.C.</t>
  </si>
  <si>
    <t>MINERA COLQUISIRI S.A.</t>
  </si>
  <si>
    <t>SOCIEDAD MINERA CORONA S.A.</t>
  </si>
  <si>
    <t>OTROS (2025: 3 titulares mineros, 2026: 3 titulares mineros)</t>
  </si>
  <si>
    <t>OTROS** (2025: 3 departamentos, 2026: 3 departamentos)</t>
  </si>
  <si>
    <r>
      <t xml:space="preserve">VARIACIÓN INTERANUAL, ENERO / </t>
    </r>
    <r>
      <rPr>
        <i/>
        <sz val="8"/>
        <color rgb="FF000000"/>
        <rFont val="Calibri Light"/>
        <family val="2"/>
        <scheme val="major"/>
      </rPr>
      <t>YEAR-OVER-YEAR VARIATION, JANUARY</t>
    </r>
  </si>
  <si>
    <r>
      <t xml:space="preserve">Ene. 2025
</t>
    </r>
    <r>
      <rPr>
        <i/>
        <sz val="10"/>
        <color rgb="FF000000"/>
        <rFont val="Calibri Light"/>
        <family val="2"/>
        <scheme val="major"/>
      </rPr>
      <t>(Jan</t>
    </r>
    <r>
      <rPr>
        <i/>
        <sz val="8"/>
        <color rgb="FF000000"/>
        <rFont val="Calibri Light"/>
        <family val="2"/>
        <scheme val="major"/>
      </rPr>
      <t>. 2025)</t>
    </r>
  </si>
  <si>
    <t>OTROS (2025: 48 titulares mineros, 2026: 34 titulares mineros)</t>
  </si>
  <si>
    <t>OTROS (2025: 278 titulares mineros, 2026: 202 titulares mineros)</t>
  </si>
  <si>
    <t>OTROS (2025: 31 titulares mineros, 2026: 23 titulares mineros)</t>
  </si>
  <si>
    <t>OTROS (2025: 84 titulares mineros, 2026: 61 titulares mineros)</t>
  </si>
  <si>
    <t>OTROS (2025: 31 titulares mineros, 2026: 22 titulares mineros)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</si>
</sst>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_-* #,##0_-;\-* #,##0_-;_-* &quot;-&quot;??_-;_-@_-"/>
    <numFmt numFmtId="166" formatCode="0.0%"/>
    <numFmt numFmtId="167" formatCode="_ * #,##0.00_ ;_ * \-#,##0.00_ ;_ * &quot;-&quot;??_ ;_ @_ "/>
    <numFmt numFmtId="168" formatCode="0.000%"/>
    <numFmt numFmtId="169" formatCode="0.0000%"/>
  </numFmts>
  <fonts count="32" x14ac:knownFonts="1">
    <font>
      <sz val="11"/>
      <color theme="1"/>
      <name val="Calibri"/>
      <family val="2"/>
      <scheme val="minor"/>
    </font>
    <font>
      <sz val="11"/>
      <color theme="1"/>
      <name val="Calibri"/>
      <family val="2"/>
      <scheme val="minor"/>
    </font>
    <font>
      <sz val="11"/>
      <color rgb="FF000000"/>
      <name val="Calibri"/>
      <family val="2"/>
    </font>
    <font>
      <b/>
      <sz val="12"/>
      <color rgb="FF000000"/>
      <name val="Calibri Light"/>
      <family val="2"/>
      <scheme val="major"/>
    </font>
    <font>
      <sz val="10"/>
      <color theme="1"/>
      <name val="Calibri Light"/>
      <family val="2"/>
      <scheme val="major"/>
    </font>
    <font>
      <i/>
      <sz val="9"/>
      <color rgb="FF000000"/>
      <name val="Calibri Light"/>
      <family val="2"/>
      <scheme val="major"/>
    </font>
    <font>
      <b/>
      <sz val="10"/>
      <color rgb="FF000000"/>
      <name val="Calibri Light"/>
      <family val="2"/>
      <scheme val="major"/>
    </font>
    <font>
      <sz val="10"/>
      <color rgb="FF000000"/>
      <name val="Calibri Light"/>
      <family val="2"/>
      <scheme val="major"/>
    </font>
    <font>
      <b/>
      <sz val="16"/>
      <color rgb="FF000000"/>
      <name val="Calibri Light"/>
      <family val="2"/>
      <scheme val="major"/>
    </font>
    <font>
      <sz val="10"/>
      <color theme="0"/>
      <name val="Calibri Light"/>
      <family val="2"/>
      <scheme val="major"/>
    </font>
    <font>
      <i/>
      <sz val="9"/>
      <color theme="1"/>
      <name val="Calibri Light"/>
      <family val="2"/>
      <scheme val="major"/>
    </font>
    <font>
      <b/>
      <sz val="10"/>
      <color theme="1"/>
      <name val="Calibri Light"/>
      <family val="2"/>
      <scheme val="major"/>
    </font>
    <font>
      <i/>
      <sz val="10"/>
      <color theme="1"/>
      <name val="Calibri Light"/>
      <family val="2"/>
      <scheme val="major"/>
    </font>
    <font>
      <i/>
      <sz val="8"/>
      <color rgb="FF000000"/>
      <name val="Calibri Light"/>
      <family val="2"/>
      <scheme val="major"/>
    </font>
    <font>
      <i/>
      <sz val="10"/>
      <color rgb="FF000000"/>
      <name val="Calibri Light"/>
      <family val="2"/>
      <scheme val="major"/>
    </font>
    <font>
      <sz val="10"/>
      <name val="Calibri Light"/>
      <family val="2"/>
      <scheme val="major"/>
    </font>
    <font>
      <b/>
      <sz val="10"/>
      <name val="Calibri Light"/>
      <family val="2"/>
      <scheme val="major"/>
    </font>
    <font>
      <sz val="9"/>
      <color theme="1"/>
      <name val="Calibri"/>
      <family val="2"/>
      <scheme val="minor"/>
    </font>
    <font>
      <i/>
      <sz val="8"/>
      <color theme="1"/>
      <name val="Calibri Light"/>
      <family val="2"/>
      <scheme val="major"/>
    </font>
    <font>
      <u/>
      <sz val="10"/>
      <color rgb="FF000000"/>
      <name val="Calibri Light"/>
      <family val="2"/>
      <scheme val="major"/>
    </font>
    <font>
      <i/>
      <u/>
      <sz val="10"/>
      <color rgb="FF000000"/>
      <name val="Calibri Light"/>
      <family val="2"/>
      <scheme val="major"/>
    </font>
    <font>
      <sz val="11"/>
      <color theme="0"/>
      <name val="Calibri Light"/>
      <family val="2"/>
      <scheme val="major"/>
    </font>
    <font>
      <sz val="11"/>
      <color theme="1"/>
      <name val="Calibri Light"/>
      <family val="2"/>
      <scheme val="major"/>
    </font>
    <font>
      <b/>
      <sz val="10"/>
      <color indexed="8"/>
      <name val="Calibri Light"/>
      <family val="2"/>
      <scheme val="major"/>
    </font>
    <font>
      <u/>
      <sz val="10"/>
      <color theme="1"/>
      <name val="Calibri Light"/>
      <family val="2"/>
      <scheme val="major"/>
    </font>
    <font>
      <i/>
      <u/>
      <sz val="10"/>
      <color theme="1"/>
      <name val="Calibri Light"/>
      <family val="2"/>
      <scheme val="major"/>
    </font>
    <font>
      <b/>
      <sz val="12"/>
      <color theme="1"/>
      <name val="Calibri Light"/>
      <family val="2"/>
      <scheme val="major"/>
    </font>
    <font>
      <b/>
      <sz val="11"/>
      <color theme="1"/>
      <name val="Calibri Light"/>
      <family val="2"/>
      <scheme val="major"/>
    </font>
    <font>
      <b/>
      <sz val="12"/>
      <name val="Calibri Light"/>
      <family val="2"/>
      <scheme val="major"/>
    </font>
    <font>
      <i/>
      <sz val="9"/>
      <name val="Calibri Light"/>
      <family val="2"/>
      <scheme val="major"/>
    </font>
    <font>
      <i/>
      <sz val="8"/>
      <name val="Calibri Light"/>
      <family val="2"/>
      <scheme val="major"/>
    </font>
    <font>
      <sz val="8"/>
      <name val="Calibri Light"/>
      <family val="2"/>
      <scheme val="major"/>
    </font>
  </fonts>
  <fills count="9">
    <fill>
      <patternFill patternType="none"/>
    </fill>
    <fill>
      <patternFill patternType="gray125"/>
    </fill>
    <fill>
      <patternFill patternType="solid">
        <fgColor rgb="FFFFFFFF"/>
        <bgColor rgb="FFFFFFFF"/>
      </patternFill>
    </fill>
    <fill>
      <patternFill patternType="solid">
        <fgColor theme="0"/>
        <bgColor indexed="64"/>
      </patternFill>
    </fill>
    <fill>
      <patternFill patternType="solid">
        <fgColor theme="2" tint="-9.9978637043366805E-2"/>
        <bgColor indexed="64"/>
      </patternFill>
    </fill>
    <fill>
      <patternFill patternType="solid">
        <fgColor rgb="FFF2F2F2"/>
        <bgColor rgb="FFFFFFFF"/>
      </patternFill>
    </fill>
    <fill>
      <patternFill patternType="solid">
        <fgColor rgb="FFD9D9D9"/>
        <bgColor rgb="FFFFFFFF"/>
      </patternFill>
    </fill>
    <fill>
      <patternFill patternType="solid">
        <fgColor theme="0" tint="-0.14999847407452621"/>
        <bgColor rgb="FFFFFFFF"/>
      </patternFill>
    </fill>
    <fill>
      <patternFill patternType="solid">
        <fgColor rgb="FFD0CECE"/>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17" fillId="3" borderId="0">
      <alignment horizontal="left"/>
    </xf>
    <xf numFmtId="167" fontId="1" fillId="0" borderId="0" applyFont="0" applyFill="0" applyBorder="0" applyAlignment="0" applyProtection="0"/>
  </cellStyleXfs>
  <cellXfs count="219">
    <xf numFmtId="0" fontId="0" fillId="0" borderId="0" xfId="0"/>
    <xf numFmtId="0" fontId="3" fillId="2" borderId="0" xfId="3" applyFont="1" applyFill="1" applyAlignment="1">
      <alignment vertical="center"/>
    </xf>
    <xf numFmtId="0" fontId="4" fillId="3" borderId="0" xfId="0" applyFont="1" applyFill="1" applyAlignment="1">
      <alignment vertical="center"/>
    </xf>
    <xf numFmtId="0" fontId="6" fillId="2" borderId="0" xfId="3" applyFont="1" applyFill="1" applyAlignment="1">
      <alignment horizontal="center" vertical="center"/>
    </xf>
    <xf numFmtId="0" fontId="6" fillId="2" borderId="0" xfId="3" applyFont="1" applyFill="1" applyAlignment="1">
      <alignment vertical="center"/>
    </xf>
    <xf numFmtId="0" fontId="7" fillId="2" borderId="0" xfId="3" applyFont="1" applyFill="1" applyAlignment="1">
      <alignment horizontal="center" vertical="center"/>
    </xf>
    <xf numFmtId="0" fontId="7" fillId="0" borderId="0" xfId="3" applyFont="1" applyAlignment="1">
      <alignment horizontal="center" vertical="center"/>
    </xf>
    <xf numFmtId="0" fontId="8" fillId="0" borderId="0" xfId="3" applyFont="1" applyAlignment="1">
      <alignment horizontal="center" vertical="center"/>
    </xf>
    <xf numFmtId="0" fontId="9" fillId="3" borderId="0" xfId="0" applyFont="1" applyFill="1" applyAlignment="1">
      <alignment vertical="center"/>
    </xf>
    <xf numFmtId="0" fontId="10" fillId="0" borderId="0" xfId="0" applyFont="1" applyAlignment="1">
      <alignment vertical="center"/>
    </xf>
    <xf numFmtId="0" fontId="11" fillId="4" borderId="1" xfId="3" applyFont="1" applyFill="1" applyBorder="1" applyAlignment="1">
      <alignment horizontal="center" vertical="center" wrapText="1"/>
    </xf>
    <xf numFmtId="0" fontId="11" fillId="4" borderId="2" xfId="3" applyFont="1" applyFill="1" applyBorder="1" applyAlignment="1">
      <alignment horizontal="center" vertical="center" wrapText="1"/>
    </xf>
    <xf numFmtId="0" fontId="11" fillId="4" borderId="3" xfId="3" applyFont="1" applyFill="1" applyBorder="1" applyAlignment="1">
      <alignment horizontal="center" vertical="center" wrapText="1"/>
    </xf>
    <xf numFmtId="0" fontId="4" fillId="3" borderId="0" xfId="0" applyFont="1" applyFill="1" applyAlignment="1">
      <alignment horizontal="center" vertical="center" wrapText="1"/>
    </xf>
    <xf numFmtId="0" fontId="7" fillId="0" borderId="4" xfId="3" applyFont="1" applyBorder="1" applyAlignment="1">
      <alignment horizontal="center" vertical="center"/>
    </xf>
    <xf numFmtId="0" fontId="7" fillId="0" borderId="5" xfId="3" applyFont="1" applyBorder="1" applyAlignment="1">
      <alignment horizontal="center" vertical="center" wrapText="1"/>
    </xf>
    <xf numFmtId="0" fontId="7" fillId="0" borderId="6" xfId="3" applyFont="1" applyBorder="1" applyAlignment="1">
      <alignment horizontal="center" vertical="center" wrapText="1"/>
    </xf>
    <xf numFmtId="0" fontId="7" fillId="0" borderId="7" xfId="3" applyFont="1" applyBorder="1" applyAlignment="1">
      <alignment horizontal="center" vertical="center"/>
    </xf>
    <xf numFmtId="3" fontId="7" fillId="0" borderId="0" xfId="3" applyNumberFormat="1" applyFont="1" applyAlignment="1">
      <alignment horizontal="center" vertical="center"/>
    </xf>
    <xf numFmtId="3" fontId="7" fillId="0" borderId="8" xfId="3" applyNumberFormat="1" applyFont="1" applyBorder="1" applyAlignment="1">
      <alignment horizontal="center" vertical="center"/>
    </xf>
    <xf numFmtId="3" fontId="9" fillId="0" borderId="0" xfId="3" applyNumberFormat="1" applyFont="1" applyAlignment="1">
      <alignment horizontal="center" vertical="center"/>
    </xf>
    <xf numFmtId="43" fontId="4" fillId="3" borderId="0" xfId="1" applyFont="1" applyFill="1" applyAlignment="1">
      <alignment vertical="center"/>
    </xf>
    <xf numFmtId="3" fontId="4" fillId="3" borderId="0" xfId="0" applyNumberFormat="1" applyFont="1" applyFill="1" applyAlignment="1">
      <alignment vertical="center"/>
    </xf>
    <xf numFmtId="0" fontId="6" fillId="4" borderId="9" xfId="3" applyFont="1" applyFill="1" applyBorder="1" applyAlignment="1">
      <alignment horizontal="center" vertical="center" wrapText="1"/>
    </xf>
    <xf numFmtId="3" fontId="6" fillId="4" borderId="10" xfId="3" applyNumberFormat="1" applyFont="1" applyFill="1" applyBorder="1" applyAlignment="1">
      <alignment horizontal="center" vertical="center"/>
    </xf>
    <xf numFmtId="2" fontId="7" fillId="0" borderId="1" xfId="3" applyNumberFormat="1" applyFont="1" applyBorder="1" applyAlignment="1">
      <alignment horizontal="center" vertical="center" wrapText="1"/>
    </xf>
    <xf numFmtId="165" fontId="4" fillId="3" borderId="0" xfId="1" applyNumberFormat="1" applyFont="1" applyFill="1" applyAlignment="1">
      <alignment vertical="center"/>
    </xf>
    <xf numFmtId="3" fontId="7" fillId="2" borderId="0" xfId="3" applyNumberFormat="1" applyFont="1" applyFill="1" applyAlignment="1">
      <alignment horizontal="center" vertical="center"/>
    </xf>
    <xf numFmtId="164" fontId="7" fillId="2" borderId="8" xfId="3" applyNumberFormat="1" applyFont="1" applyFill="1" applyBorder="1" applyAlignment="1">
      <alignment horizontal="center" vertical="center"/>
    </xf>
    <xf numFmtId="2" fontId="7" fillId="2" borderId="7" xfId="3" applyNumberFormat="1" applyFont="1" applyFill="1" applyBorder="1" applyAlignment="1">
      <alignment horizontal="left" vertical="center"/>
    </xf>
    <xf numFmtId="0" fontId="6" fillId="5" borderId="9" xfId="3" applyFont="1" applyFill="1" applyBorder="1" applyAlignment="1">
      <alignment horizontal="left" vertical="center"/>
    </xf>
    <xf numFmtId="0" fontId="7" fillId="5" borderId="10" xfId="3" applyFont="1" applyFill="1" applyBorder="1" applyAlignment="1">
      <alignment horizontal="center" vertical="center"/>
    </xf>
    <xf numFmtId="3" fontId="7" fillId="5" borderId="10" xfId="3" applyNumberFormat="1" applyFont="1" applyFill="1" applyBorder="1" applyAlignment="1">
      <alignment horizontal="center" vertical="center"/>
    </xf>
    <xf numFmtId="0" fontId="7" fillId="5" borderId="11" xfId="3" applyFont="1" applyFill="1" applyBorder="1" applyAlignment="1">
      <alignment horizontal="center" vertical="center"/>
    </xf>
    <xf numFmtId="0" fontId="4" fillId="3" borderId="0" xfId="0" applyFont="1" applyFill="1" applyAlignment="1">
      <alignment horizontal="left" vertical="center"/>
    </xf>
    <xf numFmtId="0" fontId="7" fillId="2" borderId="7" xfId="3" applyFont="1" applyFill="1" applyBorder="1" applyAlignment="1">
      <alignment horizontal="center" vertical="center" wrapText="1"/>
    </xf>
    <xf numFmtId="3" fontId="9" fillId="3" borderId="0" xfId="0" applyNumberFormat="1" applyFont="1" applyFill="1" applyAlignment="1">
      <alignment vertical="center"/>
    </xf>
    <xf numFmtId="0" fontId="6" fillId="6" borderId="9" xfId="3" applyFont="1" applyFill="1" applyBorder="1" applyAlignment="1">
      <alignment horizontal="center" vertical="center"/>
    </xf>
    <xf numFmtId="166" fontId="6" fillId="6" borderId="10" xfId="3" applyNumberFormat="1" applyFont="1" applyFill="1" applyBorder="1" applyAlignment="1">
      <alignment horizontal="center" vertical="center"/>
    </xf>
    <xf numFmtId="166" fontId="16" fillId="6" borderId="10" xfId="3" applyNumberFormat="1" applyFont="1" applyFill="1" applyBorder="1" applyAlignment="1">
      <alignment horizontal="center" vertical="center"/>
    </xf>
    <xf numFmtId="166" fontId="6" fillId="6" borderId="11" xfId="3" applyNumberFormat="1" applyFont="1" applyFill="1" applyBorder="1" applyAlignment="1">
      <alignment horizontal="center" vertical="center"/>
    </xf>
    <xf numFmtId="166" fontId="6" fillId="7" borderId="10" xfId="3" applyNumberFormat="1" applyFont="1" applyFill="1" applyBorder="1" applyAlignment="1">
      <alignment horizontal="center" vertical="center"/>
    </xf>
    <xf numFmtId="166" fontId="6" fillId="7" borderId="11" xfId="3" applyNumberFormat="1" applyFont="1" applyFill="1" applyBorder="1" applyAlignment="1">
      <alignment horizontal="center" vertical="center"/>
    </xf>
    <xf numFmtId="3" fontId="7" fillId="2" borderId="7" xfId="3" applyNumberFormat="1" applyFont="1" applyFill="1" applyBorder="1" applyAlignment="1">
      <alignment horizontal="center" vertical="center" wrapText="1"/>
    </xf>
    <xf numFmtId="3" fontId="7" fillId="2" borderId="4" xfId="3" applyNumberFormat="1" applyFont="1" applyFill="1" applyBorder="1" applyAlignment="1">
      <alignment horizontal="center" vertical="center" wrapText="1"/>
    </xf>
    <xf numFmtId="0" fontId="6" fillId="7" borderId="9" xfId="3" applyFont="1" applyFill="1" applyBorder="1" applyAlignment="1">
      <alignment horizontal="center" vertical="center"/>
    </xf>
    <xf numFmtId="0" fontId="6" fillId="2" borderId="1" xfId="3" applyFont="1" applyFill="1" applyBorder="1" applyAlignment="1">
      <alignment horizontal="left" vertical="center"/>
    </xf>
    <xf numFmtId="10" fontId="6" fillId="2" borderId="2" xfId="3" applyNumberFormat="1" applyFont="1" applyFill="1" applyBorder="1" applyAlignment="1">
      <alignment horizontal="center" vertical="center"/>
    </xf>
    <xf numFmtId="10" fontId="16" fillId="2" borderId="2" xfId="3" applyNumberFormat="1" applyFont="1" applyFill="1" applyBorder="1" applyAlignment="1">
      <alignment horizontal="center" vertical="center"/>
    </xf>
    <xf numFmtId="10" fontId="6" fillId="2" borderId="3" xfId="3" applyNumberFormat="1" applyFont="1" applyFill="1" applyBorder="1" applyAlignment="1">
      <alignment horizontal="center" vertical="center"/>
    </xf>
    <xf numFmtId="0" fontId="21" fillId="0" borderId="0" xfId="0" applyFont="1" applyAlignment="1">
      <alignment vertical="center"/>
    </xf>
    <xf numFmtId="0" fontId="22" fillId="0" borderId="0" xfId="0" applyFont="1" applyAlignment="1">
      <alignment vertical="center"/>
    </xf>
    <xf numFmtId="0" fontId="4" fillId="3" borderId="5" xfId="0" applyFont="1" applyFill="1" applyBorder="1" applyAlignment="1">
      <alignment vertical="center"/>
    </xf>
    <xf numFmtId="10" fontId="22" fillId="0" borderId="0" xfId="0" applyNumberFormat="1" applyFont="1" applyAlignment="1">
      <alignment horizontal="center" vertical="center"/>
    </xf>
    <xf numFmtId="0" fontId="22" fillId="0" borderId="0" xfId="0" applyFont="1" applyAlignment="1">
      <alignment horizontal="center" vertical="center"/>
    </xf>
    <xf numFmtId="0" fontId="26" fillId="3" borderId="0" xfId="0" applyFont="1" applyFill="1" applyAlignment="1">
      <alignment horizontal="left" vertical="center"/>
    </xf>
    <xf numFmtId="0" fontId="10" fillId="3" borderId="0" xfId="4" applyFont="1" applyAlignment="1">
      <alignment horizontal="left" vertical="center"/>
    </xf>
    <xf numFmtId="0" fontId="4" fillId="3" borderId="0" xfId="4" applyFont="1" applyAlignment="1">
      <alignment horizontal="left" vertical="center"/>
    </xf>
    <xf numFmtId="0" fontId="11" fillId="4" borderId="12" xfId="4" applyFont="1" applyFill="1" applyBorder="1" applyAlignment="1">
      <alignment horizontal="left" vertical="center" wrapText="1"/>
    </xf>
    <xf numFmtId="0" fontId="22" fillId="4" borderId="12" xfId="0" applyFont="1" applyFill="1" applyBorder="1" applyAlignment="1">
      <alignment vertical="center"/>
    </xf>
    <xf numFmtId="0" fontId="4" fillId="0" borderId="14" xfId="4" applyFont="1" applyFill="1" applyBorder="1" applyAlignment="1">
      <alignment horizontal="left" vertical="center"/>
    </xf>
    <xf numFmtId="0" fontId="15" fillId="0" borderId="15" xfId="4" applyFont="1" applyFill="1" applyBorder="1" applyAlignment="1">
      <alignment horizontal="left" vertical="center"/>
    </xf>
    <xf numFmtId="0" fontId="27" fillId="4" borderId="12" xfId="0" applyFont="1" applyFill="1" applyBorder="1" applyAlignment="1">
      <alignment vertical="center"/>
    </xf>
    <xf numFmtId="0" fontId="4" fillId="0" borderId="15" xfId="4" applyFont="1" applyFill="1" applyBorder="1" applyAlignment="1">
      <alignment horizontal="left" vertical="center"/>
    </xf>
    <xf numFmtId="0" fontId="4" fillId="0" borderId="13" xfId="4" applyFont="1" applyFill="1" applyBorder="1" applyAlignment="1">
      <alignment horizontal="left" vertical="center"/>
    </xf>
    <xf numFmtId="0" fontId="27" fillId="8" borderId="12" xfId="0" applyFont="1" applyFill="1" applyBorder="1" applyAlignment="1">
      <alignment vertical="center"/>
    </xf>
    <xf numFmtId="0" fontId="5" fillId="2" borderId="0" xfId="3" applyFont="1" applyFill="1" applyAlignment="1">
      <alignment vertical="center"/>
    </xf>
    <xf numFmtId="0" fontId="28" fillId="3" borderId="0" xfId="0" applyFont="1" applyFill="1" applyAlignment="1">
      <alignment horizontal="left" vertical="center"/>
    </xf>
    <xf numFmtId="0" fontId="29" fillId="3" borderId="0" xfId="4" applyFont="1" applyAlignment="1">
      <alignment horizontal="left" vertical="center"/>
    </xf>
    <xf numFmtId="0" fontId="9" fillId="3" borderId="0" xfId="4" applyFont="1" applyAlignment="1">
      <alignment horizontal="left" vertical="center"/>
    </xf>
    <xf numFmtId="0" fontId="11" fillId="4" borderId="9" xfId="4" applyFont="1" applyFill="1" applyBorder="1" applyAlignment="1">
      <alignment horizontal="left" vertical="center" wrapText="1"/>
    </xf>
    <xf numFmtId="0" fontId="16" fillId="4" borderId="12" xfId="4" applyFont="1" applyFill="1" applyBorder="1" applyAlignment="1">
      <alignment horizontal="left" vertical="center"/>
    </xf>
    <xf numFmtId="0" fontId="15" fillId="3" borderId="14" xfId="4" applyFont="1" applyBorder="1" applyAlignment="1">
      <alignment horizontal="left" vertical="center"/>
    </xf>
    <xf numFmtId="0" fontId="15" fillId="0" borderId="14" xfId="5" applyNumberFormat="1" applyFont="1" applyFill="1" applyBorder="1" applyAlignment="1">
      <alignment horizontal="left" vertical="center"/>
    </xf>
    <xf numFmtId="0" fontId="15" fillId="0" borderId="14" xfId="4" applyFont="1" applyFill="1" applyBorder="1" applyAlignment="1">
      <alignment horizontal="left" vertical="center"/>
    </xf>
    <xf numFmtId="0" fontId="15" fillId="3" borderId="15" xfId="4" applyFont="1" applyBorder="1" applyAlignment="1">
      <alignment horizontal="left" vertical="center"/>
    </xf>
    <xf numFmtId="0" fontId="15" fillId="0" borderId="12" xfId="4" applyFont="1" applyFill="1" applyBorder="1" applyAlignment="1">
      <alignment horizontal="left" vertical="center"/>
    </xf>
    <xf numFmtId="0" fontId="4" fillId="0" borderId="9" xfId="4" applyFont="1" applyFill="1" applyBorder="1" applyAlignment="1">
      <alignment horizontal="left" vertical="center"/>
    </xf>
    <xf numFmtId="0" fontId="11" fillId="4" borderId="10" xfId="5" applyNumberFormat="1" applyFont="1" applyFill="1" applyBorder="1" applyAlignment="1">
      <alignment horizontal="center" vertical="center"/>
    </xf>
    <xf numFmtId="0" fontId="11" fillId="4" borderId="9" xfId="5" applyNumberFormat="1" applyFont="1" applyFill="1" applyBorder="1" applyAlignment="1">
      <alignment horizontal="center" vertical="center"/>
    </xf>
    <xf numFmtId="3" fontId="11" fillId="4" borderId="10" xfId="5" applyNumberFormat="1" applyFont="1" applyFill="1" applyBorder="1" applyAlignment="1">
      <alignment horizontal="center" vertical="center"/>
    </xf>
    <xf numFmtId="3" fontId="4" fillId="3" borderId="1" xfId="5" applyNumberFormat="1" applyFont="1" applyFill="1" applyBorder="1" applyAlignment="1">
      <alignment horizontal="center" vertical="center"/>
    </xf>
    <xf numFmtId="3" fontId="4" fillId="3" borderId="2" xfId="5" applyNumberFormat="1" applyFont="1" applyFill="1" applyBorder="1" applyAlignment="1">
      <alignment horizontal="center" vertical="center"/>
    </xf>
    <xf numFmtId="3" fontId="4" fillId="3" borderId="7" xfId="5" applyNumberFormat="1" applyFont="1" applyFill="1" applyBorder="1" applyAlignment="1">
      <alignment horizontal="center" vertical="center"/>
    </xf>
    <xf numFmtId="3" fontId="4" fillId="3" borderId="0" xfId="5" applyNumberFormat="1" applyFont="1" applyFill="1" applyBorder="1" applyAlignment="1">
      <alignment horizontal="center" vertical="center"/>
    </xf>
    <xf numFmtId="3" fontId="11" fillId="4" borderId="9" xfId="5" applyNumberFormat="1" applyFont="1" applyFill="1" applyBorder="1" applyAlignment="1">
      <alignment horizontal="center" vertical="center"/>
    </xf>
    <xf numFmtId="166" fontId="11" fillId="4" borderId="11" xfId="2" applyNumberFormat="1" applyFont="1" applyFill="1" applyBorder="1" applyAlignment="1">
      <alignment horizontal="center" vertical="center"/>
    </xf>
    <xf numFmtId="166" fontId="11" fillId="4" borderId="12" xfId="2" applyNumberFormat="1" applyFont="1" applyFill="1" applyBorder="1" applyAlignment="1">
      <alignment horizontal="center" vertical="center"/>
    </xf>
    <xf numFmtId="166" fontId="4" fillId="3" borderId="3" xfId="2" applyNumberFormat="1" applyFont="1" applyFill="1" applyBorder="1" applyAlignment="1">
      <alignment horizontal="center" vertical="center"/>
    </xf>
    <xf numFmtId="166" fontId="4" fillId="3" borderId="0" xfId="2" applyNumberFormat="1" applyFont="1" applyFill="1" applyBorder="1" applyAlignment="1">
      <alignment horizontal="center" vertical="center"/>
    </xf>
    <xf numFmtId="166" fontId="4" fillId="3" borderId="13" xfId="2" applyNumberFormat="1" applyFont="1" applyFill="1" applyBorder="1" applyAlignment="1">
      <alignment horizontal="center" vertical="center"/>
    </xf>
    <xf numFmtId="166" fontId="4" fillId="3" borderId="8" xfId="2" applyNumberFormat="1" applyFont="1" applyFill="1" applyBorder="1" applyAlignment="1">
      <alignment horizontal="center" vertical="center"/>
    </xf>
    <xf numFmtId="166" fontId="4" fillId="3" borderId="14" xfId="2" applyNumberFormat="1" applyFont="1" applyFill="1" applyBorder="1" applyAlignment="1">
      <alignment horizontal="center" vertical="center"/>
    </xf>
    <xf numFmtId="166" fontId="4" fillId="3" borderId="6" xfId="2" applyNumberFormat="1" applyFont="1" applyFill="1" applyBorder="1" applyAlignment="1">
      <alignment horizontal="center" vertical="center"/>
    </xf>
    <xf numFmtId="166" fontId="4" fillId="3" borderId="15" xfId="2" applyNumberFormat="1" applyFont="1" applyFill="1" applyBorder="1" applyAlignment="1">
      <alignment horizontal="center" vertical="center"/>
    </xf>
    <xf numFmtId="166" fontId="4" fillId="0" borderId="6" xfId="2" applyNumberFormat="1" applyFont="1" applyFill="1" applyBorder="1" applyAlignment="1">
      <alignment horizontal="center" vertical="center"/>
    </xf>
    <xf numFmtId="166" fontId="4" fillId="0" borderId="3" xfId="2" applyNumberFormat="1" applyFont="1" applyFill="1" applyBorder="1" applyAlignment="1">
      <alignment horizontal="center" vertical="center"/>
    </xf>
    <xf numFmtId="166" fontId="4" fillId="0" borderId="13" xfId="2" applyNumberFormat="1" applyFont="1" applyFill="1" applyBorder="1" applyAlignment="1">
      <alignment horizontal="center" vertical="center"/>
    </xf>
    <xf numFmtId="166" fontId="4" fillId="0" borderId="8" xfId="2" applyNumberFormat="1" applyFont="1" applyFill="1" applyBorder="1" applyAlignment="1">
      <alignment horizontal="center" vertical="center"/>
    </xf>
    <xf numFmtId="166" fontId="4" fillId="0" borderId="14" xfId="2" applyNumberFormat="1" applyFont="1" applyFill="1" applyBorder="1" applyAlignment="1">
      <alignment horizontal="center" vertical="center"/>
    </xf>
    <xf numFmtId="166" fontId="4" fillId="0" borderId="15" xfId="2" applyNumberFormat="1" applyFont="1" applyFill="1" applyBorder="1" applyAlignment="1">
      <alignment horizontal="center" vertical="center"/>
    </xf>
    <xf numFmtId="3" fontId="4" fillId="3" borderId="4" xfId="5" applyNumberFormat="1" applyFont="1" applyFill="1" applyBorder="1" applyAlignment="1">
      <alignment horizontal="center" vertical="center"/>
    </xf>
    <xf numFmtId="3" fontId="4" fillId="3" borderId="5" xfId="5" applyNumberFormat="1" applyFont="1" applyFill="1" applyBorder="1" applyAlignment="1">
      <alignment horizontal="center" vertical="center"/>
    </xf>
    <xf numFmtId="3" fontId="4" fillId="3" borderId="10" xfId="5" applyNumberFormat="1" applyFont="1" applyFill="1" applyBorder="1" applyAlignment="1">
      <alignment horizontal="center" vertical="center"/>
    </xf>
    <xf numFmtId="166" fontId="4" fillId="3" borderId="11" xfId="2" applyNumberFormat="1" applyFont="1" applyFill="1" applyBorder="1" applyAlignment="1">
      <alignment horizontal="center" vertical="center"/>
    </xf>
    <xf numFmtId="3" fontId="4" fillId="0" borderId="7" xfId="5" applyNumberFormat="1" applyFont="1" applyBorder="1" applyAlignment="1">
      <alignment horizontal="center" vertical="center"/>
    </xf>
    <xf numFmtId="3" fontId="4" fillId="0" borderId="0" xfId="5" applyNumberFormat="1" applyFont="1" applyBorder="1" applyAlignment="1">
      <alignment horizontal="center" vertical="center"/>
    </xf>
    <xf numFmtId="3" fontId="4" fillId="3" borderId="1" xfId="2" applyNumberFormat="1" applyFont="1" applyFill="1" applyBorder="1" applyAlignment="1">
      <alignment horizontal="center" vertical="center"/>
    </xf>
    <xf numFmtId="3" fontId="4" fillId="3" borderId="0" xfId="2" applyNumberFormat="1" applyFont="1" applyFill="1" applyBorder="1" applyAlignment="1">
      <alignment horizontal="center" vertical="center"/>
    </xf>
    <xf numFmtId="166" fontId="4" fillId="3" borderId="2" xfId="2" applyNumberFormat="1" applyFont="1" applyFill="1" applyBorder="1" applyAlignment="1">
      <alignment horizontal="center" vertical="center"/>
    </xf>
    <xf numFmtId="3" fontId="4" fillId="3" borderId="7" xfId="2" applyNumberFormat="1" applyFont="1" applyFill="1" applyBorder="1" applyAlignment="1">
      <alignment horizontal="center" vertical="center"/>
    </xf>
    <xf numFmtId="164" fontId="4" fillId="3" borderId="0" xfId="2" applyNumberFormat="1" applyFont="1" applyFill="1" applyBorder="1" applyAlignment="1">
      <alignment horizontal="center" vertical="center"/>
    </xf>
    <xf numFmtId="166" fontId="4" fillId="3" borderId="5" xfId="2" applyNumberFormat="1" applyFont="1" applyFill="1" applyBorder="1" applyAlignment="1">
      <alignment horizontal="center" vertical="center"/>
    </xf>
    <xf numFmtId="10" fontId="11" fillId="4" borderId="11" xfId="2" applyNumberFormat="1" applyFont="1" applyFill="1" applyBorder="1" applyAlignment="1">
      <alignment horizontal="center" vertical="center"/>
    </xf>
    <xf numFmtId="10" fontId="11" fillId="4" borderId="12" xfId="2" applyNumberFormat="1" applyFont="1" applyFill="1" applyBorder="1" applyAlignment="1">
      <alignment horizontal="center" vertical="center"/>
    </xf>
    <xf numFmtId="3" fontId="4" fillId="3" borderId="0" xfId="1" applyNumberFormat="1" applyFont="1" applyFill="1" applyBorder="1" applyAlignment="1">
      <alignment horizontal="center" vertical="center"/>
    </xf>
    <xf numFmtId="3" fontId="16" fillId="4" borderId="10" xfId="5" applyNumberFormat="1" applyFont="1" applyFill="1" applyBorder="1" applyAlignment="1">
      <alignment horizontal="center" vertical="center"/>
    </xf>
    <xf numFmtId="3" fontId="15" fillId="3" borderId="0" xfId="5" applyNumberFormat="1" applyFont="1" applyFill="1" applyBorder="1" applyAlignment="1">
      <alignment horizontal="center" vertical="center"/>
    </xf>
    <xf numFmtId="3" fontId="15" fillId="0" borderId="0" xfId="5" applyNumberFormat="1" applyFont="1" applyFill="1" applyBorder="1" applyAlignment="1">
      <alignment horizontal="center" vertical="center"/>
    </xf>
    <xf numFmtId="3" fontId="16" fillId="4" borderId="9" xfId="5" applyNumberFormat="1" applyFont="1" applyFill="1" applyBorder="1" applyAlignment="1">
      <alignment horizontal="center" vertical="center"/>
    </xf>
    <xf numFmtId="3" fontId="15" fillId="3" borderId="0" xfId="5" applyNumberFormat="1" applyFont="1" applyFill="1" applyAlignment="1">
      <alignment horizontal="center" vertical="center"/>
    </xf>
    <xf numFmtId="3" fontId="15" fillId="3" borderId="1" xfId="5" applyNumberFormat="1" applyFont="1" applyFill="1" applyBorder="1" applyAlignment="1">
      <alignment horizontal="center" vertical="center"/>
    </xf>
    <xf numFmtId="3" fontId="15" fillId="3" borderId="2" xfId="5" applyNumberFormat="1" applyFont="1" applyFill="1" applyBorder="1" applyAlignment="1">
      <alignment horizontal="center" vertical="center"/>
    </xf>
    <xf numFmtId="3" fontId="15" fillId="3" borderId="7" xfId="5" applyNumberFormat="1" applyFont="1" applyFill="1" applyBorder="1" applyAlignment="1">
      <alignment horizontal="center" vertical="center"/>
    </xf>
    <xf numFmtId="3" fontId="15" fillId="3" borderId="4" xfId="5" applyNumberFormat="1" applyFont="1" applyFill="1" applyBorder="1" applyAlignment="1">
      <alignment horizontal="center" vertical="center"/>
    </xf>
    <xf numFmtId="3" fontId="15" fillId="3" borderId="5" xfId="5" applyNumberFormat="1" applyFont="1" applyFill="1" applyBorder="1" applyAlignment="1">
      <alignment horizontal="center" vertical="center"/>
    </xf>
    <xf numFmtId="3" fontId="15" fillId="3" borderId="4" xfId="1" applyNumberFormat="1" applyFont="1" applyFill="1" applyBorder="1" applyAlignment="1">
      <alignment horizontal="center" vertical="center"/>
    </xf>
    <xf numFmtId="3" fontId="15" fillId="3" borderId="0" xfId="1" applyNumberFormat="1" applyFont="1" applyFill="1" applyBorder="1" applyAlignment="1">
      <alignment horizontal="center" vertical="center"/>
    </xf>
    <xf numFmtId="3" fontId="15" fillId="3" borderId="9" xfId="5" applyNumberFormat="1" applyFont="1" applyFill="1" applyBorder="1" applyAlignment="1">
      <alignment horizontal="center" vertical="center"/>
    </xf>
    <xf numFmtId="3" fontId="15" fillId="3" borderId="10" xfId="5" applyNumberFormat="1" applyFont="1" applyFill="1" applyBorder="1" applyAlignment="1">
      <alignment horizontal="center" vertical="center"/>
    </xf>
    <xf numFmtId="10" fontId="11" fillId="4" borderId="10" xfId="2" applyNumberFormat="1" applyFont="1" applyFill="1" applyBorder="1" applyAlignment="1">
      <alignment horizontal="center" vertical="center"/>
    </xf>
    <xf numFmtId="166" fontId="15" fillId="3" borderId="0" xfId="2" applyNumberFormat="1" applyFont="1" applyFill="1" applyBorder="1" applyAlignment="1">
      <alignment horizontal="center" vertical="center"/>
    </xf>
    <xf numFmtId="166" fontId="16" fillId="4" borderId="11" xfId="2" applyNumberFormat="1" applyFont="1" applyFill="1" applyBorder="1" applyAlignment="1">
      <alignment horizontal="center" vertical="center"/>
    </xf>
    <xf numFmtId="166" fontId="15" fillId="3" borderId="3" xfId="2" applyNumberFormat="1" applyFont="1" applyFill="1" applyBorder="1" applyAlignment="1">
      <alignment horizontal="center" vertical="center"/>
    </xf>
    <xf numFmtId="166" fontId="15" fillId="3" borderId="8" xfId="2" applyNumberFormat="1" applyFont="1" applyFill="1" applyBorder="1" applyAlignment="1">
      <alignment horizontal="center" vertical="center"/>
    </xf>
    <xf numFmtId="166" fontId="15" fillId="3" borderId="6" xfId="2" applyNumberFormat="1" applyFont="1" applyFill="1" applyBorder="1" applyAlignment="1">
      <alignment horizontal="center" vertical="center"/>
    </xf>
    <xf numFmtId="166" fontId="15" fillId="3" borderId="11" xfId="2" applyNumberFormat="1" applyFont="1" applyFill="1" applyBorder="1" applyAlignment="1">
      <alignment horizontal="center" vertical="center"/>
    </xf>
    <xf numFmtId="166" fontId="16" fillId="4" borderId="0" xfId="2" applyNumberFormat="1" applyFont="1" applyFill="1" applyBorder="1" applyAlignment="1">
      <alignment horizontal="center" vertical="center"/>
    </xf>
    <xf numFmtId="10" fontId="15" fillId="3" borderId="8" xfId="2" applyNumberFormat="1" applyFont="1" applyFill="1" applyBorder="1" applyAlignment="1">
      <alignment horizontal="center" vertical="center"/>
    </xf>
    <xf numFmtId="166" fontId="16" fillId="4" borderId="12" xfId="2" applyNumberFormat="1" applyFont="1" applyFill="1" applyBorder="1" applyAlignment="1">
      <alignment horizontal="center" vertical="center"/>
    </xf>
    <xf numFmtId="166" fontId="15" fillId="3" borderId="13" xfId="2" applyNumberFormat="1" applyFont="1" applyFill="1" applyBorder="1" applyAlignment="1">
      <alignment horizontal="center" vertical="center"/>
    </xf>
    <xf numFmtId="166" fontId="15" fillId="3" borderId="14" xfId="2" applyNumberFormat="1" applyFont="1" applyFill="1" applyBorder="1" applyAlignment="1">
      <alignment horizontal="center" vertical="center"/>
    </xf>
    <xf numFmtId="10" fontId="15" fillId="3" borderId="14" xfId="2" applyNumberFormat="1" applyFont="1" applyFill="1" applyBorder="1" applyAlignment="1">
      <alignment horizontal="center" vertical="center"/>
    </xf>
    <xf numFmtId="166" fontId="15" fillId="3" borderId="12" xfId="2" applyNumberFormat="1" applyFont="1" applyFill="1" applyBorder="1" applyAlignment="1">
      <alignment horizontal="center" vertical="center"/>
    </xf>
    <xf numFmtId="164" fontId="4" fillId="3" borderId="7" xfId="2" applyNumberFormat="1" applyFont="1" applyFill="1" applyBorder="1" applyAlignment="1">
      <alignment horizontal="center" vertical="center"/>
    </xf>
    <xf numFmtId="0" fontId="22" fillId="4" borderId="11" xfId="0" applyFont="1" applyFill="1" applyBorder="1" applyAlignment="1">
      <alignment vertical="center"/>
    </xf>
    <xf numFmtId="0" fontId="22" fillId="0" borderId="8" xfId="0" applyFont="1" applyBorder="1" applyAlignment="1">
      <alignment vertical="center"/>
    </xf>
    <xf numFmtId="0" fontId="27" fillId="4" borderId="11" xfId="0" applyFont="1" applyFill="1" applyBorder="1" applyAlignment="1">
      <alignment vertical="center"/>
    </xf>
    <xf numFmtId="3" fontId="16" fillId="4" borderId="0" xfId="5" applyNumberFormat="1" applyFont="1" applyFill="1" applyBorder="1" applyAlignment="1">
      <alignment horizontal="center" vertical="center"/>
    </xf>
    <xf numFmtId="3" fontId="4" fillId="3" borderId="9" xfId="5" applyNumberFormat="1" applyFont="1" applyFill="1" applyBorder="1" applyAlignment="1">
      <alignment horizontal="center" vertical="center"/>
    </xf>
    <xf numFmtId="0" fontId="15" fillId="0" borderId="13" xfId="4" applyFont="1" applyFill="1" applyBorder="1" applyAlignment="1">
      <alignment horizontal="left" vertical="center"/>
    </xf>
    <xf numFmtId="10" fontId="4" fillId="3" borderId="14" xfId="2" applyNumberFormat="1" applyFont="1" applyFill="1" applyBorder="1" applyAlignment="1">
      <alignment horizontal="center" vertical="center"/>
    </xf>
    <xf numFmtId="10" fontId="15" fillId="0" borderId="6" xfId="2" applyNumberFormat="1" applyFont="1" applyFill="1" applyBorder="1" applyAlignment="1">
      <alignment horizontal="center" vertical="center"/>
    </xf>
    <xf numFmtId="166" fontId="15" fillId="0" borderId="15" xfId="2" applyNumberFormat="1" applyFont="1" applyFill="1" applyBorder="1" applyAlignment="1">
      <alignment horizontal="center" vertical="center"/>
    </xf>
    <xf numFmtId="10" fontId="15" fillId="0" borderId="15" xfId="2" applyNumberFormat="1" applyFont="1" applyFill="1" applyBorder="1" applyAlignment="1">
      <alignment horizontal="center" vertical="center"/>
    </xf>
    <xf numFmtId="166" fontId="15" fillId="0" borderId="14" xfId="2" applyNumberFormat="1" applyFont="1" applyFill="1" applyBorder="1" applyAlignment="1">
      <alignment horizontal="center" vertical="center"/>
    </xf>
    <xf numFmtId="10" fontId="15" fillId="0" borderId="14" xfId="2" applyNumberFormat="1" applyFont="1" applyFill="1" applyBorder="1" applyAlignment="1">
      <alignment horizontal="center" vertical="center"/>
    </xf>
    <xf numFmtId="0" fontId="3" fillId="2" borderId="0" xfId="3" applyFont="1" applyFill="1" applyAlignment="1">
      <alignment horizontal="left" vertical="center" wrapText="1"/>
    </xf>
    <xf numFmtId="0" fontId="4" fillId="0" borderId="13" xfId="4" applyFont="1" applyFill="1" applyBorder="1" applyAlignment="1">
      <alignment horizontal="left" vertical="center" indent="1"/>
    </xf>
    <xf numFmtId="37" fontId="4" fillId="3" borderId="0" xfId="5" applyNumberFormat="1" applyFont="1" applyFill="1" applyBorder="1" applyAlignment="1">
      <alignment horizontal="center" vertical="center"/>
    </xf>
    <xf numFmtId="0" fontId="4" fillId="0" borderId="14" xfId="4" applyFont="1" applyFill="1" applyBorder="1" applyAlignment="1">
      <alignment horizontal="left" vertical="center" indent="1"/>
    </xf>
    <xf numFmtId="0" fontId="15" fillId="0" borderId="15" xfId="4" applyFont="1" applyFill="1" applyBorder="1" applyAlignment="1">
      <alignment horizontal="left" indent="1"/>
    </xf>
    <xf numFmtId="0" fontId="4" fillId="0" borderId="3" xfId="4" applyFont="1" applyFill="1" applyBorder="1" applyAlignment="1">
      <alignment horizontal="left" vertical="center" indent="1"/>
    </xf>
    <xf numFmtId="0" fontId="4" fillId="0" borderId="8" xfId="4" applyFont="1" applyFill="1" applyBorder="1" applyAlignment="1">
      <alignment horizontal="left" vertical="center" indent="1"/>
    </xf>
    <xf numFmtId="0" fontId="15" fillId="0" borderId="6" xfId="4" applyFont="1" applyFill="1" applyBorder="1" applyAlignment="1">
      <alignment horizontal="left" indent="1"/>
    </xf>
    <xf numFmtId="0" fontId="15" fillId="0" borderId="8" xfId="4" applyFont="1" applyFill="1" applyBorder="1" applyAlignment="1">
      <alignment horizontal="left" indent="1"/>
    </xf>
    <xf numFmtId="37" fontId="4" fillId="3" borderId="5" xfId="5" applyNumberFormat="1" applyFont="1" applyFill="1" applyBorder="1" applyAlignment="1">
      <alignment horizontal="center" vertical="center"/>
    </xf>
    <xf numFmtId="0" fontId="4" fillId="3" borderId="8" xfId="4" applyFont="1" applyBorder="1" applyAlignment="1">
      <alignment horizontal="left" vertical="center" indent="1"/>
    </xf>
    <xf numFmtId="37" fontId="4" fillId="3" borderId="2" xfId="5" applyNumberFormat="1" applyFont="1" applyFill="1" applyBorder="1" applyAlignment="1">
      <alignment horizontal="center" vertical="center"/>
    </xf>
    <xf numFmtId="37" fontId="4" fillId="3" borderId="1" xfId="5" applyNumberFormat="1" applyFont="1" applyFill="1" applyBorder="1" applyAlignment="1">
      <alignment horizontal="center" vertical="center"/>
    </xf>
    <xf numFmtId="0" fontId="22" fillId="0" borderId="0" xfId="0" applyFont="1" applyAlignment="1">
      <alignment horizontal="right" vertical="center"/>
    </xf>
    <xf numFmtId="3" fontId="9" fillId="0" borderId="7" xfId="3" applyNumberFormat="1" applyFont="1" applyBorder="1" applyAlignment="1">
      <alignment horizontal="center" vertical="center"/>
    </xf>
    <xf numFmtId="3" fontId="15" fillId="0" borderId="0" xfId="4" applyNumberFormat="1" applyFont="1" applyFill="1" applyAlignment="1">
      <alignment horizontal="center" vertical="center"/>
    </xf>
    <xf numFmtId="3" fontId="7" fillId="0" borderId="5" xfId="3" applyNumberFormat="1" applyFont="1" applyBorder="1" applyAlignment="1">
      <alignment horizontal="center" vertical="center"/>
    </xf>
    <xf numFmtId="3" fontId="15" fillId="0" borderId="0" xfId="3" applyNumberFormat="1" applyFont="1" applyAlignment="1">
      <alignment horizontal="center" vertical="center"/>
    </xf>
    <xf numFmtId="3" fontId="15" fillId="0" borderId="3" xfId="3" applyNumberFormat="1" applyFont="1" applyBorder="1" applyAlignment="1">
      <alignment horizontal="center" vertical="center"/>
    </xf>
    <xf numFmtId="3" fontId="15" fillId="0" borderId="5" xfId="3" applyNumberFormat="1" applyFont="1" applyBorder="1" applyAlignment="1">
      <alignment horizontal="center" vertical="center"/>
    </xf>
    <xf numFmtId="3" fontId="7" fillId="0" borderId="6" xfId="3" applyNumberFormat="1" applyFont="1" applyBorder="1" applyAlignment="1">
      <alignment horizontal="center" vertical="center"/>
    </xf>
    <xf numFmtId="3" fontId="15" fillId="0" borderId="8" xfId="3" applyNumberFormat="1" applyFont="1" applyBorder="1" applyAlignment="1">
      <alignment horizontal="center" vertical="center"/>
    </xf>
    <xf numFmtId="164" fontId="4" fillId="3" borderId="0" xfId="5" applyNumberFormat="1" applyFont="1" applyFill="1" applyBorder="1" applyAlignment="1">
      <alignment horizontal="center" vertical="center"/>
    </xf>
    <xf numFmtId="10" fontId="16" fillId="4" borderId="12" xfId="2" applyNumberFormat="1" applyFont="1" applyFill="1" applyBorder="1" applyAlignment="1">
      <alignment horizontal="center" vertical="center"/>
    </xf>
    <xf numFmtId="3" fontId="15" fillId="0" borderId="0" xfId="3" applyNumberFormat="1" applyFont="1" applyBorder="1" applyAlignment="1">
      <alignment horizontal="center" vertical="center"/>
    </xf>
    <xf numFmtId="0" fontId="4" fillId="3" borderId="4" xfId="0" applyFont="1" applyFill="1" applyBorder="1" applyAlignment="1">
      <alignment horizontal="center" vertical="center"/>
    </xf>
    <xf numFmtId="3" fontId="15" fillId="0" borderId="3" xfId="4" applyNumberFormat="1" applyFont="1" applyFill="1" applyBorder="1" applyAlignment="1">
      <alignment horizontal="center" vertical="center"/>
    </xf>
    <xf numFmtId="3" fontId="15" fillId="0" borderId="6" xfId="4" applyNumberFormat="1" applyFont="1" applyFill="1" applyBorder="1" applyAlignment="1">
      <alignment horizontal="center" vertical="center"/>
    </xf>
    <xf numFmtId="0" fontId="14" fillId="2" borderId="0" xfId="3" applyFont="1" applyFill="1" applyAlignment="1">
      <alignment vertical="center"/>
    </xf>
    <xf numFmtId="3" fontId="4" fillId="2" borderId="0" xfId="3" applyNumberFormat="1" applyFont="1" applyFill="1" applyAlignment="1">
      <alignment horizontal="center" vertical="center"/>
    </xf>
    <xf numFmtId="164" fontId="4" fillId="3" borderId="7" xfId="5" applyNumberFormat="1" applyFont="1" applyFill="1" applyBorder="1" applyAlignment="1">
      <alignment horizontal="center" vertical="center"/>
    </xf>
    <xf numFmtId="3" fontId="4" fillId="3" borderId="4" xfId="2" applyNumberFormat="1" applyFont="1" applyFill="1" applyBorder="1" applyAlignment="1">
      <alignment horizontal="center" vertical="center"/>
    </xf>
    <xf numFmtId="4" fontId="4" fillId="3" borderId="7" xfId="2" applyNumberFormat="1" applyFont="1" applyFill="1" applyBorder="1" applyAlignment="1">
      <alignment horizontal="center" vertical="center"/>
    </xf>
    <xf numFmtId="4" fontId="4" fillId="3" borderId="0" xfId="2" applyNumberFormat="1" applyFont="1" applyFill="1" applyBorder="1" applyAlignment="1">
      <alignment horizontal="center" vertical="center"/>
    </xf>
    <xf numFmtId="164" fontId="4" fillId="3" borderId="4" xfId="5" applyNumberFormat="1" applyFont="1" applyFill="1" applyBorder="1" applyAlignment="1">
      <alignment horizontal="center" vertical="center"/>
    </xf>
    <xf numFmtId="164" fontId="4" fillId="3" borderId="5" xfId="5" applyNumberFormat="1" applyFont="1" applyFill="1" applyBorder="1" applyAlignment="1">
      <alignment horizontal="center" vertical="center"/>
    </xf>
    <xf numFmtId="164" fontId="15" fillId="3" borderId="7" xfId="5" applyNumberFormat="1" applyFont="1" applyFill="1" applyBorder="1" applyAlignment="1">
      <alignment horizontal="center" vertical="center"/>
    </xf>
    <xf numFmtId="4" fontId="4" fillId="3" borderId="4" xfId="5" applyNumberFormat="1" applyFont="1" applyFill="1" applyBorder="1" applyAlignment="1">
      <alignment horizontal="center" vertical="center"/>
    </xf>
    <xf numFmtId="4" fontId="4" fillId="3" borderId="5" xfId="5" applyNumberFormat="1" applyFont="1" applyFill="1" applyBorder="1" applyAlignment="1">
      <alignment horizontal="center" vertical="center"/>
    </xf>
    <xf numFmtId="3" fontId="15" fillId="0" borderId="5" xfId="5" applyNumberFormat="1" applyFont="1" applyFill="1" applyBorder="1" applyAlignment="1">
      <alignment horizontal="center" vertical="center"/>
    </xf>
    <xf numFmtId="168" fontId="15" fillId="0" borderId="14" xfId="2" applyNumberFormat="1" applyFont="1" applyFill="1" applyBorder="1" applyAlignment="1">
      <alignment horizontal="center" vertical="center"/>
    </xf>
    <xf numFmtId="169" fontId="15" fillId="0" borderId="14" xfId="2" applyNumberFormat="1" applyFont="1" applyFill="1" applyBorder="1" applyAlignment="1">
      <alignment horizontal="center" vertical="center"/>
    </xf>
    <xf numFmtId="166" fontId="15" fillId="0" borderId="12" xfId="2" applyNumberFormat="1"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3" fillId="2" borderId="0" xfId="3" applyFont="1" applyFill="1" applyAlignment="1">
      <alignment horizontal="center" vertical="center"/>
    </xf>
    <xf numFmtId="0" fontId="5" fillId="2" borderId="0" xfId="3" applyFont="1" applyFill="1" applyAlignment="1">
      <alignment horizontal="center" vertical="center"/>
    </xf>
    <xf numFmtId="0" fontId="3" fillId="2" borderId="0" xfId="3" applyFont="1" applyFill="1" applyAlignment="1">
      <alignment horizontal="left" vertical="center" wrapText="1"/>
    </xf>
    <xf numFmtId="0" fontId="7" fillId="0" borderId="7" xfId="3" applyFont="1" applyBorder="1" applyAlignment="1">
      <alignment horizontal="left" vertical="center" wrapText="1"/>
    </xf>
    <xf numFmtId="0" fontId="7" fillId="0" borderId="0" xfId="3" applyFont="1" applyAlignment="1">
      <alignment horizontal="left" vertical="center" wrapText="1"/>
    </xf>
    <xf numFmtId="0" fontId="7" fillId="0" borderId="8" xfId="3" applyFont="1" applyBorder="1" applyAlignment="1">
      <alignment horizontal="left" vertical="center" wrapText="1"/>
    </xf>
    <xf numFmtId="0" fontId="7" fillId="0" borderId="4" xfId="3" applyFont="1" applyBorder="1" applyAlignment="1">
      <alignment horizontal="left" vertical="center" wrapText="1"/>
    </xf>
    <xf numFmtId="0" fontId="7" fillId="0" borderId="5" xfId="3" applyFont="1" applyBorder="1" applyAlignment="1">
      <alignment horizontal="left" vertical="center" wrapText="1"/>
    </xf>
    <xf numFmtId="0" fontId="7" fillId="0" borderId="6" xfId="3" applyFont="1" applyBorder="1" applyAlignment="1">
      <alignment horizontal="left" vertical="center" wrapText="1"/>
    </xf>
    <xf numFmtId="0" fontId="23" fillId="0" borderId="0" xfId="0" applyFont="1" applyAlignment="1">
      <alignment horizontal="center" vertical="center" wrapText="1"/>
    </xf>
    <xf numFmtId="3" fontId="11" fillId="4" borderId="9" xfId="4" applyNumberFormat="1" applyFont="1" applyFill="1" applyBorder="1" applyAlignment="1">
      <alignment horizontal="center" vertical="center" wrapText="1"/>
    </xf>
    <xf numFmtId="3" fontId="11" fillId="4" borderId="10" xfId="4" applyNumberFormat="1" applyFont="1" applyFill="1" applyBorder="1" applyAlignment="1">
      <alignment horizontal="center" vertical="center"/>
    </xf>
    <xf numFmtId="3" fontId="11" fillId="4" borderId="11" xfId="4" applyNumberFormat="1" applyFont="1" applyFill="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cellXfs>
  <cellStyles count="6">
    <cellStyle name="Millares" xfId="1" builtinId="3"/>
    <cellStyle name="Millares 2 3" xfId="5"/>
    <cellStyle name="Normal" xfId="0" builtinId="0"/>
    <cellStyle name="Normal 4 3" xfId="3"/>
    <cellStyle name="Porcentaje" xfId="2" builtinId="5"/>
    <cellStyle name="TEXTO NORMAL" xfId="4"/>
  </cellStyles>
  <dxfs count="1">
    <dxf>
      <fill>
        <patternFill patternType="none"/>
      </fill>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C00000">
                <a:alpha val="50196"/>
              </a:srgbClr>
            </a:solidFill>
          </c:spPr>
          <c:invertIfNegative val="0"/>
          <c:dPt>
            <c:idx val="7"/>
            <c:invertIfNegative val="0"/>
            <c:bubble3D val="0"/>
            <c:extLst>
              <c:ext xmlns:c16="http://schemas.microsoft.com/office/drawing/2014/chart" uri="{C3380CC4-5D6E-409C-BE32-E72D297353CC}">
                <c16:uniqueId val="{00000000-9898-4371-A9E4-B533EE1B1C1E}"/>
              </c:ext>
            </c:extLst>
          </c:dPt>
          <c:dPt>
            <c:idx val="10"/>
            <c:invertIfNegative val="0"/>
            <c:bubble3D val="0"/>
            <c:spPr>
              <a:solidFill>
                <a:srgbClr val="C00000"/>
              </a:solidFill>
            </c:spPr>
            <c:extLst>
              <c:ext xmlns:c16="http://schemas.microsoft.com/office/drawing/2014/chart" uri="{C3380CC4-5D6E-409C-BE32-E72D297353CC}">
                <c16:uniqueId val="{00000002-4239-4D07-86F0-E1DE48F3D6CF}"/>
              </c:ext>
            </c:extLst>
          </c:dPt>
          <c:dLbls>
            <c:dLbl>
              <c:idx val="10"/>
              <c:spPr>
                <a:noFill/>
                <a:ln>
                  <a:noFill/>
                </a:ln>
                <a:effectLst/>
              </c:spPr>
              <c:txPr>
                <a:bodyPr/>
                <a:lstStyle/>
                <a:p>
                  <a:pPr>
                    <a:defRPr sz="1100" b="1"/>
                  </a:pPr>
                  <a:endParaRPr lang="es-PE"/>
                </a:p>
              </c:txPr>
              <c:dLblPos val="outEnd"/>
              <c:showLegendKey val="0"/>
              <c:showVal val="1"/>
              <c:showCatName val="0"/>
              <c:showSerName val="0"/>
              <c:showPercent val="0"/>
              <c:showBubbleSize val="0"/>
              <c:extLst>
                <c:ext xmlns:c16="http://schemas.microsoft.com/office/drawing/2014/chart" uri="{C3380CC4-5D6E-409C-BE32-E72D297353CC}">
                  <c16:uniqueId val="{00000002-4239-4D07-86F0-E1DE48F3D6CF}"/>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'S01.C01'!$C$27:$C$37</c:f>
              <c:strCache>
                <c:ptCount val="11"/>
                <c:pt idx="0">
                  <c:v>2016</c:v>
                </c:pt>
                <c:pt idx="1">
                  <c:v>2017</c:v>
                </c:pt>
                <c:pt idx="2">
                  <c:v>2018</c:v>
                </c:pt>
                <c:pt idx="3">
                  <c:v>2019</c:v>
                </c:pt>
                <c:pt idx="4">
                  <c:v>2020</c:v>
                </c:pt>
                <c:pt idx="5">
                  <c:v>2021</c:v>
                </c:pt>
                <c:pt idx="6">
                  <c:v>2022</c:v>
                </c:pt>
                <c:pt idx="7">
                  <c:v>2023</c:v>
                </c:pt>
                <c:pt idx="8">
                  <c:v>2024</c:v>
                </c:pt>
                <c:pt idx="9">
                  <c:v>2025</c:v>
                </c:pt>
                <c:pt idx="10">
                  <c:v>2026
(Ene)
(Jan)</c:v>
                </c:pt>
              </c:strCache>
            </c:strRef>
          </c:cat>
          <c:val>
            <c:numRef>
              <c:f>'S01.C01'!$Q$27:$Q$37</c:f>
              <c:numCache>
                <c:formatCode>#,##0</c:formatCode>
                <c:ptCount val="11"/>
                <c:pt idx="0">
                  <c:v>2352.9595047380653</c:v>
                </c:pt>
                <c:pt idx="1">
                  <c:v>2440.1811105834286</c:v>
                </c:pt>
                <c:pt idx="2">
                  <c:v>2416.8811002070697</c:v>
                </c:pt>
                <c:pt idx="3">
                  <c:v>2437.9253739027731</c:v>
                </c:pt>
                <c:pt idx="4">
                  <c:v>2150.1259121219628</c:v>
                </c:pt>
                <c:pt idx="5">
                  <c:v>2326.0353089323735</c:v>
                </c:pt>
                <c:pt idx="6">
                  <c:v>2445.2708303173977</c:v>
                </c:pt>
                <c:pt idx="7">
                  <c:v>2755.2443167853276</c:v>
                </c:pt>
                <c:pt idx="8">
                  <c:v>2736.2371072517244</c:v>
                </c:pt>
                <c:pt idx="9">
                  <c:v>2769.7937213370205</c:v>
                </c:pt>
                <c:pt idx="10">
                  <c:v>226.25588869400002</c:v>
                </c:pt>
              </c:numCache>
            </c:numRef>
          </c:val>
          <c:extLst>
            <c:ext xmlns:c16="http://schemas.microsoft.com/office/drawing/2014/chart" uri="{C3380CC4-5D6E-409C-BE32-E72D297353CC}">
              <c16:uniqueId val="{00000003-9898-4371-A9E4-B533EE1B1C1E}"/>
            </c:ext>
          </c:extLst>
        </c:ser>
        <c:dLbls>
          <c:dLblPos val="outEnd"/>
          <c:showLegendKey val="0"/>
          <c:showVal val="1"/>
          <c:showCatName val="0"/>
          <c:showSerName val="0"/>
          <c:showPercent val="0"/>
          <c:showBubbleSize val="0"/>
        </c:dLbls>
        <c:gapWidth val="150"/>
        <c:axId val="173291776"/>
        <c:axId val="173301760"/>
      </c:barChart>
      <c:catAx>
        <c:axId val="173291776"/>
        <c:scaling>
          <c:orientation val="minMax"/>
        </c:scaling>
        <c:delete val="0"/>
        <c:axPos val="b"/>
        <c:numFmt formatCode="General" sourceLinked="0"/>
        <c:majorTickMark val="out"/>
        <c:minorTickMark val="none"/>
        <c:tickLblPos val="nextTo"/>
        <c:crossAx val="173301760"/>
        <c:crosses val="autoZero"/>
        <c:auto val="1"/>
        <c:lblAlgn val="ctr"/>
        <c:lblOffset val="100"/>
        <c:noMultiLvlLbl val="0"/>
      </c:catAx>
      <c:valAx>
        <c:axId val="173301760"/>
        <c:scaling>
          <c:orientation val="minMax"/>
        </c:scaling>
        <c:delete val="0"/>
        <c:axPos val="l"/>
        <c:numFmt formatCode="#,##0" sourceLinked="1"/>
        <c:majorTickMark val="out"/>
        <c:minorTickMark val="none"/>
        <c:tickLblPos val="nextTo"/>
        <c:crossAx val="173291776"/>
        <c:crosses val="autoZero"/>
        <c:crossBetween val="between"/>
        <c:majorUnit val="1000"/>
      </c:valAx>
    </c:plotArea>
    <c:plotVisOnly val="1"/>
    <c:dispBlanksAs val="gap"/>
    <c:showDLblsOverMax val="0"/>
  </c:chart>
  <c:spPr>
    <a:ln>
      <a:noFill/>
    </a:ln>
  </c:spPr>
  <c:txPr>
    <a:bodyPr/>
    <a:lstStyle/>
    <a:p>
      <a:pPr>
        <a:defRPr>
          <a:latin typeface="+mj-lt"/>
        </a:defRPr>
      </a:pPr>
      <a:endParaRPr lang="es-PE"/>
    </a:p>
  </c:txPr>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63207</xdr:colOff>
      <xdr:row>52</xdr:row>
      <xdr:rowOff>19050</xdr:rowOff>
    </xdr:from>
    <xdr:to>
      <xdr:col>15</xdr:col>
      <xdr:colOff>542924</xdr:colOff>
      <xdr:row>59</xdr:row>
      <xdr:rowOff>1</xdr:rowOff>
    </xdr:to>
    <xdr:graphicFrame macro="">
      <xdr:nvGraphicFramePr>
        <xdr:cNvPr id="2" name="2 Gráfico">
          <a:extLst>
            <a:ext uri="{FF2B5EF4-FFF2-40B4-BE49-F238E27FC236}">
              <a16:creationId xmlns:a16="http://schemas.microsoft.com/office/drawing/2014/main" id="{7A05BD03-B28A-43AA-BB20-4FA32B326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C3:AJ61"/>
  <sheetViews>
    <sheetView showGridLines="0" tabSelected="1" view="pageBreakPreview" zoomScaleNormal="100" zoomScaleSheetLayoutView="100" workbookViewId="0"/>
  </sheetViews>
  <sheetFormatPr baseColWidth="10" defaultColWidth="11.42578125" defaultRowHeight="12.75" x14ac:dyDescent="0.25"/>
  <cols>
    <col min="1" max="2" width="2.7109375" style="2" customWidth="1"/>
    <col min="3" max="3" width="12.85546875" style="34" customWidth="1"/>
    <col min="4" max="4" width="12.42578125" style="2" customWidth="1"/>
    <col min="5" max="5" width="13.28515625" style="2" bestFit="1" customWidth="1"/>
    <col min="6" max="16" width="12.42578125" style="2" customWidth="1"/>
    <col min="17" max="17" width="4" style="8" customWidth="1"/>
    <col min="18" max="18" width="11.42578125" style="2"/>
    <col min="19" max="19" width="12.42578125" style="2" bestFit="1" customWidth="1"/>
    <col min="20" max="20" width="14.42578125" style="2" bestFit="1" customWidth="1"/>
    <col min="21" max="22" width="12.42578125" style="2" bestFit="1" customWidth="1"/>
    <col min="23" max="23" width="11.5703125" style="2" bestFit="1" customWidth="1"/>
    <col min="24" max="24" width="13.42578125" style="2" bestFit="1" customWidth="1"/>
    <col min="25" max="26" width="11.5703125" style="2" bestFit="1" customWidth="1"/>
    <col min="27" max="27" width="11.42578125" style="2"/>
    <col min="28" max="28" width="11.5703125" style="2" bestFit="1" customWidth="1"/>
    <col min="29" max="29" width="13.42578125" style="2" bestFit="1" customWidth="1"/>
    <col min="30" max="32" width="11.5703125" style="2" bestFit="1" customWidth="1"/>
    <col min="33" max="33" width="12.42578125" style="2" bestFit="1" customWidth="1"/>
    <col min="34" max="35" width="11.5703125" style="2" bestFit="1" customWidth="1"/>
    <col min="36" max="16384" width="11.42578125" style="2"/>
  </cols>
  <sheetData>
    <row r="3" spans="3:17" ht="15.75" customHeight="1" x14ac:dyDescent="0.25">
      <c r="C3" s="203" t="s">
        <v>0</v>
      </c>
      <c r="D3" s="203"/>
      <c r="E3" s="203"/>
      <c r="F3" s="203"/>
      <c r="G3" s="203"/>
      <c r="H3" s="203"/>
      <c r="I3" s="203"/>
      <c r="J3" s="203"/>
      <c r="K3" s="203"/>
      <c r="L3" s="203"/>
      <c r="M3" s="203"/>
      <c r="N3" s="203"/>
      <c r="O3" s="203"/>
      <c r="P3" s="203"/>
      <c r="Q3" s="1"/>
    </row>
    <row r="4" spans="3:17" ht="14.25" customHeight="1" x14ac:dyDescent="0.25">
      <c r="C4" s="204" t="s">
        <v>1</v>
      </c>
      <c r="D4" s="204"/>
      <c r="E4" s="204"/>
      <c r="F4" s="204"/>
      <c r="G4" s="204"/>
      <c r="H4" s="204"/>
      <c r="I4" s="204"/>
      <c r="J4" s="204"/>
      <c r="K4" s="204"/>
      <c r="L4" s="204"/>
      <c r="M4" s="204"/>
      <c r="N4" s="204"/>
      <c r="O4" s="204"/>
      <c r="P4" s="204"/>
      <c r="Q4" s="3"/>
    </row>
    <row r="5" spans="3:17" ht="9" customHeight="1" x14ac:dyDescent="0.25">
      <c r="C5" s="4"/>
      <c r="D5" s="5"/>
      <c r="E5" s="5"/>
      <c r="F5" s="5"/>
      <c r="G5" s="5"/>
      <c r="H5" s="6"/>
      <c r="I5" s="7"/>
      <c r="J5" s="6"/>
      <c r="K5" s="5"/>
      <c r="L5" s="5"/>
      <c r="M5" s="5"/>
      <c r="N5" s="5"/>
      <c r="O5" s="5"/>
      <c r="P5" s="5"/>
    </row>
    <row r="6" spans="3:17" ht="14.45" customHeight="1" x14ac:dyDescent="0.25">
      <c r="C6" s="205" t="s">
        <v>2</v>
      </c>
      <c r="D6" s="205"/>
      <c r="E6" s="205"/>
      <c r="F6" s="205"/>
      <c r="G6" s="205"/>
      <c r="H6" s="205"/>
      <c r="I6" s="205"/>
      <c r="J6" s="205"/>
      <c r="K6" s="205"/>
      <c r="L6" s="157"/>
      <c r="M6" s="157"/>
      <c r="N6" s="157"/>
      <c r="O6" s="157"/>
      <c r="P6" s="157"/>
    </row>
    <row r="7" spans="3:17" ht="14.45" customHeight="1" x14ac:dyDescent="0.25">
      <c r="C7" s="9" t="s">
        <v>3</v>
      </c>
      <c r="D7" s="157"/>
      <c r="E7" s="157"/>
      <c r="F7" s="157"/>
      <c r="G7" s="157"/>
      <c r="H7" s="157"/>
      <c r="I7" s="157"/>
      <c r="J7" s="157"/>
      <c r="K7" s="157"/>
      <c r="L7" s="157"/>
      <c r="M7" s="157"/>
      <c r="N7" s="157"/>
      <c r="O7" s="157"/>
      <c r="P7" s="157"/>
    </row>
    <row r="8" spans="3:17" x14ac:dyDescent="0.25">
      <c r="C8" s="5"/>
      <c r="D8" s="5"/>
      <c r="E8" s="5"/>
      <c r="F8" s="5"/>
      <c r="G8" s="5"/>
      <c r="H8" s="5"/>
      <c r="I8" s="5"/>
      <c r="J8" s="5"/>
      <c r="K8" s="5"/>
      <c r="L8" s="5"/>
      <c r="M8" s="5"/>
      <c r="N8" s="5"/>
      <c r="O8" s="5"/>
      <c r="P8" s="5"/>
    </row>
    <row r="9" spans="3:17" s="13" customFormat="1" ht="29.25" customHeight="1" x14ac:dyDescent="0.25">
      <c r="C9" s="10" t="s">
        <v>4</v>
      </c>
      <c r="D9" s="11" t="s">
        <v>5</v>
      </c>
      <c r="E9" s="11" t="s">
        <v>6</v>
      </c>
      <c r="F9" s="11" t="s">
        <v>7</v>
      </c>
      <c r="G9" s="11" t="s">
        <v>8</v>
      </c>
      <c r="H9" s="11" t="s">
        <v>9</v>
      </c>
      <c r="I9" s="11" t="s">
        <v>10</v>
      </c>
      <c r="J9" s="11" t="s">
        <v>11</v>
      </c>
      <c r="K9" s="11" t="s">
        <v>12</v>
      </c>
      <c r="L9" s="11" t="s">
        <v>13</v>
      </c>
      <c r="M9" s="11" t="s">
        <v>14</v>
      </c>
      <c r="N9" s="11" t="s">
        <v>15</v>
      </c>
      <c r="O9" s="11" t="s">
        <v>16</v>
      </c>
      <c r="P9" s="12" t="s">
        <v>17</v>
      </c>
    </row>
    <row r="10" spans="3:17" ht="24" x14ac:dyDescent="0.25">
      <c r="C10" s="14"/>
      <c r="D10" s="15" t="s">
        <v>18</v>
      </c>
      <c r="E10" s="15" t="s">
        <v>19</v>
      </c>
      <c r="F10" s="15" t="s">
        <v>18</v>
      </c>
      <c r="G10" s="15" t="s">
        <v>20</v>
      </c>
      <c r="H10" s="15" t="s">
        <v>18</v>
      </c>
      <c r="I10" s="15" t="s">
        <v>18</v>
      </c>
      <c r="J10" s="15" t="s">
        <v>18</v>
      </c>
      <c r="K10" s="15" t="s">
        <v>18</v>
      </c>
      <c r="L10" s="15" t="s">
        <v>18</v>
      </c>
      <c r="M10" s="15" t="s">
        <v>18</v>
      </c>
      <c r="N10" s="15" t="s">
        <v>18</v>
      </c>
      <c r="O10" s="15" t="s">
        <v>18</v>
      </c>
      <c r="P10" s="16" t="s">
        <v>18</v>
      </c>
      <c r="Q10" s="2"/>
    </row>
    <row r="11" spans="3:17" x14ac:dyDescent="0.25">
      <c r="C11" s="17">
        <v>2000</v>
      </c>
      <c r="D11" s="18">
        <v>553924</v>
      </c>
      <c r="E11" s="18">
        <v>132585078.00000001</v>
      </c>
      <c r="F11" s="18">
        <v>910303</v>
      </c>
      <c r="G11" s="18">
        <v>2437706</v>
      </c>
      <c r="H11" s="18">
        <v>270576</v>
      </c>
      <c r="I11" s="18">
        <v>2812784.7804642497</v>
      </c>
      <c r="J11" s="18">
        <v>37410</v>
      </c>
      <c r="K11" s="18">
        <v>7193</v>
      </c>
      <c r="L11" s="18" t="s">
        <v>21</v>
      </c>
      <c r="M11" s="18" t="s">
        <v>21</v>
      </c>
      <c r="N11" s="18" t="s">
        <v>21</v>
      </c>
      <c r="O11" s="18" t="s">
        <v>21</v>
      </c>
      <c r="P11" s="19" t="s">
        <v>21</v>
      </c>
      <c r="Q11" s="2"/>
    </row>
    <row r="12" spans="3:17" x14ac:dyDescent="0.25">
      <c r="C12" s="17">
        <v>2001</v>
      </c>
      <c r="D12" s="18">
        <v>722355.34555900015</v>
      </c>
      <c r="E12" s="18">
        <v>138522109.261338</v>
      </c>
      <c r="F12" s="18">
        <v>1056629.375614</v>
      </c>
      <c r="G12" s="18">
        <v>2571113.7884550001</v>
      </c>
      <c r="H12" s="18">
        <v>289546.06610700005</v>
      </c>
      <c r="I12" s="18">
        <v>3038401.494655</v>
      </c>
      <c r="J12" s="18">
        <v>38182.076774000001</v>
      </c>
      <c r="K12" s="18">
        <v>9499.2289039999996</v>
      </c>
      <c r="L12" s="18" t="s">
        <v>21</v>
      </c>
      <c r="M12" s="18" t="s">
        <v>21</v>
      </c>
      <c r="N12" s="18" t="s">
        <v>21</v>
      </c>
      <c r="O12" s="18" t="s">
        <v>21</v>
      </c>
      <c r="P12" s="19" t="s">
        <v>21</v>
      </c>
      <c r="Q12" s="2"/>
    </row>
    <row r="13" spans="3:17" x14ac:dyDescent="0.25">
      <c r="C13" s="17">
        <v>2002</v>
      </c>
      <c r="D13" s="18">
        <v>844552.87496099994</v>
      </c>
      <c r="E13" s="18">
        <v>157529918.53579301</v>
      </c>
      <c r="F13" s="18">
        <v>1232996.9204689998</v>
      </c>
      <c r="G13" s="18">
        <v>2869638.9847490001</v>
      </c>
      <c r="H13" s="18">
        <v>305650.71951300005</v>
      </c>
      <c r="I13" s="18">
        <v>3056055.2522</v>
      </c>
      <c r="J13" s="18">
        <v>38815.044966000001</v>
      </c>
      <c r="K13" s="18">
        <v>8612.8507310000005</v>
      </c>
      <c r="L13" s="18" t="s">
        <v>21</v>
      </c>
      <c r="M13" s="18" t="s">
        <v>21</v>
      </c>
      <c r="N13" s="18" t="s">
        <v>21</v>
      </c>
      <c r="O13" s="18" t="s">
        <v>21</v>
      </c>
      <c r="P13" s="19" t="s">
        <v>21</v>
      </c>
      <c r="Q13" s="2"/>
    </row>
    <row r="14" spans="3:17" x14ac:dyDescent="0.25">
      <c r="C14" s="17">
        <v>2003</v>
      </c>
      <c r="D14" s="18">
        <v>842605.07863000024</v>
      </c>
      <c r="E14" s="18">
        <v>172624629.84419996</v>
      </c>
      <c r="F14" s="18">
        <v>1373792.267121</v>
      </c>
      <c r="G14" s="18">
        <v>2923686.4022500003</v>
      </c>
      <c r="H14" s="18">
        <v>309163.88219000009</v>
      </c>
      <c r="I14" s="18">
        <v>3484900.3702520002</v>
      </c>
      <c r="J14" s="18">
        <v>40202.178839999993</v>
      </c>
      <c r="K14" s="18">
        <v>9589.5781260000003</v>
      </c>
      <c r="L14" s="18" t="s">
        <v>21</v>
      </c>
      <c r="M14" s="18" t="s">
        <v>21</v>
      </c>
      <c r="N14" s="18" t="s">
        <v>21</v>
      </c>
      <c r="O14" s="18" t="s">
        <v>21</v>
      </c>
      <c r="P14" s="19" t="s">
        <v>21</v>
      </c>
      <c r="Q14" s="2"/>
    </row>
    <row r="15" spans="3:17" x14ac:dyDescent="0.25">
      <c r="C15" s="17">
        <v>2004</v>
      </c>
      <c r="D15" s="18">
        <v>1035574.04973</v>
      </c>
      <c r="E15" s="18">
        <v>173223817.38585296</v>
      </c>
      <c r="F15" s="18">
        <v>1209005.7091610003</v>
      </c>
      <c r="G15" s="18">
        <v>3059961.8968920005</v>
      </c>
      <c r="H15" s="18">
        <v>306210.77793799998</v>
      </c>
      <c r="I15" s="18">
        <v>4247173.7726000007</v>
      </c>
      <c r="J15" s="18">
        <v>41613.363517999998</v>
      </c>
      <c r="K15" s="18">
        <v>14246.326868</v>
      </c>
      <c r="L15" s="18" t="s">
        <v>21</v>
      </c>
      <c r="M15" s="18" t="s">
        <v>21</v>
      </c>
      <c r="N15" s="18" t="s">
        <v>21</v>
      </c>
      <c r="O15" s="18" t="s">
        <v>21</v>
      </c>
      <c r="P15" s="19" t="s">
        <v>21</v>
      </c>
      <c r="Q15" s="2"/>
    </row>
    <row r="16" spans="3:17" x14ac:dyDescent="0.25">
      <c r="C16" s="17">
        <v>2005</v>
      </c>
      <c r="D16" s="18">
        <v>1009897.918423</v>
      </c>
      <c r="E16" s="18">
        <v>208001717.81876829</v>
      </c>
      <c r="F16" s="18">
        <v>1201670.9143999997</v>
      </c>
      <c r="G16" s="18">
        <v>3193145.5305729993</v>
      </c>
      <c r="H16" s="18">
        <v>319344.80289899989</v>
      </c>
      <c r="I16" s="18">
        <v>4564989.1370999999</v>
      </c>
      <c r="J16" s="18">
        <v>42144.586211000002</v>
      </c>
      <c r="K16" s="18">
        <v>17325.373315000004</v>
      </c>
      <c r="L16" s="18" t="s">
        <v>21</v>
      </c>
      <c r="M16" s="18" t="s">
        <v>21</v>
      </c>
      <c r="N16" s="18" t="s">
        <v>21</v>
      </c>
      <c r="O16" s="18" t="s">
        <v>21</v>
      </c>
      <c r="P16" s="19" t="s">
        <v>21</v>
      </c>
      <c r="Q16" s="2"/>
    </row>
    <row r="17" spans="3:36" x14ac:dyDescent="0.25">
      <c r="C17" s="17">
        <v>2006</v>
      </c>
      <c r="D17" s="18">
        <v>1048472.4635900002</v>
      </c>
      <c r="E17" s="18">
        <v>202825998.65453294</v>
      </c>
      <c r="F17" s="18">
        <v>1203364.0679980002</v>
      </c>
      <c r="G17" s="18">
        <v>3470661.2430209992</v>
      </c>
      <c r="H17" s="18">
        <v>313332.28608800005</v>
      </c>
      <c r="I17" s="18">
        <v>4784600.5820000004</v>
      </c>
      <c r="J17" s="18">
        <v>38469.547186000011</v>
      </c>
      <c r="K17" s="18">
        <v>17209.346067999999</v>
      </c>
      <c r="L17" s="18" t="s">
        <v>21</v>
      </c>
      <c r="M17" s="18" t="s">
        <v>21</v>
      </c>
      <c r="N17" s="18" t="s">
        <v>21</v>
      </c>
      <c r="O17" s="18" t="s">
        <v>21</v>
      </c>
      <c r="P17" s="19" t="s">
        <v>21</v>
      </c>
      <c r="Q17" s="2"/>
    </row>
    <row r="18" spans="3:36" x14ac:dyDescent="0.25">
      <c r="C18" s="17">
        <v>2007</v>
      </c>
      <c r="D18" s="18">
        <v>1190273.6039159999</v>
      </c>
      <c r="E18" s="18">
        <v>170127538.95581597</v>
      </c>
      <c r="F18" s="18">
        <v>1444361.4378260002</v>
      </c>
      <c r="G18" s="18">
        <v>3501461.9256330007</v>
      </c>
      <c r="H18" s="18">
        <v>329164.77903499996</v>
      </c>
      <c r="I18" s="18">
        <v>5103597.2635999992</v>
      </c>
      <c r="J18" s="18">
        <v>39018.915689000001</v>
      </c>
      <c r="K18" s="18">
        <v>16786.886077000003</v>
      </c>
      <c r="L18" s="18" t="s">
        <v>21</v>
      </c>
      <c r="M18" s="18" t="s">
        <v>21</v>
      </c>
      <c r="N18" s="18" t="s">
        <v>21</v>
      </c>
      <c r="O18" s="18" t="s">
        <v>21</v>
      </c>
      <c r="P18" s="19" t="s">
        <v>21</v>
      </c>
      <c r="Q18" s="2"/>
    </row>
    <row r="19" spans="3:36" x14ac:dyDescent="0.25">
      <c r="C19" s="17">
        <v>2008</v>
      </c>
      <c r="D19" s="18">
        <v>1267866.5800789997</v>
      </c>
      <c r="E19" s="18">
        <v>179870472.99560794</v>
      </c>
      <c r="F19" s="18">
        <v>1602597.0080210003</v>
      </c>
      <c r="G19" s="18">
        <v>3685931.0012759985</v>
      </c>
      <c r="H19" s="18">
        <v>345109.27027199999</v>
      </c>
      <c r="I19" s="18">
        <v>5160707.0164000001</v>
      </c>
      <c r="J19" s="18">
        <v>39037.065935000006</v>
      </c>
      <c r="K19" s="18">
        <v>16720.528117000002</v>
      </c>
      <c r="L19" s="18" t="s">
        <v>21</v>
      </c>
      <c r="M19" s="18" t="s">
        <v>21</v>
      </c>
      <c r="N19" s="18" t="s">
        <v>21</v>
      </c>
      <c r="O19" s="18" t="s">
        <v>21</v>
      </c>
      <c r="P19" s="19" t="s">
        <v>21</v>
      </c>
    </row>
    <row r="20" spans="3:36" x14ac:dyDescent="0.25">
      <c r="C20" s="17">
        <v>2009</v>
      </c>
      <c r="D20" s="18">
        <v>1276249.2028349997</v>
      </c>
      <c r="E20" s="18">
        <v>183994691.50778204</v>
      </c>
      <c r="F20" s="18">
        <v>1512931.0674320005</v>
      </c>
      <c r="G20" s="18">
        <v>3922708.3963299985</v>
      </c>
      <c r="H20" s="18">
        <v>302459.11290999997</v>
      </c>
      <c r="I20" s="18">
        <v>4418768.325600001</v>
      </c>
      <c r="J20" s="18">
        <v>37502.627191</v>
      </c>
      <c r="K20" s="18">
        <v>12297.103142</v>
      </c>
      <c r="L20" s="18" t="s">
        <v>21</v>
      </c>
      <c r="M20" s="18" t="s">
        <v>21</v>
      </c>
      <c r="N20" s="18" t="s">
        <v>21</v>
      </c>
      <c r="O20" s="18" t="s">
        <v>21</v>
      </c>
      <c r="P20" s="19" t="s">
        <v>21</v>
      </c>
    </row>
    <row r="21" spans="3:36" x14ac:dyDescent="0.25">
      <c r="C21" s="17">
        <v>2010</v>
      </c>
      <c r="D21" s="18">
        <v>1247184.0293920001</v>
      </c>
      <c r="E21" s="18">
        <v>164084388.90122896</v>
      </c>
      <c r="F21" s="18">
        <v>1470449.7064990005</v>
      </c>
      <c r="G21" s="18">
        <v>3640465.4641499999</v>
      </c>
      <c r="H21" s="18">
        <v>261989.60579399997</v>
      </c>
      <c r="I21" s="18">
        <v>6042644.2223000005</v>
      </c>
      <c r="J21" s="18">
        <v>33847.813441999999</v>
      </c>
      <c r="K21" s="18">
        <v>16963.268973000002</v>
      </c>
      <c r="L21" s="18" t="s">
        <v>21</v>
      </c>
      <c r="M21" s="18" t="s">
        <v>21</v>
      </c>
      <c r="N21" s="18" t="s">
        <v>21</v>
      </c>
      <c r="O21" s="18" t="s">
        <v>21</v>
      </c>
      <c r="P21" s="19" t="s">
        <v>21</v>
      </c>
    </row>
    <row r="22" spans="3:36" x14ac:dyDescent="0.25">
      <c r="C22" s="17">
        <v>2011</v>
      </c>
      <c r="D22" s="18">
        <v>1235345.068018001</v>
      </c>
      <c r="E22" s="18">
        <v>166186716.98165271</v>
      </c>
      <c r="F22" s="18">
        <v>1256382.6002109998</v>
      </c>
      <c r="G22" s="18">
        <v>3418862.1174220056</v>
      </c>
      <c r="H22" s="18">
        <v>230199.08238500016</v>
      </c>
      <c r="I22" s="18">
        <v>7010937.8915999997</v>
      </c>
      <c r="J22" s="18">
        <v>28881.790965999993</v>
      </c>
      <c r="K22" s="18">
        <v>19141.078052000001</v>
      </c>
      <c r="L22" s="18" t="s">
        <v>21</v>
      </c>
      <c r="M22" s="18" t="s">
        <v>21</v>
      </c>
      <c r="N22" s="18" t="s">
        <v>21</v>
      </c>
      <c r="O22" s="18" t="s">
        <v>21</v>
      </c>
      <c r="P22" s="19" t="s">
        <v>21</v>
      </c>
      <c r="Q22" s="20">
        <f t="shared" ref="Q22:Q38" si="0">D22/1000</f>
        <v>1235.345068018001</v>
      </c>
      <c r="AB22" s="21"/>
      <c r="AC22" s="21"/>
      <c r="AD22" s="21"/>
      <c r="AE22" s="21"/>
      <c r="AF22" s="21"/>
      <c r="AG22" s="21"/>
      <c r="AH22" s="21"/>
      <c r="AI22" s="21"/>
      <c r="AJ22" s="22"/>
    </row>
    <row r="23" spans="3:36" x14ac:dyDescent="0.25">
      <c r="C23" s="17">
        <v>2012</v>
      </c>
      <c r="D23" s="18">
        <v>1289916.9346156276</v>
      </c>
      <c r="E23" s="18">
        <v>153780960.26084191</v>
      </c>
      <c r="F23" s="18">
        <v>1281282.431485241</v>
      </c>
      <c r="G23" s="18">
        <v>3452004.3609873233</v>
      </c>
      <c r="H23" s="18">
        <v>249236.15747171015</v>
      </c>
      <c r="I23" s="18">
        <v>6684539.3918000003</v>
      </c>
      <c r="J23" s="18">
        <v>26104.854505400006</v>
      </c>
      <c r="K23" s="18">
        <v>16790.374244900002</v>
      </c>
      <c r="L23" s="18" t="s">
        <v>21</v>
      </c>
      <c r="M23" s="18" t="s">
        <v>21</v>
      </c>
      <c r="N23" s="18" t="s">
        <v>21</v>
      </c>
      <c r="O23" s="18" t="s">
        <v>21</v>
      </c>
      <c r="P23" s="19" t="s">
        <v>21</v>
      </c>
      <c r="Q23" s="20">
        <f t="shared" si="0"/>
        <v>1289.9169346156277</v>
      </c>
      <c r="R23" s="22"/>
      <c r="AB23" s="21"/>
      <c r="AC23" s="21"/>
      <c r="AD23" s="21"/>
      <c r="AE23" s="21"/>
      <c r="AF23" s="21"/>
      <c r="AG23" s="21"/>
      <c r="AH23" s="21"/>
      <c r="AI23" s="21"/>
    </row>
    <row r="24" spans="3:36" x14ac:dyDescent="0.25">
      <c r="C24" s="17">
        <v>2013</v>
      </c>
      <c r="D24" s="18">
        <v>1363452.9126998207</v>
      </c>
      <c r="E24" s="18">
        <v>143716837.41998193</v>
      </c>
      <c r="F24" s="18">
        <v>1351048.7423302194</v>
      </c>
      <c r="G24" s="18">
        <v>3648503.3400407191</v>
      </c>
      <c r="H24" s="18">
        <v>266312.71547875</v>
      </c>
      <c r="I24" s="18">
        <v>6680658.79</v>
      </c>
      <c r="J24" s="18">
        <v>23667.787451500008</v>
      </c>
      <c r="K24" s="18">
        <v>18139.597244000001</v>
      </c>
      <c r="L24" s="18" t="s">
        <v>21</v>
      </c>
      <c r="M24" s="18" t="s">
        <v>21</v>
      </c>
      <c r="N24" s="18" t="s">
        <v>21</v>
      </c>
      <c r="O24" s="18" t="s">
        <v>21</v>
      </c>
      <c r="P24" s="19" t="s">
        <v>21</v>
      </c>
      <c r="Q24" s="20">
        <f t="shared" si="0"/>
        <v>1363.4529126998207</v>
      </c>
      <c r="R24" s="22"/>
      <c r="AB24" s="21"/>
      <c r="AC24" s="21"/>
      <c r="AD24" s="21"/>
      <c r="AE24" s="21"/>
      <c r="AF24" s="21"/>
      <c r="AG24" s="21"/>
      <c r="AH24" s="21"/>
      <c r="AI24" s="21"/>
    </row>
    <row r="25" spans="3:36" x14ac:dyDescent="0.25">
      <c r="C25" s="17">
        <v>2014</v>
      </c>
      <c r="D25" s="18">
        <v>1377373.7760182077</v>
      </c>
      <c r="E25" s="18">
        <v>129946243.44281495</v>
      </c>
      <c r="F25" s="18">
        <v>1315221.0230463955</v>
      </c>
      <c r="G25" s="18">
        <v>3738279.9180184668</v>
      </c>
      <c r="H25" s="18">
        <v>277116.52714844397</v>
      </c>
      <c r="I25" s="18">
        <v>7192591.9308000002</v>
      </c>
      <c r="J25" s="18">
        <v>23105.261867800007</v>
      </c>
      <c r="K25" s="18">
        <v>17017.692464999996</v>
      </c>
      <c r="L25" s="18" t="s">
        <v>21</v>
      </c>
      <c r="M25" s="18" t="s">
        <v>21</v>
      </c>
      <c r="N25" s="18" t="s">
        <v>21</v>
      </c>
      <c r="O25" s="18" t="s">
        <v>21</v>
      </c>
      <c r="P25" s="19" t="s">
        <v>21</v>
      </c>
      <c r="Q25" s="20">
        <f t="shared" si="0"/>
        <v>1377.3737760182078</v>
      </c>
      <c r="R25" s="22"/>
      <c r="AB25" s="21"/>
      <c r="AC25" s="21"/>
      <c r="AD25" s="21"/>
      <c r="AE25" s="21"/>
      <c r="AF25" s="21"/>
      <c r="AG25" s="21"/>
      <c r="AH25" s="21"/>
      <c r="AI25" s="21"/>
    </row>
    <row r="26" spans="3:36" x14ac:dyDescent="0.25">
      <c r="C26" s="17">
        <v>2015</v>
      </c>
      <c r="D26" s="18">
        <v>1699939.7432781935</v>
      </c>
      <c r="E26" s="18">
        <v>137378305.7952458</v>
      </c>
      <c r="F26" s="18">
        <v>1415823.5863843861</v>
      </c>
      <c r="G26" s="18">
        <v>4071094.9244271382</v>
      </c>
      <c r="H26" s="18">
        <v>314011.10750861233</v>
      </c>
      <c r="I26" s="18">
        <v>7320806.8477000007</v>
      </c>
      <c r="J26" s="18">
        <v>19510.729779199999</v>
      </c>
      <c r="K26" s="18">
        <v>20153.237616000009</v>
      </c>
      <c r="L26" s="18" t="s">
        <v>21</v>
      </c>
      <c r="M26" s="18" t="s">
        <v>21</v>
      </c>
      <c r="N26" s="18" t="s">
        <v>21</v>
      </c>
      <c r="O26" s="18" t="s">
        <v>21</v>
      </c>
      <c r="P26" s="19" t="s">
        <v>21</v>
      </c>
      <c r="Q26" s="20">
        <f t="shared" si="0"/>
        <v>1699.9397432781934</v>
      </c>
      <c r="R26" s="22"/>
      <c r="AB26" s="21"/>
      <c r="AC26" s="21"/>
      <c r="AD26" s="21"/>
      <c r="AE26" s="21"/>
      <c r="AF26" s="21"/>
      <c r="AG26" s="21"/>
      <c r="AH26" s="21"/>
      <c r="AI26" s="21"/>
    </row>
    <row r="27" spans="3:36" x14ac:dyDescent="0.25">
      <c r="C27" s="17">
        <v>2016</v>
      </c>
      <c r="D27" s="18">
        <v>2352959.5047380654</v>
      </c>
      <c r="E27" s="18">
        <v>142230636.69316867</v>
      </c>
      <c r="F27" s="18">
        <v>1329178.0227656392</v>
      </c>
      <c r="G27" s="18">
        <v>4329179.7629066529</v>
      </c>
      <c r="H27" s="18">
        <v>312806.40109176951</v>
      </c>
      <c r="I27" s="18">
        <v>7663123.9877000004</v>
      </c>
      <c r="J27" s="18">
        <v>18789.0047614</v>
      </c>
      <c r="K27" s="18">
        <v>25756.505005499999</v>
      </c>
      <c r="L27" s="18">
        <v>23251.82108854</v>
      </c>
      <c r="M27" s="18">
        <v>187.59719447999996</v>
      </c>
      <c r="N27" s="18" t="s">
        <v>21</v>
      </c>
      <c r="O27" s="18">
        <v>1194.0643193499998</v>
      </c>
      <c r="P27" s="19" t="s">
        <v>21</v>
      </c>
      <c r="Q27" s="20">
        <f t="shared" si="0"/>
        <v>2352.9595047380653</v>
      </c>
      <c r="R27" s="22"/>
      <c r="AB27" s="21"/>
      <c r="AC27" s="21"/>
      <c r="AD27" s="21"/>
      <c r="AE27" s="21"/>
      <c r="AF27" s="21"/>
      <c r="AG27" s="21"/>
      <c r="AH27" s="21"/>
      <c r="AI27" s="21"/>
    </row>
    <row r="28" spans="3:36" x14ac:dyDescent="0.25">
      <c r="C28" s="17">
        <v>2017</v>
      </c>
      <c r="D28" s="18">
        <v>2440181.1105834288</v>
      </c>
      <c r="E28" s="18">
        <v>138425832.76156646</v>
      </c>
      <c r="F28" s="18">
        <v>1466521.468671351</v>
      </c>
      <c r="G28" s="18">
        <v>4318324.2784375055</v>
      </c>
      <c r="H28" s="18">
        <v>305279.59941443987</v>
      </c>
      <c r="I28" s="18">
        <v>8668091.618999999</v>
      </c>
      <c r="J28" s="18">
        <v>17790.363566100001</v>
      </c>
      <c r="K28" s="18">
        <v>28141.125214199987</v>
      </c>
      <c r="L28" s="18">
        <v>22403.407244680002</v>
      </c>
      <c r="M28" s="18">
        <v>123.17674860000001</v>
      </c>
      <c r="N28" s="18" t="s">
        <v>21</v>
      </c>
      <c r="O28" s="18">
        <v>1133.2781170000001</v>
      </c>
      <c r="P28" s="19" t="s">
        <v>21</v>
      </c>
      <c r="Q28" s="20">
        <f t="shared" si="0"/>
        <v>2440.1811105834286</v>
      </c>
      <c r="R28" s="22"/>
      <c r="AB28" s="21"/>
      <c r="AC28" s="21"/>
      <c r="AD28" s="21"/>
      <c r="AE28" s="21"/>
      <c r="AF28" s="21"/>
      <c r="AG28" s="21"/>
      <c r="AH28" s="21"/>
      <c r="AI28" s="21"/>
    </row>
    <row r="29" spans="3:36" ht="12" customHeight="1" x14ac:dyDescent="0.25">
      <c r="C29" s="17">
        <v>2018</v>
      </c>
      <c r="D29" s="18">
        <v>2416881.1002070699</v>
      </c>
      <c r="E29" s="18">
        <v>125933914.4370804</v>
      </c>
      <c r="F29" s="18">
        <v>1471845.936649523</v>
      </c>
      <c r="G29" s="18">
        <v>3999990.1319625694</v>
      </c>
      <c r="H29" s="18">
        <v>288796.22529555805</v>
      </c>
      <c r="I29" s="18">
        <v>9096993.8719999995</v>
      </c>
      <c r="J29" s="18">
        <v>18601.344508400005</v>
      </c>
      <c r="K29" s="18">
        <v>27604.218841510006</v>
      </c>
      <c r="L29" s="18">
        <v>20407.598393799999</v>
      </c>
      <c r="M29" s="18">
        <v>145.236144</v>
      </c>
      <c r="N29" s="18" t="s">
        <v>21</v>
      </c>
      <c r="O29" s="18">
        <v>20879.636489500001</v>
      </c>
      <c r="P29" s="19" t="s">
        <v>21</v>
      </c>
      <c r="Q29" s="20">
        <f t="shared" si="0"/>
        <v>2416.8811002070697</v>
      </c>
      <c r="R29" s="22"/>
      <c r="AB29" s="21"/>
      <c r="AC29" s="21"/>
      <c r="AD29" s="21"/>
      <c r="AE29" s="21"/>
      <c r="AF29" s="21"/>
      <c r="AG29" s="21"/>
      <c r="AH29" s="21"/>
      <c r="AI29" s="21"/>
    </row>
    <row r="30" spans="3:36" x14ac:dyDescent="0.25">
      <c r="C30" s="17">
        <v>2019</v>
      </c>
      <c r="D30" s="18">
        <v>2437925.373902773</v>
      </c>
      <c r="E30" s="18">
        <v>113586028.97131993</v>
      </c>
      <c r="F30" s="18">
        <v>1382753.4838439696</v>
      </c>
      <c r="G30" s="18">
        <v>3706760.2491151234</v>
      </c>
      <c r="H30" s="18">
        <v>307020.88310454384</v>
      </c>
      <c r="I30" s="18">
        <v>9666411.8718999997</v>
      </c>
      <c r="J30" s="18">
        <v>19853.168399999995</v>
      </c>
      <c r="K30" s="18">
        <v>30441.359039579998</v>
      </c>
      <c r="L30" s="18">
        <v>24914.734069159997</v>
      </c>
      <c r="M30" s="18">
        <v>72.514848099999995</v>
      </c>
      <c r="N30" s="18" t="s">
        <v>21</v>
      </c>
      <c r="O30" s="18">
        <v>18814.2028421</v>
      </c>
      <c r="P30" s="19" t="s">
        <v>21</v>
      </c>
      <c r="Q30" s="20">
        <f t="shared" si="0"/>
        <v>2437.9253739027731</v>
      </c>
      <c r="R30" s="22"/>
      <c r="AB30" s="21"/>
      <c r="AC30" s="21"/>
      <c r="AD30" s="21"/>
      <c r="AE30" s="21"/>
      <c r="AF30" s="21"/>
      <c r="AG30" s="21"/>
      <c r="AH30" s="21"/>
      <c r="AI30" s="21"/>
    </row>
    <row r="31" spans="3:36" x14ac:dyDescent="0.25">
      <c r="C31" s="17">
        <v>2020</v>
      </c>
      <c r="D31" s="18">
        <v>2150125.9121219628</v>
      </c>
      <c r="E31" s="18">
        <v>85368457.367976174</v>
      </c>
      <c r="F31" s="18">
        <v>1334570.4777680759</v>
      </c>
      <c r="G31" s="18">
        <v>2721461.1368655483</v>
      </c>
      <c r="H31" s="18">
        <v>241547.91303967001</v>
      </c>
      <c r="I31" s="18">
        <v>8893971.5276180003</v>
      </c>
      <c r="J31" s="18">
        <v>20646.581029499997</v>
      </c>
      <c r="K31" s="18">
        <v>32184.625879069805</v>
      </c>
      <c r="L31" s="18">
        <v>19013.894022044497</v>
      </c>
      <c r="M31" s="18">
        <v>73.906293489500015</v>
      </c>
      <c r="N31" s="18">
        <v>235.52044689999997</v>
      </c>
      <c r="O31" s="18">
        <v>10119.873510295998</v>
      </c>
      <c r="P31" s="19" t="s">
        <v>21</v>
      </c>
      <c r="Q31" s="20">
        <f t="shared" si="0"/>
        <v>2150.1259121219628</v>
      </c>
      <c r="R31" s="22"/>
      <c r="AB31" s="21"/>
      <c r="AC31" s="21"/>
      <c r="AD31" s="21"/>
      <c r="AE31" s="21"/>
      <c r="AF31" s="21"/>
      <c r="AG31" s="21"/>
      <c r="AH31" s="21"/>
      <c r="AI31" s="21"/>
    </row>
    <row r="32" spans="3:36" x14ac:dyDescent="0.25">
      <c r="C32" s="17">
        <v>2021</v>
      </c>
      <c r="D32" s="18">
        <v>2326035.3089323733</v>
      </c>
      <c r="E32" s="18">
        <v>97492951.121057257</v>
      </c>
      <c r="F32" s="18">
        <v>1533134.9989912319</v>
      </c>
      <c r="G32" s="18">
        <v>3333632.4494976597</v>
      </c>
      <c r="H32" s="18">
        <v>264426.50705023162</v>
      </c>
      <c r="I32" s="18">
        <v>12149273.526027001</v>
      </c>
      <c r="J32" s="18">
        <v>26995.267701000004</v>
      </c>
      <c r="K32" s="18">
        <v>34148.029036760017</v>
      </c>
      <c r="L32" s="18">
        <v>21876.501141209999</v>
      </c>
      <c r="M32" s="18">
        <v>247.486251065</v>
      </c>
      <c r="N32" s="18">
        <v>278.81457949999998</v>
      </c>
      <c r="O32" s="18">
        <v>11390.682832689996</v>
      </c>
      <c r="P32" s="19" t="s">
        <v>21</v>
      </c>
      <c r="Q32" s="20">
        <f t="shared" si="0"/>
        <v>2326.0353089323735</v>
      </c>
      <c r="R32" s="22"/>
      <c r="AB32" s="21"/>
      <c r="AC32" s="21"/>
      <c r="AD32" s="21"/>
      <c r="AE32" s="21"/>
      <c r="AF32" s="21"/>
      <c r="AG32" s="21"/>
      <c r="AH32" s="21"/>
      <c r="AI32" s="21"/>
    </row>
    <row r="33" spans="3:35" x14ac:dyDescent="0.25">
      <c r="C33" s="17">
        <v>2022</v>
      </c>
      <c r="D33" s="18">
        <v>2445270.8303173976</v>
      </c>
      <c r="E33" s="18">
        <v>96965977.163885579</v>
      </c>
      <c r="F33" s="18">
        <v>1369649.1117797941</v>
      </c>
      <c r="G33" s="18">
        <v>3084038.7076613051</v>
      </c>
      <c r="H33" s="18">
        <v>255442.99715858512</v>
      </c>
      <c r="I33" s="18">
        <v>12936826.381839</v>
      </c>
      <c r="J33" s="18">
        <v>28231.359913</v>
      </c>
      <c r="K33" s="18">
        <v>31587.568951759989</v>
      </c>
      <c r="L33" s="18">
        <v>25378.500620530005</v>
      </c>
      <c r="M33" s="18">
        <v>251.24793746000006</v>
      </c>
      <c r="N33" s="18">
        <v>263.99886950000001</v>
      </c>
      <c r="O33" s="18">
        <v>1169.1241914</v>
      </c>
      <c r="P33" s="19" t="s">
        <v>21</v>
      </c>
      <c r="Q33" s="20">
        <f t="shared" si="0"/>
        <v>2445.2708303173977</v>
      </c>
      <c r="R33" s="22"/>
      <c r="AB33" s="21"/>
      <c r="AC33" s="21"/>
      <c r="AD33" s="21"/>
      <c r="AE33" s="21"/>
      <c r="AF33" s="21"/>
      <c r="AG33" s="21"/>
      <c r="AH33" s="21"/>
      <c r="AI33" s="21"/>
    </row>
    <row r="34" spans="3:35" x14ac:dyDescent="0.25">
      <c r="C34" s="17">
        <v>2023</v>
      </c>
      <c r="D34" s="18">
        <v>2755244.3167853276</v>
      </c>
      <c r="E34" s="18">
        <v>100985631.43873213</v>
      </c>
      <c r="F34" s="18">
        <v>1469127.1631768667</v>
      </c>
      <c r="G34" s="18">
        <v>3041393.6459926581</v>
      </c>
      <c r="H34" s="18">
        <v>273335.49825696991</v>
      </c>
      <c r="I34" s="18">
        <v>12986023.244491</v>
      </c>
      <c r="J34" s="18">
        <v>26230.046980000003</v>
      </c>
      <c r="K34" s="18">
        <v>33475.6190292315</v>
      </c>
      <c r="L34" s="18">
        <v>31161.763995300007</v>
      </c>
      <c r="M34" s="18">
        <v>303.74941249999995</v>
      </c>
      <c r="N34" s="18">
        <v>331.35815600000001</v>
      </c>
      <c r="O34" s="18">
        <v>1326.7171017999999</v>
      </c>
      <c r="P34" s="19">
        <v>22.705695600000002</v>
      </c>
      <c r="Q34" s="20">
        <f t="shared" si="0"/>
        <v>2755.2443167853276</v>
      </c>
      <c r="R34" s="22"/>
      <c r="AB34" s="21"/>
      <c r="AC34" s="21"/>
      <c r="AD34" s="21"/>
      <c r="AE34" s="21"/>
      <c r="AF34" s="21"/>
      <c r="AG34" s="21"/>
      <c r="AH34" s="21"/>
      <c r="AI34" s="21"/>
    </row>
    <row r="35" spans="3:35" x14ac:dyDescent="0.25">
      <c r="C35" s="17">
        <v>2024</v>
      </c>
      <c r="D35" s="181">
        <v>2736237.1072517242</v>
      </c>
      <c r="E35" s="181">
        <v>109624691.96159829</v>
      </c>
      <c r="F35" s="181">
        <v>1270646.954794979</v>
      </c>
      <c r="G35" s="181">
        <v>3512301.3933015401</v>
      </c>
      <c r="H35" s="181">
        <v>291319.62661629292</v>
      </c>
      <c r="I35" s="181">
        <v>13309265.480335999</v>
      </c>
      <c r="J35" s="181">
        <v>32317.234399999998</v>
      </c>
      <c r="K35" s="181">
        <v>41941.797900007798</v>
      </c>
      <c r="L35" s="181">
        <v>32027.784417279996</v>
      </c>
      <c r="M35" s="181">
        <v>265.34277630000003</v>
      </c>
      <c r="N35" s="181">
        <v>317.31784800000003</v>
      </c>
      <c r="O35" s="181">
        <v>24159.249493900003</v>
      </c>
      <c r="P35" s="178">
        <v>40.573911600000002</v>
      </c>
      <c r="Q35" s="20">
        <f t="shared" si="0"/>
        <v>2736.2371072517244</v>
      </c>
      <c r="R35" s="22"/>
      <c r="AB35" s="21"/>
      <c r="AC35" s="21"/>
      <c r="AD35" s="21"/>
      <c r="AE35" s="21"/>
      <c r="AF35" s="21"/>
      <c r="AG35" s="21"/>
      <c r="AH35" s="21"/>
      <c r="AI35" s="21"/>
    </row>
    <row r="36" spans="3:35" x14ac:dyDescent="0.25">
      <c r="C36" s="182">
        <v>2025</v>
      </c>
      <c r="D36" s="181">
        <v>2769793.7213370204</v>
      </c>
      <c r="E36" s="181">
        <v>108906740.08143118</v>
      </c>
      <c r="F36" s="181">
        <v>1506412.8563966351</v>
      </c>
      <c r="G36" s="181">
        <v>3762107.6960177491</v>
      </c>
      <c r="H36" s="181">
        <v>312222.99845976051</v>
      </c>
      <c r="I36" s="181">
        <v>11892474.643507</v>
      </c>
      <c r="J36" s="181">
        <v>33816.185040000004</v>
      </c>
      <c r="K36" s="181">
        <v>38009.426725496101</v>
      </c>
      <c r="L36" s="181">
        <v>28040.647535969994</v>
      </c>
      <c r="M36" s="181">
        <v>283.76478187999999</v>
      </c>
      <c r="N36" s="181">
        <v>311.762111</v>
      </c>
      <c r="O36" s="181">
        <v>37327.145479799998</v>
      </c>
      <c r="P36" s="178">
        <v>35.532075999999996</v>
      </c>
      <c r="Q36" s="20">
        <f t="shared" si="0"/>
        <v>2769.7937213370205</v>
      </c>
      <c r="R36" s="22"/>
      <c r="AB36" s="21"/>
      <c r="AC36" s="21"/>
      <c r="AD36" s="21"/>
      <c r="AE36" s="21"/>
      <c r="AF36" s="21"/>
      <c r="AG36" s="21"/>
      <c r="AH36" s="21"/>
      <c r="AI36" s="21"/>
    </row>
    <row r="37" spans="3:35" ht="38.25" x14ac:dyDescent="0.25">
      <c r="C37" s="23" t="s">
        <v>123</v>
      </c>
      <c r="D37" s="24">
        <f t="shared" ref="D37:P37" si="1">SUM(D38:D38)</f>
        <v>226255.88869400002</v>
      </c>
      <c r="E37" s="24">
        <f t="shared" si="1"/>
        <v>8811985.4445309974</v>
      </c>
      <c r="F37" s="24">
        <f t="shared" si="1"/>
        <v>105347.623958</v>
      </c>
      <c r="G37" s="24">
        <f t="shared" si="1"/>
        <v>285998.06845600007</v>
      </c>
      <c r="H37" s="24">
        <f t="shared" si="1"/>
        <v>22073.809587</v>
      </c>
      <c r="I37" s="24">
        <f t="shared" si="1"/>
        <v>1175604.6615900001</v>
      </c>
      <c r="J37" s="24">
        <f t="shared" si="1"/>
        <v>2638.101392</v>
      </c>
      <c r="K37" s="24">
        <f t="shared" si="1"/>
        <v>3100.230423</v>
      </c>
      <c r="L37" s="24">
        <f t="shared" si="1"/>
        <v>1688.6074710000003</v>
      </c>
      <c r="M37" s="24">
        <f t="shared" si="1"/>
        <v>17.800156000000001</v>
      </c>
      <c r="N37" s="24">
        <f t="shared" si="1"/>
        <v>26.551486000000001</v>
      </c>
      <c r="O37" s="24">
        <f t="shared" si="1"/>
        <v>3476.3602589999996</v>
      </c>
      <c r="P37" s="24">
        <f t="shared" si="1"/>
        <v>3.9908700000000001</v>
      </c>
      <c r="Q37" s="171">
        <f t="shared" si="0"/>
        <v>226.25588869400002</v>
      </c>
      <c r="R37" s="22"/>
      <c r="AB37" s="21"/>
      <c r="AC37" s="21"/>
      <c r="AD37" s="21"/>
      <c r="AE37" s="21"/>
      <c r="AF37" s="21"/>
      <c r="AG37" s="21"/>
      <c r="AH37" s="21"/>
      <c r="AI37" s="21"/>
    </row>
    <row r="38" spans="3:35" x14ac:dyDescent="0.25">
      <c r="C38" s="25" t="s">
        <v>22</v>
      </c>
      <c r="D38" s="18">
        <v>226255.88869400002</v>
      </c>
      <c r="E38" s="18">
        <v>8811985.4445309974</v>
      </c>
      <c r="F38" s="18">
        <v>105347.623958</v>
      </c>
      <c r="G38" s="18">
        <v>285998.06845600007</v>
      </c>
      <c r="H38" s="18">
        <v>22073.809587</v>
      </c>
      <c r="I38" s="18">
        <v>1175604.6615900001</v>
      </c>
      <c r="J38" s="18">
        <v>2638.101392</v>
      </c>
      <c r="K38" s="18">
        <v>3100.230423</v>
      </c>
      <c r="L38" s="18">
        <v>1688.6074710000003</v>
      </c>
      <c r="M38" s="18">
        <v>17.800156000000001</v>
      </c>
      <c r="N38" s="18">
        <v>26.551486000000001</v>
      </c>
      <c r="O38" s="18">
        <v>3476.3602589999996</v>
      </c>
      <c r="P38" s="19">
        <v>3.9908700000000001</v>
      </c>
      <c r="Q38" s="171">
        <f t="shared" si="0"/>
        <v>226.25588869400002</v>
      </c>
      <c r="T38" s="26"/>
      <c r="U38" s="26"/>
      <c r="V38" s="26"/>
      <c r="W38" s="26"/>
      <c r="X38" s="26"/>
      <c r="Y38" s="26"/>
      <c r="Z38" s="26"/>
      <c r="AA38" s="26"/>
      <c r="AB38" s="21"/>
      <c r="AC38" s="21"/>
      <c r="AD38" s="21"/>
      <c r="AE38" s="21"/>
      <c r="AF38" s="21"/>
      <c r="AG38" s="21"/>
      <c r="AH38" s="21"/>
      <c r="AI38" s="21"/>
    </row>
    <row r="39" spans="3:35" x14ac:dyDescent="0.25">
      <c r="C39" s="30" t="s">
        <v>133</v>
      </c>
      <c r="D39" s="31"/>
      <c r="E39" s="31"/>
      <c r="F39" s="32"/>
      <c r="G39" s="31"/>
      <c r="H39" s="31"/>
      <c r="I39" s="31"/>
      <c r="J39" s="31"/>
      <c r="K39" s="31"/>
      <c r="L39" s="31"/>
      <c r="M39" s="31"/>
      <c r="N39" s="31"/>
      <c r="O39" s="31"/>
      <c r="P39" s="33"/>
      <c r="R39" s="22"/>
      <c r="S39" s="34"/>
    </row>
    <row r="40" spans="3:35" ht="25.5" x14ac:dyDescent="0.25">
      <c r="C40" s="35" t="s">
        <v>134</v>
      </c>
      <c r="D40" s="174">
        <v>219671.15839866945</v>
      </c>
      <c r="E40" s="174">
        <v>8491921.4536920041</v>
      </c>
      <c r="F40" s="174">
        <v>91855.694164931963</v>
      </c>
      <c r="G40" s="174">
        <v>273693.56498974899</v>
      </c>
      <c r="H40" s="174">
        <v>21568.800301891904</v>
      </c>
      <c r="I40" s="174">
        <v>1161378.8055939998</v>
      </c>
      <c r="J40" s="174">
        <v>2537.2527399999999</v>
      </c>
      <c r="K40" s="174">
        <v>3231.3934248973001</v>
      </c>
      <c r="L40" s="174">
        <v>2338.8900573999999</v>
      </c>
      <c r="M40" s="174">
        <v>20.011532799999998</v>
      </c>
      <c r="N40" s="174">
        <v>30.094110000000001</v>
      </c>
      <c r="O40" s="174">
        <v>2581.9835498000002</v>
      </c>
      <c r="P40" s="175">
        <v>2.2356600000000002</v>
      </c>
      <c r="R40" s="22"/>
      <c r="S40" s="34"/>
    </row>
    <row r="41" spans="3:35" ht="25.5" x14ac:dyDescent="0.25">
      <c r="C41" s="35" t="s">
        <v>125</v>
      </c>
      <c r="D41" s="176">
        <v>226255.88869400002</v>
      </c>
      <c r="E41" s="176">
        <v>8811985.4445309974</v>
      </c>
      <c r="F41" s="176">
        <v>105347.623958</v>
      </c>
      <c r="G41" s="176">
        <v>285998.06845600007</v>
      </c>
      <c r="H41" s="176">
        <v>22073.809587</v>
      </c>
      <c r="I41" s="176">
        <v>1175604.6615900001</v>
      </c>
      <c r="J41" s="176">
        <v>2638.101392</v>
      </c>
      <c r="K41" s="176">
        <v>3100.230423</v>
      </c>
      <c r="L41" s="173">
        <v>1688.6074710000003</v>
      </c>
      <c r="M41" s="173">
        <v>17.800156000000001</v>
      </c>
      <c r="N41" s="173">
        <v>26.551486000000001</v>
      </c>
      <c r="O41" s="173">
        <v>3476.3602589999996</v>
      </c>
      <c r="P41" s="177">
        <v>3.9908700000000001</v>
      </c>
      <c r="Q41" s="36"/>
      <c r="R41" s="22"/>
      <c r="S41" s="21"/>
      <c r="T41" s="21"/>
      <c r="U41" s="21"/>
      <c r="V41" s="21"/>
      <c r="W41" s="21"/>
      <c r="X41" s="21"/>
      <c r="Y41" s="21"/>
      <c r="Z41" s="21"/>
    </row>
    <row r="42" spans="3:35" x14ac:dyDescent="0.25">
      <c r="C42" s="37" t="s">
        <v>23</v>
      </c>
      <c r="D42" s="38">
        <f t="shared" ref="D42:P42" si="2">+D41/D40-1</f>
        <v>2.997539751386169E-2</v>
      </c>
      <c r="E42" s="38">
        <f>+E41/E40-1</f>
        <v>3.7690408770778339E-2</v>
      </c>
      <c r="F42" s="39">
        <f>+F41/F40-1</f>
        <v>0.14688180102196524</v>
      </c>
      <c r="G42" s="39">
        <f>+G41/G40-1</f>
        <v>4.4957226037491749E-2</v>
      </c>
      <c r="H42" s="39">
        <f t="shared" si="2"/>
        <v>2.3413879216258371E-2</v>
      </c>
      <c r="I42" s="38">
        <f t="shared" si="2"/>
        <v>1.2249109358186017E-2</v>
      </c>
      <c r="J42" s="38">
        <f t="shared" si="2"/>
        <v>3.9747184192616247E-2</v>
      </c>
      <c r="K42" s="38">
        <f t="shared" si="2"/>
        <v>-4.0590229863907257E-2</v>
      </c>
      <c r="L42" s="38">
        <f t="shared" si="2"/>
        <v>-0.27803042060167582</v>
      </c>
      <c r="M42" s="38">
        <f t="shared" si="2"/>
        <v>-0.1105051183285668</v>
      </c>
      <c r="N42" s="38">
        <f t="shared" si="2"/>
        <v>-0.11771818472119622</v>
      </c>
      <c r="O42" s="38">
        <f t="shared" si="2"/>
        <v>0.34639132742316558</v>
      </c>
      <c r="P42" s="40">
        <f t="shared" si="2"/>
        <v>0.78509701833015755</v>
      </c>
      <c r="Q42" s="2"/>
      <c r="R42" s="22"/>
      <c r="S42" s="21"/>
      <c r="T42" s="21"/>
      <c r="U42" s="21"/>
      <c r="V42" s="21"/>
      <c r="W42" s="21"/>
      <c r="X42" s="21"/>
      <c r="Y42" s="21"/>
      <c r="Z42" s="21"/>
    </row>
    <row r="43" spans="3:35" x14ac:dyDescent="0.25">
      <c r="C43" s="29"/>
      <c r="D43" s="27"/>
      <c r="E43" s="27"/>
      <c r="F43" s="27"/>
      <c r="G43" s="27"/>
      <c r="H43" s="27"/>
      <c r="I43" s="27"/>
      <c r="J43" s="27"/>
      <c r="K43" s="27"/>
      <c r="L43" s="27"/>
      <c r="M43" s="27"/>
      <c r="N43" s="27"/>
      <c r="O43" s="27"/>
      <c r="P43" s="28"/>
      <c r="Q43" s="186"/>
      <c r="T43" s="26"/>
      <c r="U43" s="26"/>
      <c r="V43" s="26"/>
      <c r="W43" s="26"/>
      <c r="X43" s="26"/>
      <c r="Y43" s="26"/>
      <c r="Z43" s="26"/>
      <c r="AA43" s="26"/>
      <c r="AB43" s="21"/>
      <c r="AC43" s="21"/>
      <c r="AD43" s="21"/>
      <c r="AE43" s="21"/>
      <c r="AF43" s="21"/>
      <c r="AG43" s="21"/>
      <c r="AH43" s="21"/>
      <c r="AI43" s="21"/>
    </row>
    <row r="44" spans="3:35" x14ac:dyDescent="0.25">
      <c r="C44" s="30" t="s">
        <v>24</v>
      </c>
      <c r="D44" s="31"/>
      <c r="E44" s="31"/>
      <c r="F44" s="32"/>
      <c r="G44" s="31"/>
      <c r="H44" s="31"/>
      <c r="I44" s="31"/>
      <c r="J44" s="31"/>
      <c r="K44" s="31"/>
      <c r="L44" s="31"/>
      <c r="M44" s="31"/>
      <c r="N44" s="31"/>
      <c r="O44" s="31"/>
      <c r="P44" s="33"/>
      <c r="Q44" s="186"/>
      <c r="T44" s="26"/>
      <c r="U44" s="26"/>
      <c r="V44" s="26"/>
      <c r="W44" s="26"/>
      <c r="X44" s="26"/>
      <c r="Y44" s="26"/>
      <c r="Z44" s="26"/>
      <c r="AA44" s="26"/>
      <c r="AB44" s="21"/>
      <c r="AC44" s="21"/>
      <c r="AD44" s="21"/>
      <c r="AE44" s="21"/>
      <c r="AF44" s="21"/>
      <c r="AG44" s="21"/>
      <c r="AH44" s="21"/>
      <c r="AI44" s="21"/>
    </row>
    <row r="45" spans="3:35" ht="24" x14ac:dyDescent="0.25">
      <c r="C45" s="43" t="s">
        <v>118</v>
      </c>
      <c r="D45" s="172">
        <v>256646.82704924102</v>
      </c>
      <c r="E45" s="172">
        <v>8909140.5003499705</v>
      </c>
      <c r="F45" s="172">
        <v>130534.16008129007</v>
      </c>
      <c r="G45" s="172">
        <v>337114.22539968765</v>
      </c>
      <c r="H45" s="172">
        <v>25988.453507589009</v>
      </c>
      <c r="I45" s="172">
        <v>1215213.200189</v>
      </c>
      <c r="J45" s="172">
        <v>2958.6111999999998</v>
      </c>
      <c r="K45" s="172">
        <v>3215.0096823199997</v>
      </c>
      <c r="L45" s="172">
        <v>2972.5482317000001</v>
      </c>
      <c r="M45" s="172">
        <v>26.207847999999998</v>
      </c>
      <c r="N45" s="172">
        <v>23.648885</v>
      </c>
      <c r="O45" s="172">
        <v>2274.5649870000007</v>
      </c>
      <c r="P45" s="183">
        <v>3.0059399999999998</v>
      </c>
      <c r="Q45" s="186"/>
      <c r="T45" s="26"/>
      <c r="U45" s="26"/>
      <c r="V45" s="26"/>
      <c r="W45" s="26"/>
      <c r="X45" s="26"/>
      <c r="Y45" s="26"/>
      <c r="Z45" s="26"/>
      <c r="AA45" s="26"/>
      <c r="AB45" s="21"/>
      <c r="AC45" s="21"/>
      <c r="AD45" s="21"/>
      <c r="AE45" s="21"/>
      <c r="AF45" s="21"/>
      <c r="AG45" s="21"/>
      <c r="AH45" s="21"/>
      <c r="AI45" s="21"/>
    </row>
    <row r="46" spans="3:35" ht="24" x14ac:dyDescent="0.25">
      <c r="C46" s="44" t="s">
        <v>124</v>
      </c>
      <c r="D46" s="173">
        <v>226255.88869400002</v>
      </c>
      <c r="E46" s="173">
        <v>8811985.4445309974</v>
      </c>
      <c r="F46" s="173">
        <v>105347.623958</v>
      </c>
      <c r="G46" s="173">
        <v>285998.06845600007</v>
      </c>
      <c r="H46" s="173">
        <v>22073.809587</v>
      </c>
      <c r="I46" s="173">
        <v>1175604.6615900001</v>
      </c>
      <c r="J46" s="173">
        <v>2638.101392</v>
      </c>
      <c r="K46" s="173">
        <v>3100.230423</v>
      </c>
      <c r="L46" s="173">
        <v>1688.6074710000003</v>
      </c>
      <c r="M46" s="173">
        <v>17.800156000000001</v>
      </c>
      <c r="N46" s="173">
        <v>26.551486000000001</v>
      </c>
      <c r="O46" s="173">
        <v>3476.3602589999996</v>
      </c>
      <c r="P46" s="184">
        <v>3.9908700000000001</v>
      </c>
      <c r="Q46" s="186"/>
      <c r="T46" s="26"/>
      <c r="U46" s="26"/>
      <c r="V46" s="26"/>
      <c r="W46" s="26"/>
      <c r="X46" s="26"/>
      <c r="Y46" s="26"/>
      <c r="Z46" s="26"/>
      <c r="AA46" s="26"/>
      <c r="AB46" s="21"/>
      <c r="AC46" s="21"/>
      <c r="AD46" s="21"/>
      <c r="AE46" s="21"/>
      <c r="AF46" s="21"/>
      <c r="AG46" s="21"/>
      <c r="AH46" s="21"/>
      <c r="AI46" s="21"/>
    </row>
    <row r="47" spans="3:35" x14ac:dyDescent="0.25">
      <c r="C47" s="45" t="s">
        <v>23</v>
      </c>
      <c r="D47" s="41">
        <f t="shared" ref="D47:M47" si="3">+D46/D45-1</f>
        <v>-0.11841540651274096</v>
      </c>
      <c r="E47" s="41">
        <f t="shared" si="3"/>
        <v>-1.0905098624851228E-2</v>
      </c>
      <c r="F47" s="41">
        <f t="shared" si="3"/>
        <v>-0.19294976968178423</v>
      </c>
      <c r="G47" s="41">
        <f t="shared" si="3"/>
        <v>-0.1516285967555463</v>
      </c>
      <c r="H47" s="41">
        <f t="shared" si="3"/>
        <v>-0.15063012192879721</v>
      </c>
      <c r="I47" s="41">
        <f t="shared" si="3"/>
        <v>-3.2593900883268523E-2</v>
      </c>
      <c r="J47" s="41">
        <f t="shared" si="3"/>
        <v>-0.10833116835358425</v>
      </c>
      <c r="K47" s="41">
        <f t="shared" si="3"/>
        <v>-3.5701061788769861E-2</v>
      </c>
      <c r="L47" s="41">
        <f t="shared" si="3"/>
        <v>-0.43193269229670805</v>
      </c>
      <c r="M47" s="41">
        <f t="shared" si="3"/>
        <v>-0.32080817929041705</v>
      </c>
      <c r="N47" s="41">
        <f>+N46/N45-1</f>
        <v>0.12273732989948583</v>
      </c>
      <c r="O47" s="41">
        <f>+O46/O45-1</f>
        <v>0.52836268863220592</v>
      </c>
      <c r="P47" s="42">
        <f>+P46/P45-1</f>
        <v>0.32766123076308928</v>
      </c>
      <c r="Q47" s="186"/>
      <c r="T47" s="26"/>
      <c r="U47" s="26"/>
      <c r="V47" s="26"/>
      <c r="W47" s="26"/>
      <c r="X47" s="26"/>
      <c r="Y47" s="26"/>
      <c r="Z47" s="26"/>
      <c r="AA47" s="26"/>
      <c r="AB47" s="21"/>
      <c r="AC47" s="21"/>
      <c r="AD47" s="21"/>
      <c r="AE47" s="21"/>
      <c r="AF47" s="21"/>
      <c r="AG47" s="21"/>
      <c r="AH47" s="21"/>
      <c r="AI47" s="21"/>
    </row>
    <row r="48" spans="3:35" x14ac:dyDescent="0.25">
      <c r="C48" s="46"/>
      <c r="D48" s="47"/>
      <c r="E48" s="48"/>
      <c r="F48" s="47"/>
      <c r="G48" s="47"/>
      <c r="H48" s="47"/>
      <c r="I48" s="47"/>
      <c r="J48" s="47"/>
      <c r="K48" s="47"/>
      <c r="L48" s="47"/>
      <c r="M48" s="47"/>
      <c r="N48" s="47"/>
      <c r="O48" s="47"/>
      <c r="P48" s="49"/>
      <c r="R48" s="22"/>
      <c r="S48" s="21"/>
      <c r="T48" s="21"/>
      <c r="U48" s="21"/>
      <c r="V48" s="21"/>
      <c r="W48" s="21"/>
      <c r="X48" s="21"/>
      <c r="Y48" s="21"/>
      <c r="Z48" s="21"/>
    </row>
    <row r="49" spans="3:36" s="51" customFormat="1" ht="87.6" customHeight="1" x14ac:dyDescent="0.25">
      <c r="C49" s="206" t="s">
        <v>119</v>
      </c>
      <c r="D49" s="207"/>
      <c r="E49" s="207"/>
      <c r="F49" s="207"/>
      <c r="G49" s="207"/>
      <c r="H49" s="207"/>
      <c r="I49" s="207"/>
      <c r="J49" s="207"/>
      <c r="K49" s="207"/>
      <c r="L49" s="207"/>
      <c r="M49" s="207"/>
      <c r="N49" s="207"/>
      <c r="O49" s="207"/>
      <c r="P49" s="208"/>
      <c r="Q49" s="50"/>
    </row>
    <row r="50" spans="3:36" s="51" customFormat="1" ht="10.15" customHeight="1" x14ac:dyDescent="0.25">
      <c r="C50" s="209"/>
      <c r="D50" s="210"/>
      <c r="E50" s="210"/>
      <c r="F50" s="210"/>
      <c r="G50" s="210"/>
      <c r="H50" s="210"/>
      <c r="I50" s="210"/>
      <c r="J50" s="210"/>
      <c r="K50" s="210"/>
      <c r="L50" s="210"/>
      <c r="M50" s="210"/>
      <c r="N50" s="210"/>
      <c r="O50" s="210"/>
      <c r="P50" s="211"/>
      <c r="Q50" s="50"/>
    </row>
    <row r="51" spans="3:36" s="51" customFormat="1" ht="15" x14ac:dyDescent="0.25">
      <c r="Q51" s="50"/>
    </row>
    <row r="52" spans="3:36" ht="36.6" customHeight="1" x14ac:dyDescent="0.25">
      <c r="C52" s="212" t="s">
        <v>25</v>
      </c>
      <c r="D52" s="212"/>
      <c r="E52" s="212"/>
      <c r="F52" s="212"/>
      <c r="G52" s="212"/>
      <c r="H52" s="212"/>
      <c r="I52" s="212"/>
      <c r="J52" s="212"/>
      <c r="K52" s="212"/>
      <c r="L52" s="212"/>
      <c r="M52" s="212"/>
      <c r="N52" s="212"/>
      <c r="O52" s="212"/>
      <c r="P52" s="212"/>
    </row>
    <row r="53" spans="3:36" ht="36.75" customHeight="1" x14ac:dyDescent="0.25"/>
    <row r="54" spans="3:36" ht="36.75" customHeight="1" x14ac:dyDescent="0.25"/>
    <row r="55" spans="3:36" ht="36.75" customHeight="1" x14ac:dyDescent="0.25"/>
    <row r="56" spans="3:36" s="8" customFormat="1" ht="36.75" customHeight="1" x14ac:dyDescent="0.25">
      <c r="C56" s="34"/>
      <c r="D56" s="2"/>
      <c r="E56" s="2"/>
      <c r="F56" s="2"/>
      <c r="G56" s="2"/>
      <c r="H56" s="2"/>
      <c r="I56" s="2"/>
      <c r="J56" s="2"/>
      <c r="K56" s="2"/>
      <c r="L56" s="2"/>
      <c r="M56" s="2"/>
      <c r="N56" s="2"/>
      <c r="O56" s="2"/>
      <c r="P56" s="2"/>
      <c r="R56" s="2"/>
      <c r="S56" s="2"/>
      <c r="T56" s="2"/>
      <c r="U56" s="2"/>
      <c r="V56" s="2"/>
      <c r="W56" s="2"/>
      <c r="X56" s="2"/>
      <c r="Y56" s="2"/>
      <c r="Z56" s="2"/>
      <c r="AA56" s="2"/>
      <c r="AB56" s="2"/>
      <c r="AC56" s="2"/>
      <c r="AD56" s="2"/>
      <c r="AE56" s="2"/>
      <c r="AF56" s="2"/>
      <c r="AG56" s="2"/>
      <c r="AH56" s="2"/>
      <c r="AI56" s="2"/>
      <c r="AJ56" s="2"/>
    </row>
    <row r="57" spans="3:36" s="8" customFormat="1" ht="36.75" customHeight="1" x14ac:dyDescent="0.25">
      <c r="C57" s="34"/>
      <c r="D57" s="2"/>
      <c r="E57" s="2"/>
      <c r="F57" s="2"/>
      <c r="G57" s="2"/>
      <c r="H57" s="2"/>
      <c r="I57" s="2"/>
      <c r="J57" s="2"/>
      <c r="K57" s="2"/>
      <c r="L57" s="2"/>
      <c r="M57" s="2"/>
      <c r="N57" s="2"/>
      <c r="O57" s="2"/>
      <c r="P57" s="2"/>
      <c r="R57" s="2"/>
      <c r="S57" s="2"/>
      <c r="T57" s="2"/>
      <c r="U57" s="2"/>
      <c r="V57" s="2"/>
      <c r="W57" s="2"/>
      <c r="X57" s="2"/>
      <c r="Y57" s="2"/>
      <c r="Z57" s="2"/>
      <c r="AA57" s="2"/>
      <c r="AB57" s="2"/>
      <c r="AC57" s="2"/>
      <c r="AD57" s="2"/>
      <c r="AE57" s="2"/>
      <c r="AF57" s="2"/>
      <c r="AG57" s="2"/>
      <c r="AH57" s="2"/>
      <c r="AI57" s="2"/>
      <c r="AJ57" s="2"/>
    </row>
    <row r="58" spans="3:36" ht="36.75" customHeight="1" x14ac:dyDescent="0.25"/>
    <row r="59" spans="3:36" s="8" customFormat="1" ht="36.75" customHeight="1" x14ac:dyDescent="0.25">
      <c r="C59" s="2"/>
      <c r="D59" s="2"/>
      <c r="E59" s="2"/>
      <c r="F59" s="2"/>
      <c r="G59" s="2"/>
      <c r="H59" s="2"/>
      <c r="I59" s="2"/>
      <c r="J59" s="2"/>
      <c r="K59" s="2"/>
      <c r="L59" s="2"/>
      <c r="M59" s="2"/>
      <c r="N59" s="2"/>
      <c r="O59" s="2"/>
      <c r="P59" s="2"/>
      <c r="R59" s="2"/>
      <c r="S59" s="2"/>
      <c r="T59" s="2"/>
      <c r="U59" s="2"/>
      <c r="V59" s="2"/>
      <c r="W59" s="2"/>
      <c r="X59" s="2"/>
      <c r="Y59" s="2"/>
      <c r="Z59" s="2"/>
      <c r="AA59" s="2"/>
      <c r="AB59" s="2"/>
      <c r="AC59" s="2"/>
      <c r="AD59" s="2"/>
      <c r="AE59" s="2"/>
      <c r="AF59" s="2"/>
      <c r="AG59" s="2"/>
      <c r="AH59" s="2"/>
      <c r="AI59" s="2"/>
      <c r="AJ59" s="2"/>
    </row>
    <row r="60" spans="3:36" s="8" customFormat="1" x14ac:dyDescent="0.25">
      <c r="C60" s="34"/>
      <c r="D60" s="2"/>
      <c r="E60" s="2"/>
      <c r="F60" s="2"/>
      <c r="G60" s="2"/>
      <c r="H60" s="2"/>
      <c r="I60" s="2"/>
      <c r="J60" s="2"/>
      <c r="K60" s="52"/>
      <c r="L60" s="52"/>
      <c r="M60" s="52"/>
      <c r="N60" s="52"/>
      <c r="O60" s="52"/>
      <c r="P60" s="52"/>
      <c r="R60" s="2"/>
      <c r="S60" s="2"/>
      <c r="T60" s="2"/>
      <c r="U60" s="2"/>
      <c r="V60" s="2"/>
      <c r="W60" s="2"/>
      <c r="X60" s="2"/>
      <c r="Y60" s="2"/>
      <c r="Z60" s="2"/>
      <c r="AA60" s="2"/>
      <c r="AB60" s="2"/>
      <c r="AC60" s="2"/>
      <c r="AD60" s="2"/>
      <c r="AE60" s="2"/>
      <c r="AF60" s="2"/>
      <c r="AG60" s="2"/>
      <c r="AH60" s="2"/>
      <c r="AI60" s="2"/>
      <c r="AJ60" s="2"/>
    </row>
    <row r="61" spans="3:36" s="8" customFormat="1" ht="67.5" customHeight="1" x14ac:dyDescent="0.25">
      <c r="C61" s="200" t="s">
        <v>120</v>
      </c>
      <c r="D61" s="201"/>
      <c r="E61" s="201"/>
      <c r="F61" s="201"/>
      <c r="G61" s="201"/>
      <c r="H61" s="201"/>
      <c r="I61" s="201"/>
      <c r="J61" s="201"/>
      <c r="K61" s="201"/>
      <c r="L61" s="201"/>
      <c r="M61" s="201"/>
      <c r="N61" s="201"/>
      <c r="O61" s="201"/>
      <c r="P61" s="202"/>
      <c r="R61" s="2"/>
      <c r="S61" s="2"/>
      <c r="T61" s="2"/>
      <c r="U61" s="2"/>
      <c r="V61" s="2"/>
      <c r="W61" s="2"/>
      <c r="X61" s="2"/>
      <c r="Y61" s="2"/>
      <c r="Z61" s="2"/>
      <c r="AA61" s="2"/>
      <c r="AB61" s="2"/>
      <c r="AC61" s="2"/>
      <c r="AD61" s="2"/>
      <c r="AE61" s="2"/>
      <c r="AF61" s="2"/>
      <c r="AG61" s="2"/>
      <c r="AH61" s="2"/>
      <c r="AI61" s="2"/>
      <c r="AJ61" s="2"/>
    </row>
  </sheetData>
  <mergeCells count="7">
    <mergeCell ref="C61:P61"/>
    <mergeCell ref="C3:P3"/>
    <mergeCell ref="C4:P4"/>
    <mergeCell ref="C6:K6"/>
    <mergeCell ref="C49:P49"/>
    <mergeCell ref="C50:P50"/>
    <mergeCell ref="C52:P52"/>
  </mergeCells>
  <conditionalFormatting sqref="F42 H42 D48:P48">
    <cfRule type="cellIs" dxfId="0" priority="1" operator="lessThan">
      <formula>0</formula>
    </cfRule>
  </conditionalFormatting>
  <printOptions horizontalCentered="1" verticalCentered="1"/>
  <pageMargins left="0.25" right="0.25" top="0.75" bottom="0.75" header="0.3" footer="0.3"/>
  <pageSetup paperSize="8" scale="7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1:N109"/>
  <sheetViews>
    <sheetView showGridLines="0" view="pageBreakPreview" zoomScaleNormal="100" zoomScaleSheetLayoutView="100" workbookViewId="0"/>
  </sheetViews>
  <sheetFormatPr baseColWidth="10" defaultColWidth="11.5703125" defaultRowHeight="15" x14ac:dyDescent="0.25"/>
  <cols>
    <col min="1" max="2" width="3.7109375" style="51" customWidth="1"/>
    <col min="3" max="3" width="57.140625" style="51" customWidth="1"/>
    <col min="4" max="5" width="12.42578125" style="51" customWidth="1"/>
    <col min="6" max="6" width="12" style="51" customWidth="1"/>
    <col min="7" max="7" width="10.85546875" style="54" customWidth="1"/>
    <col min="8" max="8" width="3.7109375" style="51" customWidth="1"/>
    <col min="9" max="16384" width="11.5703125" style="51"/>
  </cols>
  <sheetData>
    <row r="1" spans="2:14" ht="10.5" customHeight="1" x14ac:dyDescent="0.25"/>
    <row r="2" spans="2:14" ht="10.5" customHeight="1" x14ac:dyDescent="0.25"/>
    <row r="3" spans="2:14" ht="15.75" x14ac:dyDescent="0.25">
      <c r="C3" s="203" t="s">
        <v>0</v>
      </c>
      <c r="D3" s="203"/>
      <c r="E3" s="203"/>
      <c r="F3" s="203"/>
      <c r="G3" s="203"/>
      <c r="H3" s="4"/>
      <c r="I3" s="4"/>
      <c r="J3" s="4"/>
      <c r="K3" s="4"/>
      <c r="L3" s="4"/>
      <c r="M3" s="4"/>
      <c r="N3" s="4"/>
    </row>
    <row r="4" spans="2:14" x14ac:dyDescent="0.25">
      <c r="C4" s="204" t="s">
        <v>1</v>
      </c>
      <c r="D4" s="204"/>
      <c r="E4" s="204"/>
      <c r="F4" s="204"/>
      <c r="G4" s="204"/>
      <c r="H4" s="185"/>
      <c r="I4" s="4"/>
      <c r="J4" s="4"/>
      <c r="K4" s="4"/>
      <c r="L4" s="4"/>
      <c r="M4" s="4"/>
      <c r="N4" s="4"/>
    </row>
    <row r="5" spans="2:14" x14ac:dyDescent="0.25">
      <c r="C5" s="4"/>
      <c r="D5" s="4"/>
      <c r="E5" s="4"/>
      <c r="F5" s="4"/>
      <c r="G5" s="3"/>
      <c r="H5" s="4"/>
      <c r="I5" s="4"/>
      <c r="J5" s="4"/>
      <c r="K5" s="4"/>
      <c r="L5" s="4"/>
      <c r="M5" s="4"/>
      <c r="N5" s="4"/>
    </row>
    <row r="6" spans="2:14" ht="15.75" x14ac:dyDescent="0.25">
      <c r="C6" s="55" t="s">
        <v>26</v>
      </c>
    </row>
    <row r="7" spans="2:14" x14ac:dyDescent="0.25">
      <c r="C7" s="56" t="s">
        <v>27</v>
      </c>
    </row>
    <row r="8" spans="2:14" ht="27" customHeight="1" x14ac:dyDescent="0.25">
      <c r="C8" s="57"/>
      <c r="D8" s="213" t="s">
        <v>126</v>
      </c>
      <c r="E8" s="214"/>
      <c r="F8" s="214"/>
      <c r="G8" s="215"/>
    </row>
    <row r="9" spans="2:14" ht="25.5" customHeight="1" x14ac:dyDescent="0.25">
      <c r="C9" s="58" t="s">
        <v>28</v>
      </c>
      <c r="D9" s="79">
        <v>2025</v>
      </c>
      <c r="E9" s="78">
        <v>2026</v>
      </c>
      <c r="F9" s="113" t="s">
        <v>23</v>
      </c>
      <c r="G9" s="114" t="s">
        <v>29</v>
      </c>
    </row>
    <row r="10" spans="2:14" ht="6.75" customHeight="1" x14ac:dyDescent="0.25">
      <c r="D10" s="54"/>
      <c r="E10" s="54"/>
      <c r="F10" s="54"/>
    </row>
    <row r="11" spans="2:14" x14ac:dyDescent="0.25">
      <c r="C11" s="59" t="s">
        <v>30</v>
      </c>
      <c r="D11" s="85">
        <f>SUM(D12:D22)</f>
        <v>219671.15839866939</v>
      </c>
      <c r="E11" s="80">
        <f>SUM(E12:E22)</f>
        <v>226255.88869399996</v>
      </c>
      <c r="F11" s="86">
        <f t="shared" ref="F11:F74" si="0">(E11-D11)/D11</f>
        <v>2.9975397513861624E-2</v>
      </c>
      <c r="G11" s="87">
        <f>SUM(G12:G22)</f>
        <v>1.0000000000000002</v>
      </c>
    </row>
    <row r="12" spans="2:14" x14ac:dyDescent="0.25">
      <c r="B12" s="146"/>
      <c r="C12" s="158" t="s">
        <v>33</v>
      </c>
      <c r="D12" s="159">
        <v>30644.81684602</v>
      </c>
      <c r="E12" s="159">
        <v>38148.940113999997</v>
      </c>
      <c r="F12" s="89">
        <f t="shared" si="0"/>
        <v>0.24487414317682885</v>
      </c>
      <c r="G12" s="90">
        <f>(E12/$E$11)</f>
        <v>0.16860971148288906</v>
      </c>
    </row>
    <row r="13" spans="2:14" x14ac:dyDescent="0.25">
      <c r="B13" s="146"/>
      <c r="C13" s="160" t="s">
        <v>32</v>
      </c>
      <c r="D13" s="159">
        <v>32187.909661999998</v>
      </c>
      <c r="E13" s="159">
        <v>37070.613100000002</v>
      </c>
      <c r="F13" s="89">
        <f t="shared" si="0"/>
        <v>0.15169371013130328</v>
      </c>
      <c r="G13" s="92">
        <f t="shared" ref="G13:G22" si="1">(E13/$E$11)</f>
        <v>0.16384374927865941</v>
      </c>
    </row>
    <row r="14" spans="2:14" x14ac:dyDescent="0.25">
      <c r="B14" s="146"/>
      <c r="C14" s="160" t="s">
        <v>70</v>
      </c>
      <c r="D14" s="159">
        <v>34492.653111799998</v>
      </c>
      <c r="E14" s="159">
        <v>32518.340818000001</v>
      </c>
      <c r="F14" s="89">
        <f t="shared" si="0"/>
        <v>-5.7238632453140641E-2</v>
      </c>
      <c r="G14" s="92">
        <f t="shared" si="1"/>
        <v>0.14372373247698966</v>
      </c>
    </row>
    <row r="15" spans="2:14" x14ac:dyDescent="0.25">
      <c r="B15" s="146"/>
      <c r="C15" s="160" t="s">
        <v>31</v>
      </c>
      <c r="D15" s="159">
        <v>35523.229019999999</v>
      </c>
      <c r="E15" s="159">
        <v>32103.633968000002</v>
      </c>
      <c r="F15" s="89">
        <f t="shared" si="0"/>
        <v>-9.6263632173604619E-2</v>
      </c>
      <c r="G15" s="92">
        <f t="shared" si="1"/>
        <v>0.14189082172980963</v>
      </c>
    </row>
    <row r="16" spans="2:14" x14ac:dyDescent="0.25">
      <c r="B16" s="146"/>
      <c r="C16" s="160" t="s">
        <v>34</v>
      </c>
      <c r="D16" s="159">
        <v>25120.0602755174</v>
      </c>
      <c r="E16" s="159">
        <v>25104.848399999999</v>
      </c>
      <c r="F16" s="89">
        <f t="shared" si="0"/>
        <v>-6.0556683983068881E-4</v>
      </c>
      <c r="G16" s="92">
        <f t="shared" si="1"/>
        <v>0.11095776797196683</v>
      </c>
    </row>
    <row r="17" spans="2:7" x14ac:dyDescent="0.25">
      <c r="B17" s="146"/>
      <c r="C17" s="160" t="s">
        <v>35</v>
      </c>
      <c r="D17" s="159">
        <v>18516.31194</v>
      </c>
      <c r="E17" s="159">
        <v>18855.513351000001</v>
      </c>
      <c r="F17" s="89">
        <f t="shared" si="0"/>
        <v>1.8319059005872516E-2</v>
      </c>
      <c r="G17" s="92">
        <f t="shared" si="1"/>
        <v>8.3337116482750037E-2</v>
      </c>
    </row>
    <row r="18" spans="2:7" x14ac:dyDescent="0.25">
      <c r="B18" s="146"/>
      <c r="C18" s="160" t="s">
        <v>36</v>
      </c>
      <c r="D18" s="159">
        <v>7194.2868399999998</v>
      </c>
      <c r="E18" s="159">
        <v>9832.8240000000005</v>
      </c>
      <c r="F18" s="89">
        <f t="shared" si="0"/>
        <v>0.36675451211228061</v>
      </c>
      <c r="G18" s="92">
        <f t="shared" si="1"/>
        <v>4.34588644598701E-2</v>
      </c>
    </row>
    <row r="19" spans="2:7" x14ac:dyDescent="0.25">
      <c r="B19" s="146"/>
      <c r="C19" s="160" t="s">
        <v>60</v>
      </c>
      <c r="D19" s="159">
        <v>11212.89710376</v>
      </c>
      <c r="E19" s="159">
        <v>8111.545674</v>
      </c>
      <c r="F19" s="89">
        <f t="shared" si="0"/>
        <v>-0.27658787921277095</v>
      </c>
      <c r="G19" s="92">
        <f t="shared" si="1"/>
        <v>3.5851202462935536E-2</v>
      </c>
    </row>
    <row r="20" spans="2:7" x14ac:dyDescent="0.25">
      <c r="B20" s="146"/>
      <c r="C20" s="160" t="s">
        <v>37</v>
      </c>
      <c r="D20" s="159">
        <v>7204.3166468099998</v>
      </c>
      <c r="E20" s="159">
        <v>6482.1760809999996</v>
      </c>
      <c r="F20" s="89">
        <f t="shared" si="0"/>
        <v>-0.10023720516639936</v>
      </c>
      <c r="G20" s="92">
        <f t="shared" si="1"/>
        <v>2.8649756337466321E-2</v>
      </c>
    </row>
    <row r="21" spans="2:7" x14ac:dyDescent="0.25">
      <c r="B21" s="146"/>
      <c r="C21" s="160" t="s">
        <v>53</v>
      </c>
      <c r="D21" s="159">
        <v>981.13864000000001</v>
      </c>
      <c r="E21" s="159">
        <v>3976.974256</v>
      </c>
      <c r="F21" s="89">
        <f t="shared" si="0"/>
        <v>3.0534274096064546</v>
      </c>
      <c r="G21" s="92">
        <f t="shared" si="1"/>
        <v>1.757732927507873E-2</v>
      </c>
    </row>
    <row r="22" spans="2:7" x14ac:dyDescent="0.2">
      <c r="B22" s="146"/>
      <c r="C22" s="161" t="s">
        <v>135</v>
      </c>
      <c r="D22" s="159">
        <v>16593.538312761997</v>
      </c>
      <c r="E22" s="159">
        <v>14050.478932</v>
      </c>
      <c r="F22" s="89">
        <f t="shared" si="0"/>
        <v>-0.15325600440541029</v>
      </c>
      <c r="G22" s="100">
        <f t="shared" si="1"/>
        <v>6.2099948041584835E-2</v>
      </c>
    </row>
    <row r="23" spans="2:7" x14ac:dyDescent="0.25">
      <c r="B23" s="146"/>
      <c r="C23" s="145" t="s">
        <v>39</v>
      </c>
      <c r="D23" s="85">
        <f>SUM(D24:D34)</f>
        <v>8491921.4536920022</v>
      </c>
      <c r="E23" s="80">
        <f>SUM(E24:E34)</f>
        <v>8811985.4445310012</v>
      </c>
      <c r="F23" s="86">
        <f t="shared" si="0"/>
        <v>3.7690408770778942E-2</v>
      </c>
      <c r="G23" s="87">
        <f>SUM(G24:G34)</f>
        <v>1</v>
      </c>
    </row>
    <row r="24" spans="2:7" x14ac:dyDescent="0.25">
      <c r="B24" s="146"/>
      <c r="C24" s="162" t="s">
        <v>40</v>
      </c>
      <c r="D24" s="159">
        <v>994630.46319999988</v>
      </c>
      <c r="E24" s="159">
        <v>1909265.3037</v>
      </c>
      <c r="F24" s="88">
        <f t="shared" si="0"/>
        <v>0.91957251898093717</v>
      </c>
      <c r="G24" s="90">
        <f>(E24/$E$23)</f>
        <v>0.21666686988060685</v>
      </c>
    </row>
    <row r="25" spans="2:7" x14ac:dyDescent="0.25">
      <c r="B25" s="146"/>
      <c r="C25" s="163" t="s">
        <v>41</v>
      </c>
      <c r="D25" s="159">
        <v>710442.74169000005</v>
      </c>
      <c r="E25" s="159">
        <v>587423.09219</v>
      </c>
      <c r="F25" s="91">
        <f t="shared" si="0"/>
        <v>-0.17315913342623659</v>
      </c>
      <c r="G25" s="92">
        <f t="shared" ref="G25:G34" si="2">(E25/$E$23)</f>
        <v>6.6661831875196018E-2</v>
      </c>
    </row>
    <row r="26" spans="2:7" x14ac:dyDescent="0.25">
      <c r="B26" s="146"/>
      <c r="C26" s="163" t="s">
        <v>43</v>
      </c>
      <c r="D26" s="159">
        <v>402517.08</v>
      </c>
      <c r="E26" s="159">
        <v>375954.66899999999</v>
      </c>
      <c r="F26" s="91">
        <f t="shared" si="0"/>
        <v>-6.5990767397994685E-2</v>
      </c>
      <c r="G26" s="92">
        <f t="shared" si="2"/>
        <v>4.2664013844159202E-2</v>
      </c>
    </row>
    <row r="27" spans="2:7" x14ac:dyDescent="0.25">
      <c r="B27" s="146"/>
      <c r="C27" s="163" t="s">
        <v>44</v>
      </c>
      <c r="D27" s="159">
        <v>455102.38400000002</v>
      </c>
      <c r="E27" s="159">
        <v>371059.42499999999</v>
      </c>
      <c r="F27" s="91">
        <f t="shared" si="0"/>
        <v>-0.1846682459918734</v>
      </c>
      <c r="G27" s="151">
        <f t="shared" si="2"/>
        <v>4.2108492726833917E-2</v>
      </c>
    </row>
    <row r="28" spans="2:7" x14ac:dyDescent="0.25">
      <c r="B28" s="146"/>
      <c r="C28" s="163" t="s">
        <v>46</v>
      </c>
      <c r="D28" s="159">
        <v>340014.33459966502</v>
      </c>
      <c r="E28" s="159">
        <v>367156.89314300002</v>
      </c>
      <c r="F28" s="91">
        <f t="shared" si="0"/>
        <v>7.9827688956975368E-2</v>
      </c>
      <c r="G28" s="151">
        <f t="shared" si="2"/>
        <v>4.1665626373778145E-2</v>
      </c>
    </row>
    <row r="29" spans="2:7" x14ac:dyDescent="0.25">
      <c r="B29" s="146"/>
      <c r="C29" s="163" t="s">
        <v>48</v>
      </c>
      <c r="D29" s="159">
        <v>323417.96169022197</v>
      </c>
      <c r="E29" s="159">
        <v>335887.173495</v>
      </c>
      <c r="F29" s="91">
        <f t="shared" si="0"/>
        <v>3.8554481450604638E-2</v>
      </c>
      <c r="G29" s="92">
        <f t="shared" si="2"/>
        <v>3.8117082195529756E-2</v>
      </c>
    </row>
    <row r="30" spans="2:7" x14ac:dyDescent="0.25">
      <c r="B30" s="146"/>
      <c r="C30" s="163" t="s">
        <v>45</v>
      </c>
      <c r="D30" s="159">
        <v>374549.4</v>
      </c>
      <c r="E30" s="159">
        <v>307439.55</v>
      </c>
      <c r="F30" s="91">
        <f t="shared" si="0"/>
        <v>-0.1791748965557014</v>
      </c>
      <c r="G30" s="92">
        <f t="shared" si="2"/>
        <v>3.4888794578162491E-2</v>
      </c>
    </row>
    <row r="31" spans="2:7" x14ac:dyDescent="0.25">
      <c r="B31" s="146"/>
      <c r="C31" s="163" t="s">
        <v>47</v>
      </c>
      <c r="D31" s="159">
        <v>297220.114772</v>
      </c>
      <c r="E31" s="159">
        <v>292576.12585200003</v>
      </c>
      <c r="F31" s="91">
        <f t="shared" si="0"/>
        <v>-1.5624746405748536E-2</v>
      </c>
      <c r="G31" s="151">
        <f t="shared" si="2"/>
        <v>3.320206640077715E-2</v>
      </c>
    </row>
    <row r="32" spans="2:7" x14ac:dyDescent="0.25">
      <c r="B32" s="146"/>
      <c r="C32" s="163" t="s">
        <v>32</v>
      </c>
      <c r="D32" s="159">
        <v>169533.9792</v>
      </c>
      <c r="E32" s="159">
        <v>291515.038</v>
      </c>
      <c r="F32" s="91">
        <f t="shared" si="0"/>
        <v>0.71950802650658241</v>
      </c>
      <c r="G32" s="151">
        <f t="shared" si="2"/>
        <v>3.3081652237739852E-2</v>
      </c>
    </row>
    <row r="33" spans="2:7" x14ac:dyDescent="0.25">
      <c r="B33" s="146"/>
      <c r="C33" s="163" t="s">
        <v>128</v>
      </c>
      <c r="D33" s="159">
        <v>199586.74976000001</v>
      </c>
      <c r="E33" s="159">
        <v>242952.90599999999</v>
      </c>
      <c r="F33" s="91">
        <f t="shared" si="0"/>
        <v>0.217279735714656</v>
      </c>
      <c r="G33" s="92">
        <f t="shared" si="2"/>
        <v>2.7570733920218207E-2</v>
      </c>
    </row>
    <row r="34" spans="2:7" x14ac:dyDescent="0.2">
      <c r="B34" s="146"/>
      <c r="C34" s="164" t="s">
        <v>136</v>
      </c>
      <c r="D34" s="159">
        <v>4224906.2447801158</v>
      </c>
      <c r="E34" s="159">
        <v>3730755.268151002</v>
      </c>
      <c r="F34" s="95">
        <f t="shared" si="0"/>
        <v>-0.11696140647846062</v>
      </c>
      <c r="G34" s="100">
        <f t="shared" si="2"/>
        <v>0.42337283596699848</v>
      </c>
    </row>
    <row r="35" spans="2:7" x14ac:dyDescent="0.25">
      <c r="C35" s="62" t="s">
        <v>49</v>
      </c>
      <c r="D35" s="85">
        <f>SUM(D36:D46)</f>
        <v>91855.694164932007</v>
      </c>
      <c r="E35" s="80">
        <f>SUM(E36:E46)</f>
        <v>105347.62395800001</v>
      </c>
      <c r="F35" s="86">
        <f t="shared" si="0"/>
        <v>0.14688180102196488</v>
      </c>
      <c r="G35" s="87">
        <f>SUM(G36:G46)</f>
        <v>0.99999999999999978</v>
      </c>
    </row>
    <row r="36" spans="2:7" x14ac:dyDescent="0.25">
      <c r="B36" s="146"/>
      <c r="C36" s="162" t="s">
        <v>33</v>
      </c>
      <c r="D36" s="159">
        <v>24177.74956615</v>
      </c>
      <c r="E36" s="159">
        <v>25380.912273000002</v>
      </c>
      <c r="F36" s="96">
        <f t="shared" si="0"/>
        <v>4.9763221492478651E-2</v>
      </c>
      <c r="G36" s="97">
        <f>(E36/$E$35)</f>
        <v>0.24092534144974037</v>
      </c>
    </row>
    <row r="37" spans="2:7" x14ac:dyDescent="0.25">
      <c r="B37" s="146"/>
      <c r="C37" s="163" t="s">
        <v>50</v>
      </c>
      <c r="D37" s="159">
        <v>13682.331220048</v>
      </c>
      <c r="E37" s="159">
        <v>10342.50417</v>
      </c>
      <c r="F37" s="98">
        <f t="shared" si="0"/>
        <v>-0.24409780733522418</v>
      </c>
      <c r="G37" s="99">
        <f t="shared" ref="G37:G46" si="3">(E37/$E$35)</f>
        <v>9.8175011276223467E-2</v>
      </c>
    </row>
    <row r="38" spans="2:7" x14ac:dyDescent="0.25">
      <c r="B38" s="146"/>
      <c r="C38" s="163" t="s">
        <v>51</v>
      </c>
      <c r="D38" s="159">
        <v>5865.2262000000001</v>
      </c>
      <c r="E38" s="159">
        <v>8173.1221999999998</v>
      </c>
      <c r="F38" s="98">
        <f t="shared" si="0"/>
        <v>0.39348797834941124</v>
      </c>
      <c r="G38" s="99">
        <f t="shared" si="3"/>
        <v>7.7582406635563608E-2</v>
      </c>
    </row>
    <row r="39" spans="2:7" x14ac:dyDescent="0.25">
      <c r="B39" s="146"/>
      <c r="C39" s="163" t="s">
        <v>53</v>
      </c>
      <c r="D39" s="159">
        <v>1015.899017</v>
      </c>
      <c r="E39" s="159">
        <v>8101.8598519999996</v>
      </c>
      <c r="F39" s="98">
        <f t="shared" si="0"/>
        <v>6.9750641711665322</v>
      </c>
      <c r="G39" s="99">
        <f t="shared" si="3"/>
        <v>7.6905957131316496E-2</v>
      </c>
    </row>
    <row r="40" spans="2:7" x14ac:dyDescent="0.25">
      <c r="B40" s="146"/>
      <c r="C40" s="163" t="s">
        <v>35</v>
      </c>
      <c r="D40" s="159">
        <v>3338.2458000000001</v>
      </c>
      <c r="E40" s="159">
        <v>5916.8424990000003</v>
      </c>
      <c r="F40" s="98">
        <f t="shared" si="0"/>
        <v>0.77244063304146149</v>
      </c>
      <c r="G40" s="99">
        <f t="shared" si="3"/>
        <v>5.6164935446089671E-2</v>
      </c>
    </row>
    <row r="41" spans="2:7" x14ac:dyDescent="0.25">
      <c r="B41" s="146"/>
      <c r="C41" s="163" t="s">
        <v>117</v>
      </c>
      <c r="D41" s="159">
        <v>1686.4263244000001</v>
      </c>
      <c r="E41" s="159">
        <v>5381.3253349999995</v>
      </c>
      <c r="F41" s="98">
        <f t="shared" si="0"/>
        <v>2.1909637896067458</v>
      </c>
      <c r="G41" s="99">
        <f t="shared" si="3"/>
        <v>5.1081601395636854E-2</v>
      </c>
    </row>
    <row r="42" spans="2:7" x14ac:dyDescent="0.25">
      <c r="B42" s="146"/>
      <c r="C42" s="163" t="s">
        <v>55</v>
      </c>
      <c r="D42" s="159">
        <v>3401.5517829999999</v>
      </c>
      <c r="E42" s="159">
        <v>5014.1109130000004</v>
      </c>
      <c r="F42" s="98">
        <f t="shared" si="0"/>
        <v>0.47406573025262116</v>
      </c>
      <c r="G42" s="99">
        <f t="shared" si="3"/>
        <v>4.7595861440586702E-2</v>
      </c>
    </row>
    <row r="43" spans="2:7" x14ac:dyDescent="0.25">
      <c r="B43" s="146"/>
      <c r="C43" s="163" t="s">
        <v>56</v>
      </c>
      <c r="D43" s="159">
        <v>2666.79081924</v>
      </c>
      <c r="E43" s="159">
        <v>4051.2937219999999</v>
      </c>
      <c r="F43" s="98">
        <f t="shared" si="0"/>
        <v>0.51916441768558541</v>
      </c>
      <c r="G43" s="99">
        <f t="shared" si="3"/>
        <v>3.8456431856642249E-2</v>
      </c>
    </row>
    <row r="44" spans="2:7" x14ac:dyDescent="0.25">
      <c r="B44" s="146"/>
      <c r="C44" s="163" t="s">
        <v>129</v>
      </c>
      <c r="D44" s="159">
        <v>3062.64642383</v>
      </c>
      <c r="E44" s="159">
        <v>3377.8917369999999</v>
      </c>
      <c r="F44" s="98">
        <f t="shared" si="0"/>
        <v>0.10293232373058889</v>
      </c>
      <c r="G44" s="99">
        <f t="shared" si="3"/>
        <v>3.2064242268498605E-2</v>
      </c>
    </row>
    <row r="45" spans="2:7" x14ac:dyDescent="0.25">
      <c r="B45" s="146"/>
      <c r="C45" s="163" t="s">
        <v>130</v>
      </c>
      <c r="D45" s="159">
        <v>2087.7321573999998</v>
      </c>
      <c r="E45" s="159">
        <v>3281.6272650000001</v>
      </c>
      <c r="F45" s="98">
        <f t="shared" si="0"/>
        <v>0.57186220146498201</v>
      </c>
      <c r="G45" s="99">
        <f t="shared" si="3"/>
        <v>3.1150463026183857E-2</v>
      </c>
    </row>
    <row r="46" spans="2:7" x14ac:dyDescent="0.2">
      <c r="B46" s="146"/>
      <c r="C46" s="165" t="s">
        <v>137</v>
      </c>
      <c r="D46" s="166">
        <v>30871.094853864004</v>
      </c>
      <c r="E46" s="166">
        <v>26326.133991999995</v>
      </c>
      <c r="F46" s="93">
        <f t="shared" si="0"/>
        <v>-0.14722383133409131</v>
      </c>
      <c r="G46" s="100">
        <f t="shared" si="3"/>
        <v>0.249897748073518</v>
      </c>
    </row>
    <row r="47" spans="2:7" x14ac:dyDescent="0.25">
      <c r="B47" s="146"/>
      <c r="C47" s="147" t="s">
        <v>57</v>
      </c>
      <c r="D47" s="85">
        <f>SUM(D48:D58)</f>
        <v>273693.56498974893</v>
      </c>
      <c r="E47" s="80">
        <f>SUM(E48:E58)</f>
        <v>285998.06845600001</v>
      </c>
      <c r="F47" s="86">
        <f t="shared" si="0"/>
        <v>4.4957226037491721E-2</v>
      </c>
      <c r="G47" s="87">
        <f>SUM(G48:G58)</f>
        <v>1</v>
      </c>
    </row>
    <row r="48" spans="2:7" x14ac:dyDescent="0.25">
      <c r="B48" s="146"/>
      <c r="C48" s="158" t="s">
        <v>33</v>
      </c>
      <c r="D48" s="159">
        <v>30902.291659534301</v>
      </c>
      <c r="E48" s="159">
        <v>44470.843881000001</v>
      </c>
      <c r="F48" s="91">
        <f t="shared" si="0"/>
        <v>0.43907915862542146</v>
      </c>
      <c r="G48" s="90">
        <f>(E48/$E$47)</f>
        <v>0.15549351127118438</v>
      </c>
    </row>
    <row r="49" spans="2:7" x14ac:dyDescent="0.25">
      <c r="B49" s="146"/>
      <c r="C49" s="160" t="s">
        <v>58</v>
      </c>
      <c r="D49" s="159">
        <v>27990.940726877699</v>
      </c>
      <c r="E49" s="159">
        <v>35462.529504999999</v>
      </c>
      <c r="F49" s="91">
        <f t="shared" si="0"/>
        <v>0.26692881997166557</v>
      </c>
      <c r="G49" s="92">
        <f t="shared" ref="G49:G58" si="4">(E49/$E$47)</f>
        <v>0.12399569583266541</v>
      </c>
    </row>
    <row r="50" spans="2:7" x14ac:dyDescent="0.25">
      <c r="B50" s="146"/>
      <c r="C50" s="160" t="s">
        <v>35</v>
      </c>
      <c r="D50" s="159">
        <v>18231.751461902</v>
      </c>
      <c r="E50" s="159">
        <v>19461.145747999999</v>
      </c>
      <c r="F50" s="91">
        <f t="shared" si="0"/>
        <v>6.7431496566141974E-2</v>
      </c>
      <c r="G50" s="92">
        <f t="shared" si="4"/>
        <v>6.8046423715599463E-2</v>
      </c>
    </row>
    <row r="51" spans="2:7" x14ac:dyDescent="0.25">
      <c r="B51" s="146"/>
      <c r="C51" s="160" t="s">
        <v>32</v>
      </c>
      <c r="D51" s="159">
        <v>10326.4800497955</v>
      </c>
      <c r="E51" s="159">
        <v>18491.236136</v>
      </c>
      <c r="F51" s="91">
        <f t="shared" si="0"/>
        <v>0.79066206944022421</v>
      </c>
      <c r="G51" s="92">
        <f t="shared" si="4"/>
        <v>6.4655108462191677E-2</v>
      </c>
    </row>
    <row r="52" spans="2:7" x14ac:dyDescent="0.25">
      <c r="B52" s="146"/>
      <c r="C52" s="160" t="s">
        <v>31</v>
      </c>
      <c r="D52" s="159">
        <v>15248.7274435135</v>
      </c>
      <c r="E52" s="159">
        <v>14475.369299</v>
      </c>
      <c r="F52" s="91">
        <f t="shared" si="0"/>
        <v>-5.0716241560371744E-2</v>
      </c>
      <c r="G52" s="92">
        <f t="shared" si="4"/>
        <v>5.061352119315797E-2</v>
      </c>
    </row>
    <row r="53" spans="2:7" x14ac:dyDescent="0.25">
      <c r="B53" s="146"/>
      <c r="C53" s="160" t="s">
        <v>45</v>
      </c>
      <c r="D53" s="159">
        <v>14327.143468632599</v>
      </c>
      <c r="E53" s="159">
        <v>13365.357306</v>
      </c>
      <c r="F53" s="91">
        <f t="shared" si="0"/>
        <v>-6.7130350494381805E-2</v>
      </c>
      <c r="G53" s="92">
        <f t="shared" si="4"/>
        <v>4.6732334166292536E-2</v>
      </c>
    </row>
    <row r="54" spans="2:7" x14ac:dyDescent="0.25">
      <c r="B54" s="146"/>
      <c r="C54" s="160" t="s">
        <v>50</v>
      </c>
      <c r="D54" s="159">
        <v>19161.744497075499</v>
      </c>
      <c r="E54" s="159">
        <v>11175.181990999999</v>
      </c>
      <c r="F54" s="91">
        <f t="shared" si="0"/>
        <v>-0.41679725493127329</v>
      </c>
      <c r="G54" s="92">
        <f t="shared" si="4"/>
        <v>3.9074326799935256E-2</v>
      </c>
    </row>
    <row r="55" spans="2:7" x14ac:dyDescent="0.25">
      <c r="B55" s="146"/>
      <c r="C55" s="160" t="s">
        <v>59</v>
      </c>
      <c r="D55" s="159">
        <v>10468.672453453099</v>
      </c>
      <c r="E55" s="159">
        <v>10610.640343000001</v>
      </c>
      <c r="F55" s="91">
        <f t="shared" si="0"/>
        <v>1.3561212291065059E-2</v>
      </c>
      <c r="G55" s="92">
        <f t="shared" si="4"/>
        <v>3.7100391622513412E-2</v>
      </c>
    </row>
    <row r="56" spans="2:7" x14ac:dyDescent="0.25">
      <c r="B56" s="146"/>
      <c r="C56" s="160" t="s">
        <v>117</v>
      </c>
      <c r="D56" s="159">
        <v>7721.5303215229997</v>
      </c>
      <c r="E56" s="159">
        <v>10080.877977</v>
      </c>
      <c r="F56" s="91">
        <f t="shared" si="0"/>
        <v>0.30555441178551784</v>
      </c>
      <c r="G56" s="92">
        <f t="shared" si="4"/>
        <v>3.5248063147499592E-2</v>
      </c>
    </row>
    <row r="57" spans="2:7" x14ac:dyDescent="0.25">
      <c r="B57" s="146"/>
      <c r="C57" s="160" t="s">
        <v>38</v>
      </c>
      <c r="D57" s="159">
        <v>4344.1818547350003</v>
      </c>
      <c r="E57" s="159">
        <v>9058.0383760000004</v>
      </c>
      <c r="F57" s="91">
        <f t="shared" si="0"/>
        <v>1.0850964989246634</v>
      </c>
      <c r="G57" s="92">
        <f t="shared" si="4"/>
        <v>3.1671676752577628E-2</v>
      </c>
    </row>
    <row r="58" spans="2:7" x14ac:dyDescent="0.2">
      <c r="B58" s="146"/>
      <c r="C58" s="161" t="s">
        <v>138</v>
      </c>
      <c r="D58" s="159">
        <v>114970.10105270674</v>
      </c>
      <c r="E58" s="159">
        <v>99346.847893999991</v>
      </c>
      <c r="F58" s="93">
        <f t="shared" si="0"/>
        <v>-0.13588970537256853</v>
      </c>
      <c r="G58" s="100">
        <f t="shared" si="4"/>
        <v>0.3473689470363826</v>
      </c>
    </row>
    <row r="59" spans="2:7" x14ac:dyDescent="0.25">
      <c r="C59" s="62" t="s">
        <v>61</v>
      </c>
      <c r="D59" s="85">
        <f>SUM(D60:D70)</f>
        <v>21568.800301891897</v>
      </c>
      <c r="E59" s="80">
        <f>SUM(E60:E70)</f>
        <v>22073.809587</v>
      </c>
      <c r="F59" s="86">
        <f t="shared" si="0"/>
        <v>2.3413879216258773E-2</v>
      </c>
      <c r="G59" s="87">
        <f>SUM(G60:G70)</f>
        <v>1</v>
      </c>
    </row>
    <row r="60" spans="2:7" x14ac:dyDescent="0.25">
      <c r="B60" s="146"/>
      <c r="C60" s="162" t="s">
        <v>50</v>
      </c>
      <c r="D60" s="159">
        <v>2315.8035878760002</v>
      </c>
      <c r="E60" s="159">
        <v>2180.9398220000003</v>
      </c>
      <c r="F60" s="88">
        <f t="shared" si="0"/>
        <v>-5.8236271237360727E-2</v>
      </c>
      <c r="G60" s="90">
        <f>(E60/$E$59)</f>
        <v>9.8802148917893545E-2</v>
      </c>
    </row>
    <row r="61" spans="2:7" x14ac:dyDescent="0.25">
      <c r="B61" s="146"/>
      <c r="C61" s="163" t="s">
        <v>58</v>
      </c>
      <c r="D61" s="159">
        <v>1318.0218801999999</v>
      </c>
      <c r="E61" s="159">
        <v>1926.7877140000003</v>
      </c>
      <c r="F61" s="91">
        <f t="shared" si="0"/>
        <v>0.4618783974266229</v>
      </c>
      <c r="G61" s="92">
        <f t="shared" ref="G61:G70" si="5">(E61/$E$59)</f>
        <v>8.7288408754542746E-2</v>
      </c>
    </row>
    <row r="62" spans="2:7" x14ac:dyDescent="0.25">
      <c r="B62" s="146"/>
      <c r="C62" s="163" t="s">
        <v>62</v>
      </c>
      <c r="D62" s="159">
        <v>1730.4109092000001</v>
      </c>
      <c r="E62" s="159">
        <v>1707.6736530000001</v>
      </c>
      <c r="F62" s="91">
        <f t="shared" si="0"/>
        <v>-1.3139801696298763E-2</v>
      </c>
      <c r="G62" s="92">
        <f t="shared" si="5"/>
        <v>7.7361981685558523E-2</v>
      </c>
    </row>
    <row r="63" spans="2:7" x14ac:dyDescent="0.25">
      <c r="B63" s="146"/>
      <c r="C63" s="163" t="s">
        <v>52</v>
      </c>
      <c r="D63" s="159">
        <v>2364.0932310000003</v>
      </c>
      <c r="E63" s="159">
        <v>1547.6148090000002</v>
      </c>
      <c r="F63" s="91">
        <f t="shared" si="0"/>
        <v>-0.34536642264934436</v>
      </c>
      <c r="G63" s="92">
        <f t="shared" si="5"/>
        <v>7.0110906905323761E-2</v>
      </c>
    </row>
    <row r="64" spans="2:7" x14ac:dyDescent="0.25">
      <c r="B64" s="146"/>
      <c r="C64" s="163" t="s">
        <v>54</v>
      </c>
      <c r="D64" s="159">
        <v>1968.9456020050002</v>
      </c>
      <c r="E64" s="159">
        <v>1455.9270950000002</v>
      </c>
      <c r="F64" s="91">
        <f t="shared" si="0"/>
        <v>-0.26055494193571788</v>
      </c>
      <c r="G64" s="92">
        <f t="shared" si="5"/>
        <v>6.5957219086344027E-2</v>
      </c>
    </row>
    <row r="65" spans="2:7" x14ac:dyDescent="0.25">
      <c r="B65" s="146"/>
      <c r="C65" s="163" t="s">
        <v>63</v>
      </c>
      <c r="D65" s="159">
        <v>1373.5095349999999</v>
      </c>
      <c r="E65" s="159">
        <v>1334.794122</v>
      </c>
      <c r="F65" s="91">
        <f t="shared" si="0"/>
        <v>-2.8187218227065238E-2</v>
      </c>
      <c r="G65" s="92">
        <f t="shared" si="5"/>
        <v>6.0469585765843728E-2</v>
      </c>
    </row>
    <row r="66" spans="2:7" x14ac:dyDescent="0.25">
      <c r="B66" s="146"/>
      <c r="C66" s="163" t="s">
        <v>130</v>
      </c>
      <c r="D66" s="159">
        <v>483.75865120000003</v>
      </c>
      <c r="E66" s="159">
        <v>1214.0154709999999</v>
      </c>
      <c r="F66" s="91">
        <f t="shared" si="0"/>
        <v>1.5095478251159797</v>
      </c>
      <c r="G66" s="92">
        <f t="shared" si="5"/>
        <v>5.4998004137671551E-2</v>
      </c>
    </row>
    <row r="67" spans="2:7" x14ac:dyDescent="0.25">
      <c r="B67" s="146"/>
      <c r="C67" s="163" t="s">
        <v>79</v>
      </c>
      <c r="D67" s="159">
        <v>901.79261399999996</v>
      </c>
      <c r="E67" s="159">
        <v>1164.5183420000001</v>
      </c>
      <c r="F67" s="91">
        <f t="shared" si="0"/>
        <v>0.29133719207862147</v>
      </c>
      <c r="G67" s="92">
        <f t="shared" si="5"/>
        <v>5.2755657667982403E-2</v>
      </c>
    </row>
    <row r="68" spans="2:7" x14ac:dyDescent="0.25">
      <c r="B68" s="146"/>
      <c r="C68" s="163" t="s">
        <v>59</v>
      </c>
      <c r="D68" s="159">
        <v>1183.240280275</v>
      </c>
      <c r="E68" s="159">
        <v>1089.5325210000001</v>
      </c>
      <c r="F68" s="91">
        <f t="shared" si="0"/>
        <v>-7.9195883403513842E-2</v>
      </c>
      <c r="G68" s="92">
        <f t="shared" si="5"/>
        <v>4.9358608295763412E-2</v>
      </c>
    </row>
    <row r="69" spans="2:7" x14ac:dyDescent="0.25">
      <c r="B69" s="146"/>
      <c r="C69" s="163" t="s">
        <v>53</v>
      </c>
      <c r="D69" s="159">
        <v>197.474718</v>
      </c>
      <c r="E69" s="159">
        <v>1024.067012</v>
      </c>
      <c r="F69" s="91">
        <f t="shared" si="0"/>
        <v>4.185813264460517</v>
      </c>
      <c r="G69" s="99">
        <f t="shared" si="5"/>
        <v>4.6392853393240605E-2</v>
      </c>
    </row>
    <row r="70" spans="2:7" x14ac:dyDescent="0.2">
      <c r="B70" s="146"/>
      <c r="C70" s="164" t="s">
        <v>139</v>
      </c>
      <c r="D70" s="159">
        <v>7731.7492931358993</v>
      </c>
      <c r="E70" s="159">
        <v>7427.9390260000009</v>
      </c>
      <c r="F70" s="93">
        <f t="shared" si="0"/>
        <v>-3.9293859076058681E-2</v>
      </c>
      <c r="G70" s="100">
        <f t="shared" si="5"/>
        <v>0.33650462538983578</v>
      </c>
    </row>
    <row r="71" spans="2:7" x14ac:dyDescent="0.25">
      <c r="C71" s="62" t="s">
        <v>65</v>
      </c>
      <c r="D71" s="80">
        <f>SUM(D72:D73)</f>
        <v>1161378.8055939998</v>
      </c>
      <c r="E71" s="80">
        <f>SUM(E72:E73)</f>
        <v>1175604.6615900001</v>
      </c>
      <c r="F71" s="86">
        <f t="shared" si="0"/>
        <v>1.2249109358186005E-2</v>
      </c>
      <c r="G71" s="87">
        <f>SUM(G72:G73)</f>
        <v>1</v>
      </c>
    </row>
    <row r="72" spans="2:7" x14ac:dyDescent="0.25">
      <c r="B72" s="146"/>
      <c r="C72" s="162" t="s">
        <v>66</v>
      </c>
      <c r="D72" s="159">
        <v>1154780.7849999999</v>
      </c>
      <c r="E72" s="159">
        <v>1152180.4476000001</v>
      </c>
      <c r="F72" s="88">
        <f t="shared" si="0"/>
        <v>-2.2518017564691676E-3</v>
      </c>
      <c r="G72" s="90">
        <f>(E72/$E$71)</f>
        <v>0.98007475237609309</v>
      </c>
    </row>
    <row r="73" spans="2:7" x14ac:dyDescent="0.25">
      <c r="B73" s="146"/>
      <c r="C73" s="167" t="s">
        <v>53</v>
      </c>
      <c r="D73" s="159">
        <v>6598.0205939999996</v>
      </c>
      <c r="E73" s="159">
        <v>23424.21399</v>
      </c>
      <c r="F73" s="93">
        <f t="shared" si="0"/>
        <v>2.5501880687218725</v>
      </c>
      <c r="G73" s="94">
        <f>(E73/$E$71)</f>
        <v>1.9925247623906878E-2</v>
      </c>
    </row>
    <row r="74" spans="2:7" x14ac:dyDescent="0.25">
      <c r="B74" s="146"/>
      <c r="C74" s="147" t="s">
        <v>67</v>
      </c>
      <c r="D74" s="85">
        <f>SUM(D75:D75)</f>
        <v>2537.2527399999999</v>
      </c>
      <c r="E74" s="80">
        <f>SUM(E75:E75)</f>
        <v>2638.101392</v>
      </c>
      <c r="F74" s="86">
        <f t="shared" si="0"/>
        <v>3.9747184192616199E-2</v>
      </c>
      <c r="G74" s="87">
        <f>SUM(G75:G75)</f>
        <v>1</v>
      </c>
    </row>
    <row r="75" spans="2:7" x14ac:dyDescent="0.25">
      <c r="C75" s="158" t="s">
        <v>68</v>
      </c>
      <c r="D75" s="169">
        <v>2537.2527399999999</v>
      </c>
      <c r="E75" s="168">
        <v>2638.101392</v>
      </c>
      <c r="F75" s="88">
        <f t="shared" ref="F75:F88" si="6">(E75-D75)/D75</f>
        <v>3.9747184192616199E-2</v>
      </c>
      <c r="G75" s="90">
        <f>(E75/$E$74)</f>
        <v>1</v>
      </c>
    </row>
    <row r="76" spans="2:7" x14ac:dyDescent="0.25">
      <c r="C76" s="62" t="s">
        <v>69</v>
      </c>
      <c r="D76" s="85">
        <f>SUM(D77:D81)</f>
        <v>3231.3934248973001</v>
      </c>
      <c r="E76" s="80">
        <f>SUM(E77:E81)</f>
        <v>3100.230423</v>
      </c>
      <c r="F76" s="86">
        <f t="shared" si="6"/>
        <v>-4.0590229863907305E-2</v>
      </c>
      <c r="G76" s="87">
        <f>SUM(G77:G81)</f>
        <v>0.99999999999999989</v>
      </c>
    </row>
    <row r="77" spans="2:7" x14ac:dyDescent="0.25">
      <c r="B77" s="146"/>
      <c r="C77" s="158" t="s">
        <v>31</v>
      </c>
      <c r="D77" s="81">
        <v>1421.3994475000002</v>
      </c>
      <c r="E77" s="82">
        <v>1212.535412</v>
      </c>
      <c r="F77" s="88">
        <f t="shared" si="6"/>
        <v>-0.14694253319667214</v>
      </c>
      <c r="G77" s="90">
        <f>(E77/$E$76)</f>
        <v>0.39111138417468527</v>
      </c>
    </row>
    <row r="78" spans="2:7" x14ac:dyDescent="0.25">
      <c r="B78" s="146"/>
      <c r="C78" s="160" t="s">
        <v>70</v>
      </c>
      <c r="D78" s="83">
        <v>599.26867979999997</v>
      </c>
      <c r="E78" s="84">
        <v>847.53301299999998</v>
      </c>
      <c r="F78" s="91">
        <f t="shared" si="6"/>
        <v>0.41427883947289851</v>
      </c>
      <c r="G78" s="92">
        <f t="shared" ref="G78:G81" si="7">(E78/$E$76)</f>
        <v>0.27337742598495879</v>
      </c>
    </row>
    <row r="79" spans="2:7" x14ac:dyDescent="0.25">
      <c r="B79" s="146"/>
      <c r="C79" s="160" t="s">
        <v>34</v>
      </c>
      <c r="D79" s="105">
        <v>424.8139290373</v>
      </c>
      <c r="E79" s="106">
        <v>471.58452599999998</v>
      </c>
      <c r="F79" s="91">
        <f t="shared" si="6"/>
        <v>0.1100966653063614</v>
      </c>
      <c r="G79" s="92">
        <f t="shared" si="7"/>
        <v>0.15211273410563522</v>
      </c>
    </row>
    <row r="80" spans="2:7" x14ac:dyDescent="0.25">
      <c r="B80" s="146"/>
      <c r="C80" s="160" t="s">
        <v>32</v>
      </c>
      <c r="D80" s="105">
        <v>157.42808400000001</v>
      </c>
      <c r="E80" s="106">
        <v>277.96998000000002</v>
      </c>
      <c r="F80" s="91">
        <f t="shared" si="6"/>
        <v>0.76569499505564709</v>
      </c>
      <c r="G80" s="92">
        <f t="shared" si="7"/>
        <v>8.9661070976465293E-2</v>
      </c>
    </row>
    <row r="81" spans="2:7" x14ac:dyDescent="0.25">
      <c r="B81" s="146"/>
      <c r="C81" s="160" t="s">
        <v>131</v>
      </c>
      <c r="D81" s="83">
        <v>628.48328456000002</v>
      </c>
      <c r="E81" s="84">
        <v>290.60749199999998</v>
      </c>
      <c r="F81" s="91">
        <f t="shared" si="6"/>
        <v>-0.53760505786012469</v>
      </c>
      <c r="G81" s="99">
        <f t="shared" si="7"/>
        <v>9.3737384758255424E-2</v>
      </c>
    </row>
    <row r="82" spans="2:7" x14ac:dyDescent="0.25">
      <c r="B82" s="146"/>
      <c r="C82" s="62" t="s">
        <v>71</v>
      </c>
      <c r="D82" s="85">
        <f>SUM(D83:D90)</f>
        <v>2338.8900574000004</v>
      </c>
      <c r="E82" s="80">
        <f>SUM(E83:E90)</f>
        <v>1688.607471</v>
      </c>
      <c r="F82" s="86">
        <f t="shared" si="6"/>
        <v>-0.27803042060167604</v>
      </c>
      <c r="G82" s="87">
        <f>SUM(G83:G90)</f>
        <v>1</v>
      </c>
    </row>
    <row r="83" spans="2:7" x14ac:dyDescent="0.25">
      <c r="C83" s="160" t="s">
        <v>35</v>
      </c>
      <c r="D83" s="81">
        <v>622.08780000000002</v>
      </c>
      <c r="E83" s="84">
        <v>781.78302599999995</v>
      </c>
      <c r="F83" s="89">
        <f t="shared" si="6"/>
        <v>0.25670849998987272</v>
      </c>
      <c r="G83" s="90">
        <f>(E83/$E$82)</f>
        <v>0.46297498940770704</v>
      </c>
    </row>
    <row r="84" spans="2:7" x14ac:dyDescent="0.25">
      <c r="C84" s="160" t="s">
        <v>38</v>
      </c>
      <c r="D84" s="83">
        <v>1524.1934252999999</v>
      </c>
      <c r="E84" s="84">
        <v>750.7161450000001</v>
      </c>
      <c r="F84" s="89">
        <f t="shared" si="6"/>
        <v>-0.50746661641566904</v>
      </c>
      <c r="G84" s="92">
        <f t="shared" ref="G84:G88" si="8">(E84/$E$82)</f>
        <v>0.44457706002889058</v>
      </c>
    </row>
    <row r="85" spans="2:7" x14ac:dyDescent="0.25">
      <c r="C85" s="160" t="s">
        <v>64</v>
      </c>
      <c r="D85" s="83">
        <v>134.97157899999999</v>
      </c>
      <c r="E85" s="84">
        <v>110.48268</v>
      </c>
      <c r="F85" s="89">
        <f t="shared" si="6"/>
        <v>-0.18143744913882937</v>
      </c>
      <c r="G85" s="92">
        <f t="shared" si="8"/>
        <v>6.5428278565279427E-2</v>
      </c>
    </row>
    <row r="86" spans="2:7" x14ac:dyDescent="0.25">
      <c r="C86" s="160" t="s">
        <v>58</v>
      </c>
      <c r="D86" s="83">
        <v>56.619653100000001</v>
      </c>
      <c r="E86" s="84">
        <v>41.415709999999997</v>
      </c>
      <c r="F86" s="89">
        <f t="shared" si="6"/>
        <v>-0.26852766252642413</v>
      </c>
      <c r="G86" s="92">
        <f t="shared" si="8"/>
        <v>2.4526546702694291E-2</v>
      </c>
    </row>
    <row r="87" spans="2:7" x14ac:dyDescent="0.25">
      <c r="C87" s="160" t="s">
        <v>72</v>
      </c>
      <c r="D87" s="83">
        <v>0</v>
      </c>
      <c r="E87" s="84">
        <v>3.6269100000000001</v>
      </c>
      <c r="F87" s="89" t="s">
        <v>73</v>
      </c>
      <c r="G87" s="92">
        <f t="shared" si="8"/>
        <v>2.1478703975247307E-3</v>
      </c>
    </row>
    <row r="88" spans="2:7" x14ac:dyDescent="0.25">
      <c r="C88" s="160" t="s">
        <v>74</v>
      </c>
      <c r="D88" s="187">
        <v>1.0176000000000001</v>
      </c>
      <c r="E88" s="179">
        <v>0.58299999999999996</v>
      </c>
      <c r="F88" s="89">
        <f t="shared" si="6"/>
        <v>-0.42708333333333343</v>
      </c>
      <c r="G88" s="151">
        <f t="shared" si="8"/>
        <v>3.4525489790397825E-4</v>
      </c>
    </row>
    <row r="89" spans="2:7" x14ac:dyDescent="0.25">
      <c r="C89" s="160" t="s">
        <v>75</v>
      </c>
      <c r="D89" s="83">
        <v>0</v>
      </c>
      <c r="E89" s="84">
        <v>0</v>
      </c>
      <c r="F89" s="89" t="s">
        <v>42</v>
      </c>
      <c r="G89" s="92" t="s">
        <v>42</v>
      </c>
    </row>
    <row r="90" spans="2:7" x14ac:dyDescent="0.25">
      <c r="C90" s="160" t="s">
        <v>76</v>
      </c>
      <c r="D90" s="101">
        <v>0</v>
      </c>
      <c r="E90" s="84">
        <v>0</v>
      </c>
      <c r="F90" s="89" t="s">
        <v>42</v>
      </c>
      <c r="G90" s="92" t="s">
        <v>42</v>
      </c>
    </row>
    <row r="91" spans="2:7" x14ac:dyDescent="0.25">
      <c r="C91" s="62" t="s">
        <v>77</v>
      </c>
      <c r="D91" s="85">
        <f>SUM(D92:D97)</f>
        <v>20.011532800000001</v>
      </c>
      <c r="E91" s="80">
        <f>SUM(E92:E97)</f>
        <v>17.800155999999998</v>
      </c>
      <c r="F91" s="86">
        <f t="shared" ref="F91:F96" si="9">(E91-D91)/D91</f>
        <v>-0.11050511832856719</v>
      </c>
      <c r="G91" s="87">
        <f>SUM(G92:G97)</f>
        <v>1</v>
      </c>
    </row>
    <row r="92" spans="2:7" x14ac:dyDescent="0.25">
      <c r="B92" s="146"/>
      <c r="C92" s="158" t="s">
        <v>52</v>
      </c>
      <c r="D92" s="107">
        <v>13.092352</v>
      </c>
      <c r="E92" s="108">
        <v>9.8252089999999992</v>
      </c>
      <c r="F92" s="89">
        <f t="shared" si="9"/>
        <v>-0.24954591810547111</v>
      </c>
      <c r="G92" s="90">
        <f>(E92/$E$91)</f>
        <v>0.55197319618996599</v>
      </c>
    </row>
    <row r="93" spans="2:7" x14ac:dyDescent="0.25">
      <c r="B93" s="146"/>
      <c r="C93" s="160" t="s">
        <v>78</v>
      </c>
      <c r="D93" s="110">
        <v>5.3714747999999997</v>
      </c>
      <c r="E93" s="108">
        <v>5.6885269999999997</v>
      </c>
      <c r="F93" s="89">
        <f t="shared" si="9"/>
        <v>5.9025167538717678E-2</v>
      </c>
      <c r="G93" s="92">
        <f t="shared" ref="G93:G96" si="10">(E93/$E$91)</f>
        <v>0.31957736774891188</v>
      </c>
    </row>
    <row r="94" spans="2:7" x14ac:dyDescent="0.25">
      <c r="B94" s="146"/>
      <c r="C94" s="160" t="s">
        <v>79</v>
      </c>
      <c r="D94" s="144">
        <v>1.0135320000000001</v>
      </c>
      <c r="E94" s="111">
        <v>1.2412380000000001</v>
      </c>
      <c r="F94" s="89">
        <f t="shared" si="9"/>
        <v>0.22466582209540492</v>
      </c>
      <c r="G94" s="92">
        <f t="shared" si="10"/>
        <v>6.9731860776950511E-2</v>
      </c>
    </row>
    <row r="95" spans="2:7" x14ac:dyDescent="0.25">
      <c r="B95" s="146"/>
      <c r="C95" s="160" t="s">
        <v>64</v>
      </c>
      <c r="D95" s="144">
        <v>0.396374</v>
      </c>
      <c r="E95" s="108">
        <v>0.94978200000000002</v>
      </c>
      <c r="F95" s="89">
        <f t="shared" si="9"/>
        <v>1.3961763385085804</v>
      </c>
      <c r="G95" s="92">
        <f t="shared" si="10"/>
        <v>5.3358071693304268E-2</v>
      </c>
    </row>
    <row r="96" spans="2:7" x14ac:dyDescent="0.25">
      <c r="B96" s="146"/>
      <c r="C96" s="160" t="s">
        <v>74</v>
      </c>
      <c r="D96" s="189">
        <v>0.13780000000000001</v>
      </c>
      <c r="E96" s="190">
        <v>9.5399999999999999E-2</v>
      </c>
      <c r="F96" s="89">
        <f t="shared" si="9"/>
        <v>-0.30769230769230771</v>
      </c>
      <c r="G96" s="92">
        <f t="shared" si="10"/>
        <v>5.3595035908674069E-3</v>
      </c>
    </row>
    <row r="97" spans="2:7" x14ac:dyDescent="0.25">
      <c r="B97" s="146"/>
      <c r="C97" s="160" t="s">
        <v>76</v>
      </c>
      <c r="D97" s="188">
        <v>0</v>
      </c>
      <c r="E97" s="115">
        <v>0</v>
      </c>
      <c r="F97" s="89" t="s">
        <v>42</v>
      </c>
      <c r="G97" s="92" t="s">
        <v>42</v>
      </c>
    </row>
    <row r="98" spans="2:7" x14ac:dyDescent="0.25">
      <c r="B98" s="146"/>
      <c r="C98" s="62" t="s">
        <v>80</v>
      </c>
      <c r="D98" s="85">
        <f>SUM(D99:D101)</f>
        <v>30.094110000000001</v>
      </c>
      <c r="E98" s="80">
        <f>SUM(E99:E101)</f>
        <v>26.551486000000001</v>
      </c>
      <c r="F98" s="86">
        <f t="shared" ref="F98:F107" si="11">(E98-D98)/D98</f>
        <v>-0.11771818472119627</v>
      </c>
      <c r="G98" s="87">
        <f>SUM(G99:G101)</f>
        <v>1</v>
      </c>
    </row>
    <row r="99" spans="2:7" x14ac:dyDescent="0.25">
      <c r="B99" s="146"/>
      <c r="C99" s="160" t="s">
        <v>63</v>
      </c>
      <c r="D99" s="81">
        <v>17.615849999999998</v>
      </c>
      <c r="E99" s="82">
        <v>16.395735999999999</v>
      </c>
      <c r="F99" s="88">
        <f t="shared" si="11"/>
        <v>-6.926228368202493E-2</v>
      </c>
      <c r="G99" s="90">
        <f>(E99/$E$98)</f>
        <v>0.61750728377311914</v>
      </c>
    </row>
    <row r="100" spans="2:7" x14ac:dyDescent="0.25">
      <c r="B100" s="146"/>
      <c r="C100" s="160" t="s">
        <v>64</v>
      </c>
      <c r="D100" s="83">
        <v>9.1247699999999998</v>
      </c>
      <c r="E100" s="84">
        <v>6.1648800000000001</v>
      </c>
      <c r="F100" s="91">
        <f t="shared" si="11"/>
        <v>-0.32437968299474945</v>
      </c>
      <c r="G100" s="92">
        <f t="shared" ref="G100:G101" si="12">(E100/$E$98)</f>
        <v>0.23218587464370166</v>
      </c>
    </row>
    <row r="101" spans="2:7" x14ac:dyDescent="0.25">
      <c r="B101" s="146"/>
      <c r="C101" s="160" t="s">
        <v>78</v>
      </c>
      <c r="D101" s="101">
        <v>3.3534899999999999</v>
      </c>
      <c r="E101" s="102">
        <v>3.9908700000000001</v>
      </c>
      <c r="F101" s="93">
        <f t="shared" si="11"/>
        <v>0.19006467888677178</v>
      </c>
      <c r="G101" s="94">
        <f t="shared" si="12"/>
        <v>0.1503068415831792</v>
      </c>
    </row>
    <row r="102" spans="2:7" x14ac:dyDescent="0.25">
      <c r="B102" s="146"/>
      <c r="C102" s="62" t="s">
        <v>81</v>
      </c>
      <c r="D102" s="85">
        <f>SUM(D103:D106)</f>
        <v>2581.9835498000002</v>
      </c>
      <c r="E102" s="80">
        <f>SUM(E103:E106)</f>
        <v>3476.3602589999996</v>
      </c>
      <c r="F102" s="86">
        <f t="shared" si="11"/>
        <v>0.34639132742316564</v>
      </c>
      <c r="G102" s="87">
        <f>SUM(G103:G106)</f>
        <v>1</v>
      </c>
    </row>
    <row r="103" spans="2:7" x14ac:dyDescent="0.25">
      <c r="C103" s="160" t="s">
        <v>58</v>
      </c>
      <c r="D103" s="81">
        <v>2477.3481827999999</v>
      </c>
      <c r="E103" s="82">
        <v>3380.6199319999996</v>
      </c>
      <c r="F103" s="88">
        <f t="shared" si="11"/>
        <v>0.36461235262420205</v>
      </c>
      <c r="G103" s="90">
        <f>(E103/$E$102)</f>
        <v>0.97245960721356872</v>
      </c>
    </row>
    <row r="104" spans="2:7" x14ac:dyDescent="0.25">
      <c r="C104" s="160" t="s">
        <v>63</v>
      </c>
      <c r="D104" s="83">
        <v>90.685715000000002</v>
      </c>
      <c r="E104" s="84">
        <v>80.241681</v>
      </c>
      <c r="F104" s="91">
        <f t="shared" si="11"/>
        <v>-0.11516735574064782</v>
      </c>
      <c r="G104" s="92">
        <f t="shared" ref="G104:G106" si="13">(E104/$E$102)</f>
        <v>2.3082095934177461E-2</v>
      </c>
    </row>
    <row r="105" spans="2:7" x14ac:dyDescent="0.25">
      <c r="C105" s="160" t="s">
        <v>64</v>
      </c>
      <c r="D105" s="83">
        <v>10.037247000000001</v>
      </c>
      <c r="E105" s="84">
        <v>11.507776</v>
      </c>
      <c r="F105" s="91">
        <f t="shared" si="11"/>
        <v>0.14650720461497052</v>
      </c>
      <c r="G105" s="92">
        <f t="shared" si="13"/>
        <v>3.3102944294128756E-3</v>
      </c>
    </row>
    <row r="106" spans="2:7" x14ac:dyDescent="0.25">
      <c r="C106" s="160" t="s">
        <v>78</v>
      </c>
      <c r="D106" s="191">
        <v>3.9124050000000001</v>
      </c>
      <c r="E106" s="192">
        <v>3.9908700000000001</v>
      </c>
      <c r="F106" s="93">
        <f t="shared" si="11"/>
        <v>2.005543904580431E-2</v>
      </c>
      <c r="G106" s="94">
        <f t="shared" si="13"/>
        <v>1.1480024228409523E-3</v>
      </c>
    </row>
    <row r="107" spans="2:7" x14ac:dyDescent="0.25">
      <c r="C107" s="65" t="s">
        <v>82</v>
      </c>
      <c r="D107" s="85">
        <f>SUM(D108:D108)</f>
        <v>2.2356600000000002</v>
      </c>
      <c r="E107" s="80">
        <f>SUM(E108:E108)</f>
        <v>3.9908700000000001</v>
      </c>
      <c r="F107" s="86">
        <f t="shared" si="11"/>
        <v>0.78509701833015744</v>
      </c>
      <c r="G107" s="87">
        <f>SUM(G108:G108)</f>
        <v>1</v>
      </c>
    </row>
    <row r="108" spans="2:7" x14ac:dyDescent="0.25">
      <c r="C108" s="160" t="s">
        <v>78</v>
      </c>
      <c r="D108" s="81">
        <v>2.2356600000000002</v>
      </c>
      <c r="E108" s="82">
        <v>3.9908700000000001</v>
      </c>
      <c r="F108" s="88">
        <f>(E108-D108)/D108</f>
        <v>0.78509701833015744</v>
      </c>
      <c r="G108" s="90">
        <f>E108/E107</f>
        <v>1</v>
      </c>
    </row>
    <row r="109" spans="2:7" ht="118.5" customHeight="1" x14ac:dyDescent="0.25">
      <c r="C109" s="216" t="s">
        <v>121</v>
      </c>
      <c r="D109" s="217"/>
      <c r="E109" s="217"/>
      <c r="F109" s="217"/>
      <c r="G109" s="218"/>
    </row>
  </sheetData>
  <mergeCells count="4">
    <mergeCell ref="D8:G8"/>
    <mergeCell ref="C109:G109"/>
    <mergeCell ref="C3:G3"/>
    <mergeCell ref="C4:G4"/>
  </mergeCells>
  <printOptions horizontalCentered="1" verticalCentered="1"/>
  <pageMargins left="0" right="0" top="0" bottom="0" header="0.31496062992125984" footer="0.31496062992125984"/>
  <pageSetup paperSize="9" scale="47" orientation="portrait" r:id="rId1"/>
  <ignoredErrors>
    <ignoredError sqref="F11:F51 F76:F86 F70:F75 F91:F96 F98:F107 F88 F53:F6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C1:P119"/>
  <sheetViews>
    <sheetView showGridLines="0" view="pageBreakPreview" topLeftCell="B1" zoomScaleNormal="100" zoomScaleSheetLayoutView="100" zoomScalePageLayoutView="70" workbookViewId="0">
      <selection activeCell="B1" sqref="B1"/>
    </sheetView>
  </sheetViews>
  <sheetFormatPr baseColWidth="10" defaultColWidth="11.42578125" defaultRowHeight="15" x14ac:dyDescent="0.25"/>
  <cols>
    <col min="1" max="2" width="3.28515625" style="51" customWidth="1"/>
    <col min="3" max="3" width="48.85546875" style="51" customWidth="1"/>
    <col min="4" max="4" width="12.42578125" style="54" customWidth="1"/>
    <col min="5" max="5" width="12.5703125" style="51" customWidth="1"/>
    <col min="6" max="6" width="9.7109375" style="54" customWidth="1"/>
    <col min="7" max="7" width="9.85546875" style="54" customWidth="1"/>
    <col min="8" max="8" width="3.28515625" style="51" customWidth="1"/>
    <col min="9" max="9" width="15.42578125" style="51" customWidth="1"/>
    <col min="10" max="16384" width="11.42578125" style="51"/>
  </cols>
  <sheetData>
    <row r="1" spans="3:16" ht="10.5" customHeight="1" x14ac:dyDescent="0.25">
      <c r="E1" s="53"/>
    </row>
    <row r="2" spans="3:16" ht="10.5" customHeight="1" x14ac:dyDescent="0.25">
      <c r="E2" s="53"/>
    </row>
    <row r="3" spans="3:16" ht="15.75" x14ac:dyDescent="0.25">
      <c r="C3" s="1" t="s">
        <v>0</v>
      </c>
      <c r="D3" s="1"/>
      <c r="E3" s="1"/>
      <c r="F3" s="1"/>
      <c r="G3" s="1"/>
      <c r="H3" s="1"/>
      <c r="I3" s="1"/>
      <c r="J3" s="4"/>
      <c r="K3" s="4"/>
      <c r="L3" s="4"/>
      <c r="M3" s="4"/>
      <c r="N3" s="4"/>
      <c r="O3" s="4"/>
      <c r="P3" s="4"/>
    </row>
    <row r="4" spans="3:16" ht="15.75" x14ac:dyDescent="0.25">
      <c r="C4" s="66" t="s">
        <v>1</v>
      </c>
      <c r="D4" s="66"/>
      <c r="E4" s="66"/>
      <c r="F4" s="66"/>
      <c r="G4" s="66"/>
      <c r="H4" s="66"/>
      <c r="I4" s="1"/>
      <c r="J4" s="4"/>
      <c r="K4" s="4"/>
      <c r="L4" s="4"/>
      <c r="M4" s="4"/>
      <c r="N4" s="4"/>
      <c r="O4" s="4"/>
      <c r="P4" s="4"/>
    </row>
    <row r="5" spans="3:16" ht="9" customHeight="1" x14ac:dyDescent="0.25">
      <c r="D5" s="3"/>
      <c r="E5" s="4"/>
      <c r="F5" s="3"/>
      <c r="G5" s="3"/>
      <c r="H5" s="4"/>
      <c r="I5" s="4"/>
      <c r="J5" s="4"/>
      <c r="K5" s="4"/>
      <c r="L5" s="4"/>
      <c r="M5" s="4"/>
      <c r="N5" s="4"/>
      <c r="O5" s="4"/>
      <c r="P5" s="4"/>
    </row>
    <row r="6" spans="3:16" ht="15.75" customHeight="1" x14ac:dyDescent="0.25">
      <c r="C6" s="67" t="s">
        <v>83</v>
      </c>
    </row>
    <row r="7" spans="3:16" x14ac:dyDescent="0.25">
      <c r="C7" s="68" t="s">
        <v>84</v>
      </c>
    </row>
    <row r="8" spans="3:16" ht="26.25" customHeight="1" x14ac:dyDescent="0.25">
      <c r="C8" s="69"/>
      <c r="D8" s="213" t="s">
        <v>127</v>
      </c>
      <c r="E8" s="214"/>
      <c r="F8" s="214"/>
      <c r="G8" s="215"/>
    </row>
    <row r="9" spans="3:16" ht="24" x14ac:dyDescent="0.25">
      <c r="C9" s="70" t="s">
        <v>85</v>
      </c>
      <c r="D9" s="78">
        <v>2025</v>
      </c>
      <c r="E9" s="78">
        <v>2026</v>
      </c>
      <c r="F9" s="130" t="s">
        <v>23</v>
      </c>
      <c r="G9" s="114" t="s">
        <v>29</v>
      </c>
    </row>
    <row r="10" spans="3:16" ht="4.5" customHeight="1" x14ac:dyDescent="0.25">
      <c r="E10" s="170"/>
    </row>
    <row r="11" spans="3:16" x14ac:dyDescent="0.25">
      <c r="C11" s="71" t="s">
        <v>86</v>
      </c>
      <c r="D11" s="119">
        <f>+SUM(D12:D26)</f>
        <v>219671.15839866939</v>
      </c>
      <c r="E11" s="116">
        <f>+SUM(E12:E26)</f>
        <v>226255.88869399996</v>
      </c>
      <c r="F11" s="132">
        <f>(E11-D11)/D11</f>
        <v>2.9975397513861624E-2</v>
      </c>
      <c r="G11" s="132">
        <f>SUM(G12:G26)</f>
        <v>1</v>
      </c>
    </row>
    <row r="12" spans="3:16" x14ac:dyDescent="0.25">
      <c r="C12" s="74" t="s">
        <v>90</v>
      </c>
      <c r="D12" s="123">
        <v>31327.000205020002</v>
      </c>
      <c r="E12" s="117">
        <v>39097.430046000001</v>
      </c>
      <c r="F12" s="134">
        <f t="shared" ref="F12:F78" si="0">+E12/D12-1</f>
        <v>0.24804257637585181</v>
      </c>
      <c r="G12" s="134">
        <f t="shared" ref="G12:G25" si="1">(E12/$E$11)</f>
        <v>0.17280182306714398</v>
      </c>
    </row>
    <row r="13" spans="3:16" x14ac:dyDescent="0.25">
      <c r="C13" s="72" t="s">
        <v>87</v>
      </c>
      <c r="D13" s="123">
        <v>39625.284620521401</v>
      </c>
      <c r="E13" s="117">
        <v>37362.248592999997</v>
      </c>
      <c r="F13" s="134">
        <f t="shared" si="0"/>
        <v>-5.7110909087310646E-2</v>
      </c>
      <c r="G13" s="134">
        <f t="shared" si="1"/>
        <v>0.16513271238447461</v>
      </c>
    </row>
    <row r="14" spans="3:16" x14ac:dyDescent="0.25">
      <c r="C14" s="72" t="s">
        <v>88</v>
      </c>
      <c r="D14" s="123">
        <v>32209.539661999999</v>
      </c>
      <c r="E14" s="117">
        <v>37070.613100000002</v>
      </c>
      <c r="F14" s="134">
        <f t="shared" si="0"/>
        <v>0.15092030153212566</v>
      </c>
      <c r="G14" s="134">
        <f t="shared" si="1"/>
        <v>0.16384374927865941</v>
      </c>
    </row>
    <row r="15" spans="3:16" x14ac:dyDescent="0.25">
      <c r="C15" s="73" t="s">
        <v>89</v>
      </c>
      <c r="D15" s="123">
        <v>34656.830841269999</v>
      </c>
      <c r="E15" s="117">
        <v>32825.312701999996</v>
      </c>
      <c r="F15" s="134">
        <f t="shared" si="0"/>
        <v>-5.284724814159858E-2</v>
      </c>
      <c r="G15" s="134">
        <f t="shared" si="1"/>
        <v>0.14508047897217219</v>
      </c>
    </row>
    <row r="16" spans="3:16" x14ac:dyDescent="0.25">
      <c r="C16" s="74" t="s">
        <v>91</v>
      </c>
      <c r="D16" s="123">
        <v>21018.004674996002</v>
      </c>
      <c r="E16" s="117">
        <v>19846.233775000001</v>
      </c>
      <c r="F16" s="134">
        <f t="shared" si="0"/>
        <v>-5.5750815461088732E-2</v>
      </c>
      <c r="G16" s="134">
        <f t="shared" si="1"/>
        <v>8.7715877317301835E-2</v>
      </c>
    </row>
    <row r="17" spans="3:7" x14ac:dyDescent="0.25">
      <c r="C17" s="74" t="s">
        <v>92</v>
      </c>
      <c r="D17" s="123">
        <v>19002.205626659998</v>
      </c>
      <c r="E17" s="117">
        <v>19106.000298000003</v>
      </c>
      <c r="F17" s="134">
        <f t="shared" si="0"/>
        <v>5.4622433510760349E-3</v>
      </c>
      <c r="G17" s="134">
        <f t="shared" si="1"/>
        <v>8.4444212295574486E-2</v>
      </c>
    </row>
    <row r="18" spans="3:7" x14ac:dyDescent="0.25">
      <c r="C18" s="74" t="s">
        <v>94</v>
      </c>
      <c r="D18" s="123">
        <v>14398.60348681</v>
      </c>
      <c r="E18" s="117">
        <v>16315.000081</v>
      </c>
      <c r="F18" s="134">
        <f t="shared" si="0"/>
        <v>0.13309600448026337</v>
      </c>
      <c r="G18" s="134">
        <f t="shared" si="1"/>
        <v>7.2108620797336417E-2</v>
      </c>
    </row>
    <row r="19" spans="3:7" x14ac:dyDescent="0.25">
      <c r="C19" s="74" t="s">
        <v>93</v>
      </c>
      <c r="D19" s="123">
        <v>14386.416607559999</v>
      </c>
      <c r="E19" s="117">
        <v>13992.02513</v>
      </c>
      <c r="F19" s="134">
        <f t="shared" si="0"/>
        <v>-2.74141565838395E-2</v>
      </c>
      <c r="G19" s="134">
        <f t="shared" si="1"/>
        <v>6.184159541996951E-2</v>
      </c>
    </row>
    <row r="20" spans="3:7" x14ac:dyDescent="0.25">
      <c r="C20" s="74" t="s">
        <v>96</v>
      </c>
      <c r="D20" s="123">
        <v>4415.0629535239996</v>
      </c>
      <c r="E20" s="117">
        <v>4137.584202</v>
      </c>
      <c r="F20" s="134">
        <f t="shared" si="0"/>
        <v>-6.2848198189908611E-2</v>
      </c>
      <c r="G20" s="134">
        <f t="shared" si="1"/>
        <v>1.8287189013656481E-2</v>
      </c>
    </row>
    <row r="21" spans="3:7" x14ac:dyDescent="0.25">
      <c r="C21" s="74" t="s">
        <v>95</v>
      </c>
      <c r="D21" s="123">
        <v>4988.2649435780004</v>
      </c>
      <c r="E21" s="117">
        <v>3101.5597010000006</v>
      </c>
      <c r="F21" s="134">
        <f t="shared" si="0"/>
        <v>-0.37822875567324965</v>
      </c>
      <c r="G21" s="134">
        <f t="shared" si="1"/>
        <v>1.3708194376300669E-2</v>
      </c>
    </row>
    <row r="22" spans="3:7" x14ac:dyDescent="0.25">
      <c r="C22" s="74" t="s">
        <v>98</v>
      </c>
      <c r="D22" s="123">
        <v>1592.0530729900001</v>
      </c>
      <c r="E22" s="117">
        <v>1611.778137</v>
      </c>
      <c r="F22" s="134">
        <f t="shared" si="0"/>
        <v>1.2389702544874703E-2</v>
      </c>
      <c r="G22" s="138">
        <f t="shared" si="1"/>
        <v>7.1236958573920308E-3</v>
      </c>
    </row>
    <row r="23" spans="3:7" x14ac:dyDescent="0.25">
      <c r="C23" s="74" t="s">
        <v>97</v>
      </c>
      <c r="D23" s="123">
        <v>1747.5101999999999</v>
      </c>
      <c r="E23" s="117">
        <v>1571.7923800000001</v>
      </c>
      <c r="F23" s="134">
        <f t="shared" si="0"/>
        <v>-0.10055324426718648</v>
      </c>
      <c r="G23" s="138">
        <f t="shared" si="1"/>
        <v>6.9469678295346936E-3</v>
      </c>
    </row>
    <row r="24" spans="3:7" x14ac:dyDescent="0.25">
      <c r="C24" s="74" t="s">
        <v>99</v>
      </c>
      <c r="D24" s="123">
        <v>124.0138393</v>
      </c>
      <c r="E24" s="117">
        <v>158.12892599999998</v>
      </c>
      <c r="F24" s="134">
        <f t="shared" si="0"/>
        <v>0.27509096478718553</v>
      </c>
      <c r="G24" s="134">
        <f t="shared" si="1"/>
        <v>6.9889418972808094E-4</v>
      </c>
    </row>
    <row r="25" spans="3:7" x14ac:dyDescent="0.25">
      <c r="C25" s="74" t="s">
        <v>101</v>
      </c>
      <c r="D25" s="123">
        <v>23.34701724</v>
      </c>
      <c r="E25" s="117">
        <v>60.181623000000002</v>
      </c>
      <c r="F25" s="134">
        <f t="shared" si="0"/>
        <v>1.577700713600878</v>
      </c>
      <c r="G25" s="138">
        <f t="shared" si="1"/>
        <v>2.6598920075575453E-4</v>
      </c>
    </row>
    <row r="26" spans="3:7" x14ac:dyDescent="0.25">
      <c r="C26" s="61" t="s">
        <v>100</v>
      </c>
      <c r="D26" s="124">
        <v>157.02064720000001</v>
      </c>
      <c r="E26" s="196">
        <v>0</v>
      </c>
      <c r="F26" s="135" t="s">
        <v>42</v>
      </c>
      <c r="G26" s="152" t="s">
        <v>42</v>
      </c>
    </row>
    <row r="27" spans="3:7" x14ac:dyDescent="0.25">
      <c r="C27" s="71" t="s">
        <v>102</v>
      </c>
      <c r="D27" s="119">
        <f>+SUM(D28:D44)</f>
        <v>8491921.4536920041</v>
      </c>
      <c r="E27" s="116">
        <f>+SUM(E28:E44)</f>
        <v>8811985.4445310012</v>
      </c>
      <c r="F27" s="132">
        <f>+E27/D27-1</f>
        <v>3.7690408770778783E-2</v>
      </c>
      <c r="G27" s="139">
        <f>SUM(G28:G44)</f>
        <v>1</v>
      </c>
    </row>
    <row r="28" spans="3:7" x14ac:dyDescent="0.25">
      <c r="C28" s="150" t="s">
        <v>97</v>
      </c>
      <c r="D28" s="121">
        <v>1680842.0961719998</v>
      </c>
      <c r="E28" s="122">
        <v>2625235.1694120001</v>
      </c>
      <c r="F28" s="133">
        <f t="shared" si="0"/>
        <v>0.56185710447804071</v>
      </c>
      <c r="G28" s="140">
        <f t="shared" ref="G28:G43" si="2">(E28/$E$27)</f>
        <v>0.29791642143954117</v>
      </c>
    </row>
    <row r="29" spans="3:7" x14ac:dyDescent="0.25">
      <c r="C29" s="72" t="s">
        <v>103</v>
      </c>
      <c r="D29" s="123">
        <v>2426919.1272554677</v>
      </c>
      <c r="E29" s="117">
        <v>2013663.4582059998</v>
      </c>
      <c r="F29" s="134">
        <f t="shared" si="0"/>
        <v>-0.17027995057948497</v>
      </c>
      <c r="G29" s="141">
        <f t="shared" si="2"/>
        <v>0.22851416072818681</v>
      </c>
    </row>
    <row r="30" spans="3:7" x14ac:dyDescent="0.25">
      <c r="C30" s="72" t="s">
        <v>89</v>
      </c>
      <c r="D30" s="123">
        <v>2137873.9221620127</v>
      </c>
      <c r="E30" s="118">
        <v>1911084.5425260002</v>
      </c>
      <c r="F30" s="134">
        <f t="shared" si="0"/>
        <v>-0.10608173722735825</v>
      </c>
      <c r="G30" s="141">
        <f t="shared" si="2"/>
        <v>0.21687332038344209</v>
      </c>
    </row>
    <row r="31" spans="3:7" x14ac:dyDescent="0.25">
      <c r="C31" s="72" t="s">
        <v>101</v>
      </c>
      <c r="D31" s="123">
        <v>770837.28507520002</v>
      </c>
      <c r="E31" s="117">
        <v>618689.5821939999</v>
      </c>
      <c r="F31" s="134">
        <f t="shared" si="0"/>
        <v>-0.19737979185368171</v>
      </c>
      <c r="G31" s="141">
        <f t="shared" si="2"/>
        <v>7.0210009547618843E-2</v>
      </c>
    </row>
    <row r="32" spans="3:7" x14ac:dyDescent="0.25">
      <c r="C32" s="72" t="s">
        <v>96</v>
      </c>
      <c r="D32" s="123">
        <v>465168.86095866503</v>
      </c>
      <c r="E32" s="118">
        <v>462018.16306200007</v>
      </c>
      <c r="F32" s="134">
        <f t="shared" si="0"/>
        <v>-6.7732347564531947E-3</v>
      </c>
      <c r="G32" s="141">
        <f t="shared" si="2"/>
        <v>5.2430654359369513E-2</v>
      </c>
    </row>
    <row r="33" spans="3:7" x14ac:dyDescent="0.25">
      <c r="C33" s="72" t="s">
        <v>88</v>
      </c>
      <c r="D33" s="123">
        <v>173644.02766185999</v>
      </c>
      <c r="E33" s="117">
        <v>292314.03720100003</v>
      </c>
      <c r="F33" s="134">
        <f t="shared" si="0"/>
        <v>0.68340968092624643</v>
      </c>
      <c r="G33" s="141">
        <f t="shared" si="2"/>
        <v>3.3172324108004449E-2</v>
      </c>
    </row>
    <row r="34" spans="3:7" x14ac:dyDescent="0.25">
      <c r="C34" s="72" t="s">
        <v>94</v>
      </c>
      <c r="D34" s="123">
        <v>139948.921726</v>
      </c>
      <c r="E34" s="117">
        <v>260922.455292</v>
      </c>
      <c r="F34" s="134">
        <f t="shared" si="0"/>
        <v>0.86441204458044263</v>
      </c>
      <c r="G34" s="141">
        <f t="shared" si="2"/>
        <v>2.9609950780608334E-2</v>
      </c>
    </row>
    <row r="35" spans="3:7" x14ac:dyDescent="0.25">
      <c r="C35" s="72" t="s">
        <v>100</v>
      </c>
      <c r="D35" s="123">
        <v>196592.0174793218</v>
      </c>
      <c r="E35" s="117">
        <v>228316.84452700007</v>
      </c>
      <c r="F35" s="134">
        <f t="shared" si="0"/>
        <v>0.16137393295236513</v>
      </c>
      <c r="G35" s="141">
        <f t="shared" si="2"/>
        <v>2.5909807269223394E-2</v>
      </c>
    </row>
    <row r="36" spans="3:7" x14ac:dyDescent="0.25">
      <c r="C36" s="72" t="s">
        <v>91</v>
      </c>
      <c r="D36" s="123">
        <v>145722.80506614302</v>
      </c>
      <c r="E36" s="117">
        <v>110040.49699099999</v>
      </c>
      <c r="F36" s="134">
        <f t="shared" si="0"/>
        <v>-0.24486426856075794</v>
      </c>
      <c r="G36" s="142">
        <f t="shared" si="2"/>
        <v>1.2487594048319114E-2</v>
      </c>
    </row>
    <row r="37" spans="3:7" x14ac:dyDescent="0.25">
      <c r="C37" s="72" t="s">
        <v>95</v>
      </c>
      <c r="D37" s="123">
        <v>130493.83145299999</v>
      </c>
      <c r="E37" s="117">
        <v>107610.84293199999</v>
      </c>
      <c r="F37" s="134">
        <f t="shared" si="0"/>
        <v>-0.1753568599082922</v>
      </c>
      <c r="G37" s="142">
        <f t="shared" si="2"/>
        <v>1.2211872524004986E-2</v>
      </c>
    </row>
    <row r="38" spans="3:7" x14ac:dyDescent="0.25">
      <c r="C38" s="72" t="s">
        <v>104</v>
      </c>
      <c r="D38" s="123">
        <v>99719.936541485484</v>
      </c>
      <c r="E38" s="117">
        <v>96608.133919000044</v>
      </c>
      <c r="F38" s="134">
        <f t="shared" si="0"/>
        <v>-3.1205421206729977E-2</v>
      </c>
      <c r="G38" s="141">
        <f t="shared" si="2"/>
        <v>1.0963265262649534E-2</v>
      </c>
    </row>
    <row r="39" spans="3:7" x14ac:dyDescent="0.25">
      <c r="C39" s="72" t="s">
        <v>93</v>
      </c>
      <c r="D39" s="123">
        <v>32162.990130000002</v>
      </c>
      <c r="E39" s="117">
        <v>43799.303290000003</v>
      </c>
      <c r="F39" s="134">
        <f t="shared" si="0"/>
        <v>0.36179201973967712</v>
      </c>
      <c r="G39" s="141">
        <f t="shared" si="2"/>
        <v>4.970423926106601E-3</v>
      </c>
    </row>
    <row r="40" spans="3:7" x14ac:dyDescent="0.25">
      <c r="C40" s="72" t="s">
        <v>98</v>
      </c>
      <c r="D40" s="123">
        <v>55651.819153853008</v>
      </c>
      <c r="E40" s="117">
        <v>26311.55472</v>
      </c>
      <c r="F40" s="134">
        <f t="shared" si="0"/>
        <v>-0.5272112372955855</v>
      </c>
      <c r="G40" s="141">
        <f t="shared" si="2"/>
        <v>2.985882680540489E-3</v>
      </c>
    </row>
    <row r="41" spans="3:7" x14ac:dyDescent="0.25">
      <c r="C41" s="72" t="s">
        <v>87</v>
      </c>
      <c r="D41" s="123">
        <v>13477.65</v>
      </c>
      <c r="E41" s="117">
        <v>10646.41886</v>
      </c>
      <c r="F41" s="134">
        <f t="shared" si="0"/>
        <v>-0.21006860543195582</v>
      </c>
      <c r="G41" s="141">
        <f t="shared" si="2"/>
        <v>1.2081748122504568E-3</v>
      </c>
    </row>
    <row r="42" spans="3:7" x14ac:dyDescent="0.25">
      <c r="C42" s="72" t="s">
        <v>105</v>
      </c>
      <c r="D42" s="123">
        <v>21512.850416996102</v>
      </c>
      <c r="E42" s="117">
        <v>3742.9999990000001</v>
      </c>
      <c r="F42" s="134">
        <f t="shared" si="0"/>
        <v>-0.82601096895821557</v>
      </c>
      <c r="G42" s="142">
        <f t="shared" si="2"/>
        <v>4.2476239010619623E-4</v>
      </c>
    </row>
    <row r="43" spans="3:7" x14ac:dyDescent="0.25">
      <c r="C43" s="72" t="s">
        <v>90</v>
      </c>
      <c r="D43" s="123">
        <v>1353.3124399999999</v>
      </c>
      <c r="E43" s="117">
        <v>981.44140000000004</v>
      </c>
      <c r="F43" s="134">
        <f t="shared" si="0"/>
        <v>-0.27478579890982147</v>
      </c>
      <c r="G43" s="142">
        <f t="shared" si="2"/>
        <v>1.1137574002793137E-4</v>
      </c>
    </row>
    <row r="44" spans="3:7" x14ac:dyDescent="0.25">
      <c r="C44" s="75" t="s">
        <v>92</v>
      </c>
      <c r="D44" s="126">
        <v>0</v>
      </c>
      <c r="E44" s="125">
        <v>0</v>
      </c>
      <c r="F44" s="134" t="s">
        <v>42</v>
      </c>
      <c r="G44" s="154" t="s">
        <v>42</v>
      </c>
    </row>
    <row r="45" spans="3:7" x14ac:dyDescent="0.25">
      <c r="C45" s="71" t="s">
        <v>106</v>
      </c>
      <c r="D45" s="119">
        <f>+SUM(D46:D57)</f>
        <v>91855.694164932007</v>
      </c>
      <c r="E45" s="116">
        <f>+SUM(E46:E57)</f>
        <v>105347.62395799998</v>
      </c>
      <c r="F45" s="132">
        <f t="shared" si="0"/>
        <v>0.14688180102196458</v>
      </c>
      <c r="G45" s="180">
        <f>SUM(G46:G57)</f>
        <v>1</v>
      </c>
    </row>
    <row r="46" spans="3:7" x14ac:dyDescent="0.25">
      <c r="C46" s="150" t="s">
        <v>90</v>
      </c>
      <c r="D46" s="117">
        <v>29747.159536949996</v>
      </c>
      <c r="E46" s="120">
        <v>30328.776029999997</v>
      </c>
      <c r="F46" s="131">
        <f t="shared" si="0"/>
        <v>1.9552001001223562E-2</v>
      </c>
      <c r="G46" s="140">
        <f t="shared" ref="G46:G56" si="3">(E46/$E$45)</f>
        <v>0.28789235950961251</v>
      </c>
    </row>
    <row r="47" spans="3:7" x14ac:dyDescent="0.25">
      <c r="C47" s="74" t="s">
        <v>96</v>
      </c>
      <c r="D47" s="117">
        <v>13687.351026730001</v>
      </c>
      <c r="E47" s="120">
        <v>17780.071774</v>
      </c>
      <c r="F47" s="131">
        <f t="shared" si="0"/>
        <v>0.29901481588930778</v>
      </c>
      <c r="G47" s="141">
        <f t="shared" si="3"/>
        <v>0.16877525193248369</v>
      </c>
    </row>
    <row r="48" spans="3:7" x14ac:dyDescent="0.25">
      <c r="C48" s="72" t="s">
        <v>93</v>
      </c>
      <c r="D48" s="117">
        <v>6881.1252170000007</v>
      </c>
      <c r="E48" s="120">
        <v>16274.982052000001</v>
      </c>
      <c r="F48" s="131">
        <f t="shared" si="0"/>
        <v>1.3651628968750971</v>
      </c>
      <c r="G48" s="142">
        <f t="shared" si="3"/>
        <v>0.15448836376688016</v>
      </c>
    </row>
    <row r="49" spans="3:7" x14ac:dyDescent="0.25">
      <c r="C49" s="74" t="s">
        <v>92</v>
      </c>
      <c r="D49" s="117">
        <v>17490.421478114</v>
      </c>
      <c r="E49" s="120">
        <v>16269.423328000001</v>
      </c>
      <c r="F49" s="131">
        <f t="shared" si="0"/>
        <v>-6.980953270004675E-2</v>
      </c>
      <c r="G49" s="142">
        <f t="shared" si="3"/>
        <v>0.15443559822940381</v>
      </c>
    </row>
    <row r="50" spans="3:7" x14ac:dyDescent="0.25">
      <c r="C50" s="74" t="s">
        <v>95</v>
      </c>
      <c r="D50" s="117">
        <v>14081.907646557001</v>
      </c>
      <c r="E50" s="120">
        <v>11432.975062999998</v>
      </c>
      <c r="F50" s="131">
        <f t="shared" si="0"/>
        <v>-0.18810893027015851</v>
      </c>
      <c r="G50" s="141">
        <f t="shared" si="3"/>
        <v>0.10852617869728225</v>
      </c>
    </row>
    <row r="51" spans="3:7" x14ac:dyDescent="0.25">
      <c r="C51" s="74" t="s">
        <v>99</v>
      </c>
      <c r="D51" s="117">
        <v>3401.5517829999999</v>
      </c>
      <c r="E51" s="120">
        <v>5014.1109130000004</v>
      </c>
      <c r="F51" s="131">
        <f t="shared" si="0"/>
        <v>0.47406573025262122</v>
      </c>
      <c r="G51" s="141">
        <f t="shared" si="3"/>
        <v>4.7595861440586716E-2</v>
      </c>
    </row>
    <row r="52" spans="3:7" x14ac:dyDescent="0.25">
      <c r="C52" s="74" t="s">
        <v>101</v>
      </c>
      <c r="D52" s="117">
        <v>2848.3109792400001</v>
      </c>
      <c r="E52" s="120">
        <v>4167.9171619999997</v>
      </c>
      <c r="F52" s="131">
        <f t="shared" si="0"/>
        <v>0.4632942794442001</v>
      </c>
      <c r="G52" s="141">
        <f t="shared" si="3"/>
        <v>3.9563466221712473E-2</v>
      </c>
    </row>
    <row r="53" spans="3:7" x14ac:dyDescent="0.25">
      <c r="C53" s="74" t="s">
        <v>89</v>
      </c>
      <c r="D53" s="117">
        <v>2492.6066674999997</v>
      </c>
      <c r="E53" s="120">
        <v>2441.4675359999997</v>
      </c>
      <c r="F53" s="131">
        <f t="shared" si="0"/>
        <v>-2.0516326208535274E-2</v>
      </c>
      <c r="G53" s="141">
        <f t="shared" si="3"/>
        <v>2.3175345055464796E-2</v>
      </c>
    </row>
    <row r="54" spans="3:7" x14ac:dyDescent="0.25">
      <c r="C54" s="74" t="s">
        <v>98</v>
      </c>
      <c r="D54" s="117">
        <v>1206.1919922237</v>
      </c>
      <c r="E54" s="120">
        <v>1061.455565</v>
      </c>
      <c r="F54" s="131">
        <f t="shared" si="0"/>
        <v>-0.11999451841565312</v>
      </c>
      <c r="G54" s="141">
        <f t="shared" si="3"/>
        <v>1.0075742813365979E-2</v>
      </c>
    </row>
    <row r="55" spans="3:7" x14ac:dyDescent="0.25">
      <c r="C55" s="74" t="s">
        <v>100</v>
      </c>
      <c r="D55" s="117">
        <v>0</v>
      </c>
      <c r="E55" s="120">
        <v>569.94673499999999</v>
      </c>
      <c r="F55" s="131" t="s">
        <v>73</v>
      </c>
      <c r="G55" s="141">
        <f t="shared" si="3"/>
        <v>5.4101527266265303E-3</v>
      </c>
    </row>
    <row r="56" spans="3:7" x14ac:dyDescent="0.25">
      <c r="C56" s="74" t="s">
        <v>94</v>
      </c>
      <c r="D56" s="127">
        <v>0.62009999999999998</v>
      </c>
      <c r="E56" s="120">
        <v>6.4977999999999998</v>
      </c>
      <c r="F56" s="131">
        <f t="shared" si="0"/>
        <v>9.4786324786324787</v>
      </c>
      <c r="G56" s="142">
        <f t="shared" si="3"/>
        <v>6.167960658126039E-5</v>
      </c>
    </row>
    <row r="57" spans="3:7" x14ac:dyDescent="0.25">
      <c r="C57" s="61" t="s">
        <v>88</v>
      </c>
      <c r="D57" s="117">
        <v>18.4477376173</v>
      </c>
      <c r="E57" s="120">
        <v>0</v>
      </c>
      <c r="F57" s="131" t="s">
        <v>42</v>
      </c>
      <c r="G57" s="154" t="s">
        <v>42</v>
      </c>
    </row>
    <row r="58" spans="3:7" x14ac:dyDescent="0.25">
      <c r="C58" s="71" t="s">
        <v>107</v>
      </c>
      <c r="D58" s="119">
        <f>+SUM(D59:D75)</f>
        <v>273693.56498974888</v>
      </c>
      <c r="E58" s="116">
        <f>+SUM(E59:E75)</f>
        <v>285998.06845600001</v>
      </c>
      <c r="F58" s="132">
        <f t="shared" si="0"/>
        <v>4.4957226037491971E-2</v>
      </c>
      <c r="G58" s="139">
        <f>SUM(G59:G75)</f>
        <v>1</v>
      </c>
    </row>
    <row r="59" spans="3:7" x14ac:dyDescent="0.25">
      <c r="C59" s="150" t="s">
        <v>96</v>
      </c>
      <c r="D59" s="121">
        <v>54375.957083624897</v>
      </c>
      <c r="E59" s="122">
        <v>57263.333710999992</v>
      </c>
      <c r="F59" s="133">
        <f t="shared" si="0"/>
        <v>5.3100244708053523E-2</v>
      </c>
      <c r="G59" s="140">
        <f t="shared" ref="G59:G74" si="4">(E59/$E$58)</f>
        <v>0.20022279877673296</v>
      </c>
    </row>
    <row r="60" spans="3:7" x14ac:dyDescent="0.25">
      <c r="C60" s="72" t="s">
        <v>90</v>
      </c>
      <c r="D60" s="123">
        <v>43816.169691501404</v>
      </c>
      <c r="E60" s="117">
        <v>56497.870426000001</v>
      </c>
      <c r="F60" s="134">
        <f t="shared" si="0"/>
        <v>0.28942969738768243</v>
      </c>
      <c r="G60" s="141">
        <f t="shared" si="4"/>
        <v>0.1975463356483893</v>
      </c>
    </row>
    <row r="61" spans="3:7" ht="15" customHeight="1" x14ac:dyDescent="0.25">
      <c r="C61" s="72" t="s">
        <v>95</v>
      </c>
      <c r="D61" s="123">
        <v>43519.840970492995</v>
      </c>
      <c r="E61" s="117">
        <v>41733.836722000015</v>
      </c>
      <c r="F61" s="134">
        <f t="shared" si="0"/>
        <v>-4.1038850525761617E-2</v>
      </c>
      <c r="G61" s="141">
        <f t="shared" si="4"/>
        <v>0.1459234915372187</v>
      </c>
    </row>
    <row r="62" spans="3:7" x14ac:dyDescent="0.25">
      <c r="C62" s="72" t="s">
        <v>92</v>
      </c>
      <c r="D62" s="123">
        <v>39723.133616219602</v>
      </c>
      <c r="E62" s="117">
        <v>30662.995361000001</v>
      </c>
      <c r="F62" s="134">
        <f t="shared" si="0"/>
        <v>-0.2280821634756478</v>
      </c>
      <c r="G62" s="141">
        <f t="shared" si="4"/>
        <v>0.10721399457883897</v>
      </c>
    </row>
    <row r="63" spans="3:7" x14ac:dyDescent="0.25">
      <c r="C63" s="74" t="s">
        <v>88</v>
      </c>
      <c r="D63" s="123">
        <v>10369.497625650702</v>
      </c>
      <c r="E63" s="117">
        <v>18515.236100999999</v>
      </c>
      <c r="F63" s="134">
        <f t="shared" si="0"/>
        <v>0.7855480341882175</v>
      </c>
      <c r="G63" s="141">
        <f t="shared" si="4"/>
        <v>6.4739024990473015E-2</v>
      </c>
    </row>
    <row r="64" spans="3:7" x14ac:dyDescent="0.25">
      <c r="C64" s="74" t="s">
        <v>101</v>
      </c>
      <c r="D64" s="123">
        <v>16121.451125235499</v>
      </c>
      <c r="E64" s="117">
        <v>15776.594072</v>
      </c>
      <c r="F64" s="134">
        <f t="shared" si="0"/>
        <v>-2.1391191807521692E-2</v>
      </c>
      <c r="G64" s="141">
        <f t="shared" si="4"/>
        <v>5.5163288889229625E-2</v>
      </c>
    </row>
    <row r="65" spans="3:7" ht="15" customHeight="1" x14ac:dyDescent="0.25">
      <c r="C65" s="74" t="s">
        <v>93</v>
      </c>
      <c r="D65" s="123">
        <v>17037.3430399262</v>
      </c>
      <c r="E65" s="117">
        <v>12130.810743000002</v>
      </c>
      <c r="F65" s="134">
        <f t="shared" si="0"/>
        <v>-0.28798694053573815</v>
      </c>
      <c r="G65" s="141">
        <f t="shared" si="4"/>
        <v>4.2415708639187165E-2</v>
      </c>
    </row>
    <row r="66" spans="3:7" x14ac:dyDescent="0.25">
      <c r="C66" s="74" t="s">
        <v>98</v>
      </c>
      <c r="D66" s="123">
        <v>11471.8634015556</v>
      </c>
      <c r="E66" s="117">
        <v>11311.915147</v>
      </c>
      <c r="F66" s="134">
        <f t="shared" si="0"/>
        <v>-1.3942656825386424E-2</v>
      </c>
      <c r="G66" s="141">
        <f t="shared" si="4"/>
        <v>3.955241798683793E-2</v>
      </c>
    </row>
    <row r="67" spans="3:7" x14ac:dyDescent="0.25">
      <c r="C67" s="74" t="s">
        <v>89</v>
      </c>
      <c r="D67" s="123">
        <v>6476.8002729352002</v>
      </c>
      <c r="E67" s="117">
        <v>8719.7509389999996</v>
      </c>
      <c r="F67" s="134">
        <f t="shared" si="0"/>
        <v>0.34630536245458798</v>
      </c>
      <c r="G67" s="141">
        <f t="shared" si="4"/>
        <v>3.0488845557855606E-2</v>
      </c>
    </row>
    <row r="68" spans="3:7" x14ac:dyDescent="0.25">
      <c r="C68" s="74" t="s">
        <v>91</v>
      </c>
      <c r="D68" s="123">
        <v>8280.2975807656003</v>
      </c>
      <c r="E68" s="117">
        <v>8046.955328</v>
      </c>
      <c r="F68" s="134">
        <f t="shared" si="0"/>
        <v>-2.8180418697467347E-2</v>
      </c>
      <c r="G68" s="142">
        <f t="shared" si="4"/>
        <v>2.8136397463950011E-2</v>
      </c>
    </row>
    <row r="69" spans="3:7" x14ac:dyDescent="0.25">
      <c r="C69" s="74" t="s">
        <v>94</v>
      </c>
      <c r="D69" s="123">
        <v>7237.6262967502007</v>
      </c>
      <c r="E69" s="117">
        <v>7919.8599949999998</v>
      </c>
      <c r="F69" s="134">
        <f t="shared" si="0"/>
        <v>9.4262078515456427E-2</v>
      </c>
      <c r="G69" s="142">
        <f t="shared" si="4"/>
        <v>2.7692005186456172E-2</v>
      </c>
    </row>
    <row r="70" spans="3:7" x14ac:dyDescent="0.25">
      <c r="C70" s="74" t="s">
        <v>87</v>
      </c>
      <c r="D70" s="123">
        <v>7143.8969093643</v>
      </c>
      <c r="E70" s="117">
        <v>6562.6054590000003</v>
      </c>
      <c r="F70" s="134">
        <f t="shared" si="0"/>
        <v>-8.1368958390530044E-2</v>
      </c>
      <c r="G70" s="141">
        <f t="shared" si="4"/>
        <v>2.2946327905041912E-2</v>
      </c>
    </row>
    <row r="71" spans="3:7" x14ac:dyDescent="0.25">
      <c r="C71" s="74" t="s">
        <v>99</v>
      </c>
      <c r="D71" s="123">
        <v>4311.2439654358996</v>
      </c>
      <c r="E71" s="117">
        <v>4862.4142839999995</v>
      </c>
      <c r="F71" s="134">
        <f t="shared" si="0"/>
        <v>0.1278448454745178</v>
      </c>
      <c r="G71" s="141">
        <f t="shared" si="4"/>
        <v>1.700156336806893E-2</v>
      </c>
    </row>
    <row r="72" spans="3:7" x14ac:dyDescent="0.25">
      <c r="C72" s="74" t="s">
        <v>97</v>
      </c>
      <c r="D72" s="193">
        <v>2069.8546323188002</v>
      </c>
      <c r="E72" s="117">
        <v>2953.083607</v>
      </c>
      <c r="F72" s="134">
        <f t="shared" si="0"/>
        <v>0.42671063024930556</v>
      </c>
      <c r="G72" s="141">
        <f t="shared" si="4"/>
        <v>1.0325536892408501E-2</v>
      </c>
    </row>
    <row r="73" spans="3:7" x14ac:dyDescent="0.25">
      <c r="C73" s="74" t="s">
        <v>103</v>
      </c>
      <c r="D73" s="123">
        <v>1732.2760941956999</v>
      </c>
      <c r="E73" s="117">
        <v>1793.6496360000001</v>
      </c>
      <c r="F73" s="134">
        <f t="shared" si="0"/>
        <v>3.5429422601826133E-2</v>
      </c>
      <c r="G73" s="141">
        <f t="shared" si="4"/>
        <v>6.2715445795954667E-3</v>
      </c>
    </row>
    <row r="74" spans="3:7" x14ac:dyDescent="0.25">
      <c r="C74" s="74" t="s">
        <v>100</v>
      </c>
      <c r="D74" s="193">
        <v>0.23082450030000001</v>
      </c>
      <c r="E74" s="117">
        <v>1247.156925</v>
      </c>
      <c r="F74" s="134" t="s">
        <v>73</v>
      </c>
      <c r="G74" s="141">
        <f t="shared" si="4"/>
        <v>4.3607179997156922E-3</v>
      </c>
    </row>
    <row r="75" spans="3:7" x14ac:dyDescent="0.25">
      <c r="C75" s="74" t="s">
        <v>105</v>
      </c>
      <c r="D75" s="123">
        <v>6.0818592760000003</v>
      </c>
      <c r="E75" s="117">
        <v>0</v>
      </c>
      <c r="F75" s="134" t="s">
        <v>42</v>
      </c>
      <c r="G75" s="197" t="s">
        <v>42</v>
      </c>
    </row>
    <row r="76" spans="3:7" x14ac:dyDescent="0.25">
      <c r="C76" s="71" t="s">
        <v>108</v>
      </c>
      <c r="D76" s="119">
        <f>+SUM(D77:D88)</f>
        <v>21568.800301891893</v>
      </c>
      <c r="E76" s="116">
        <f>+SUM(E77:E88)</f>
        <v>22073.809587000003</v>
      </c>
      <c r="F76" s="132">
        <f t="shared" si="0"/>
        <v>2.3413879216259037E-2</v>
      </c>
      <c r="G76" s="139">
        <f>SUM(G77:G88)</f>
        <v>1</v>
      </c>
    </row>
    <row r="77" spans="3:7" x14ac:dyDescent="0.25">
      <c r="C77" s="150" t="s">
        <v>95</v>
      </c>
      <c r="D77" s="121">
        <v>7546.3738565630001</v>
      </c>
      <c r="E77" s="122">
        <v>6329.6031429999994</v>
      </c>
      <c r="F77" s="133">
        <f t="shared" si="0"/>
        <v>-0.16123912447099187</v>
      </c>
      <c r="G77" s="140">
        <f t="shared" ref="G77:G87" si="5">(E77/$E$76)</f>
        <v>0.28674720229206435</v>
      </c>
    </row>
    <row r="78" spans="3:7" x14ac:dyDescent="0.25">
      <c r="C78" s="72" t="s">
        <v>96</v>
      </c>
      <c r="D78" s="123">
        <v>3935.9406415599997</v>
      </c>
      <c r="E78" s="117">
        <v>4759.6480439999996</v>
      </c>
      <c r="F78" s="134">
        <f t="shared" si="0"/>
        <v>0.20927841079268039</v>
      </c>
      <c r="G78" s="141">
        <f t="shared" si="5"/>
        <v>0.21562422314284679</v>
      </c>
    </row>
    <row r="79" spans="3:7" x14ac:dyDescent="0.25">
      <c r="C79" s="72" t="s">
        <v>92</v>
      </c>
      <c r="D79" s="123">
        <v>2728.9725260929999</v>
      </c>
      <c r="E79" s="117">
        <v>2184.6420120000002</v>
      </c>
      <c r="F79" s="134">
        <f t="shared" ref="F79:F93" si="6">+E79/D79-1</f>
        <v>-0.19946353760926416</v>
      </c>
      <c r="G79" s="141">
        <f t="shared" si="5"/>
        <v>9.8969867588538415E-2</v>
      </c>
    </row>
    <row r="80" spans="3:7" x14ac:dyDescent="0.25">
      <c r="C80" s="72" t="s">
        <v>93</v>
      </c>
      <c r="D80" s="123">
        <v>944.13831800000003</v>
      </c>
      <c r="E80" s="117">
        <v>1929.339712</v>
      </c>
      <c r="F80" s="134">
        <f t="shared" si="6"/>
        <v>1.0434926484998357</v>
      </c>
      <c r="G80" s="141">
        <f t="shared" si="5"/>
        <v>8.7404020787433631E-2</v>
      </c>
    </row>
    <row r="81" spans="3:7" x14ac:dyDescent="0.25">
      <c r="C81" s="74" t="s">
        <v>98</v>
      </c>
      <c r="D81" s="123">
        <v>1778.4321539303999</v>
      </c>
      <c r="E81" s="117">
        <v>1801.0075970000003</v>
      </c>
      <c r="F81" s="134">
        <f t="shared" si="6"/>
        <v>1.2694014230291373E-2</v>
      </c>
      <c r="G81" s="141">
        <f t="shared" si="5"/>
        <v>8.1590247931678878E-2</v>
      </c>
    </row>
    <row r="82" spans="3:7" x14ac:dyDescent="0.25">
      <c r="C82" s="74" t="s">
        <v>90</v>
      </c>
      <c r="D82" s="123">
        <v>2107.2295189799997</v>
      </c>
      <c r="E82" s="117">
        <v>1584.239836</v>
      </c>
      <c r="F82" s="134">
        <f t="shared" si="6"/>
        <v>-0.24818828621627886</v>
      </c>
      <c r="G82" s="141">
        <f t="shared" si="5"/>
        <v>7.1770114250374398E-2</v>
      </c>
    </row>
    <row r="83" spans="3:7" x14ac:dyDescent="0.25">
      <c r="C83" s="74" t="s">
        <v>89</v>
      </c>
      <c r="D83" s="123">
        <v>1538.5996120999998</v>
      </c>
      <c r="E83" s="117">
        <v>1550.0785579999999</v>
      </c>
      <c r="F83" s="134">
        <f t="shared" si="6"/>
        <v>7.4606452580165961E-3</v>
      </c>
      <c r="G83" s="141">
        <f t="shared" si="5"/>
        <v>7.0222521032930016E-2</v>
      </c>
    </row>
    <row r="84" spans="3:7" x14ac:dyDescent="0.25">
      <c r="C84" s="74" t="s">
        <v>99</v>
      </c>
      <c r="D84" s="123">
        <v>641.73418289999995</v>
      </c>
      <c r="E84" s="117">
        <v>964.51886500000001</v>
      </c>
      <c r="F84" s="134">
        <f t="shared" si="6"/>
        <v>0.50298813854879043</v>
      </c>
      <c r="G84" s="141">
        <f t="shared" si="5"/>
        <v>4.3695170115449267E-2</v>
      </c>
    </row>
    <row r="85" spans="3:7" x14ac:dyDescent="0.25">
      <c r="C85" s="74" t="s">
        <v>100</v>
      </c>
      <c r="D85" s="123">
        <v>0</v>
      </c>
      <c r="E85" s="117">
        <v>489.59744499999999</v>
      </c>
      <c r="F85" s="134" t="s">
        <v>73</v>
      </c>
      <c r="G85" s="141">
        <f t="shared" si="5"/>
        <v>2.2180015781613886E-2</v>
      </c>
    </row>
    <row r="86" spans="3:7" x14ac:dyDescent="0.25">
      <c r="C86" s="74" t="s">
        <v>101</v>
      </c>
      <c r="D86" s="123">
        <v>333.59580927000002</v>
      </c>
      <c r="E86" s="117">
        <v>452.50114300000001</v>
      </c>
      <c r="F86" s="134">
        <f t="shared" si="6"/>
        <v>0.35643533409546646</v>
      </c>
      <c r="G86" s="141">
        <f t="shared" si="5"/>
        <v>2.0499458474376481E-2</v>
      </c>
    </row>
    <row r="87" spans="3:7" x14ac:dyDescent="0.25">
      <c r="C87" s="74" t="s">
        <v>94</v>
      </c>
      <c r="D87" s="123">
        <v>6.3334999999999999</v>
      </c>
      <c r="E87" s="117">
        <v>28.633232</v>
      </c>
      <c r="F87" s="134">
        <f t="shared" si="6"/>
        <v>3.5209176600615777</v>
      </c>
      <c r="G87" s="141">
        <f t="shared" si="5"/>
        <v>1.2971586026937125E-3</v>
      </c>
    </row>
    <row r="88" spans="3:7" x14ac:dyDescent="0.25">
      <c r="C88" s="61" t="s">
        <v>88</v>
      </c>
      <c r="D88" s="126">
        <v>7.4501824955</v>
      </c>
      <c r="E88" s="125">
        <v>0</v>
      </c>
      <c r="F88" s="135" t="s">
        <v>42</v>
      </c>
      <c r="G88" s="198" t="s">
        <v>42</v>
      </c>
    </row>
    <row r="89" spans="3:7" x14ac:dyDescent="0.25">
      <c r="C89" s="71" t="s">
        <v>109</v>
      </c>
      <c r="D89" s="119">
        <f>+D90</f>
        <v>1161378.8055939998</v>
      </c>
      <c r="E89" s="116">
        <f>+E90</f>
        <v>1175604.6615900001</v>
      </c>
      <c r="F89" s="132">
        <f t="shared" si="6"/>
        <v>1.2249109358186017E-2</v>
      </c>
      <c r="G89" s="139">
        <f>SUM(G90)</f>
        <v>1</v>
      </c>
    </row>
    <row r="90" spans="3:7" x14ac:dyDescent="0.25">
      <c r="C90" s="76" t="s">
        <v>93</v>
      </c>
      <c r="D90" s="128">
        <v>1161378.8055939998</v>
      </c>
      <c r="E90" s="129">
        <v>1175604.6615900001</v>
      </c>
      <c r="F90" s="136">
        <f t="shared" si="6"/>
        <v>1.2249109358186017E-2</v>
      </c>
      <c r="G90" s="143">
        <f>(E90/$E$89)</f>
        <v>1</v>
      </c>
    </row>
    <row r="91" spans="3:7" x14ac:dyDescent="0.25">
      <c r="C91" s="71" t="s">
        <v>110</v>
      </c>
      <c r="D91" s="119">
        <f>SUM(D92:D92)</f>
        <v>2537.2527399999999</v>
      </c>
      <c r="E91" s="116">
        <f>SUM(E92:E92)</f>
        <v>2638.101392</v>
      </c>
      <c r="F91" s="132">
        <f t="shared" si="6"/>
        <v>3.9747184192616247E-2</v>
      </c>
      <c r="G91" s="139">
        <f>SUM(G92:G92)</f>
        <v>1</v>
      </c>
    </row>
    <row r="92" spans="3:7" x14ac:dyDescent="0.25">
      <c r="C92" s="150" t="s">
        <v>100</v>
      </c>
      <c r="D92" s="121">
        <v>2537.2527399999999</v>
      </c>
      <c r="E92" s="122">
        <v>2638.101392</v>
      </c>
      <c r="F92" s="133">
        <f t="shared" si="6"/>
        <v>3.9747184192616247E-2</v>
      </c>
      <c r="G92" s="140">
        <f>(E92/$E$91)</f>
        <v>1</v>
      </c>
    </row>
    <row r="93" spans="3:7" x14ac:dyDescent="0.25">
      <c r="C93" s="71" t="s">
        <v>111</v>
      </c>
      <c r="D93" s="119">
        <f>SUM(D94:D98)</f>
        <v>3231.3934248973001</v>
      </c>
      <c r="E93" s="116">
        <f>SUM(E94:E98)</f>
        <v>3100.230423</v>
      </c>
      <c r="F93" s="132">
        <f t="shared" si="6"/>
        <v>-4.0590229863907257E-2</v>
      </c>
      <c r="G93" s="139">
        <f>SUM(G94:G98)</f>
        <v>0.99999999999999989</v>
      </c>
    </row>
    <row r="94" spans="3:7" x14ac:dyDescent="0.25">
      <c r="C94" s="150" t="s">
        <v>91</v>
      </c>
      <c r="D94" s="81">
        <v>1031.7872460000001</v>
      </c>
      <c r="E94" s="82">
        <v>874.90689499999996</v>
      </c>
      <c r="F94" s="133">
        <f t="shared" ref="F94:F105" si="7">(E94-D94)/D94</f>
        <v>-0.15204718958117469</v>
      </c>
      <c r="G94" s="140">
        <f>(E94/$E$93)</f>
        <v>0.282207054194823</v>
      </c>
    </row>
    <row r="95" spans="3:7" x14ac:dyDescent="0.25">
      <c r="C95" s="72" t="s">
        <v>89</v>
      </c>
      <c r="D95" s="123">
        <v>599.26867979999997</v>
      </c>
      <c r="E95" s="117">
        <v>847.53301299999998</v>
      </c>
      <c r="F95" s="134">
        <f t="shared" si="7"/>
        <v>0.41427883947289851</v>
      </c>
      <c r="G95" s="141">
        <f>(E95/$E$93)</f>
        <v>0.27337742598495879</v>
      </c>
    </row>
    <row r="96" spans="3:7" x14ac:dyDescent="0.25">
      <c r="C96" s="72" t="s">
        <v>87</v>
      </c>
      <c r="D96" s="123">
        <v>814.42613053729997</v>
      </c>
      <c r="E96" s="117">
        <v>809.21304299999997</v>
      </c>
      <c r="F96" s="134">
        <f t="shared" si="7"/>
        <v>-6.4009335430590579E-3</v>
      </c>
      <c r="G96" s="141">
        <f>(E96/$E$93)</f>
        <v>0.26101706408549746</v>
      </c>
    </row>
    <row r="97" spans="3:7" x14ac:dyDescent="0.25">
      <c r="C97" s="72" t="s">
        <v>88</v>
      </c>
      <c r="D97" s="123">
        <v>157.42808400000001</v>
      </c>
      <c r="E97" s="117">
        <v>277.96998000000002</v>
      </c>
      <c r="F97" s="134">
        <f t="shared" si="7"/>
        <v>0.76569499505564709</v>
      </c>
      <c r="G97" s="141">
        <f>(E97/$E$93)</f>
        <v>8.9661070976465293E-2</v>
      </c>
    </row>
    <row r="98" spans="3:7" x14ac:dyDescent="0.25">
      <c r="C98" s="74" t="s">
        <v>132</v>
      </c>
      <c r="D98" s="123">
        <v>628.48328456000002</v>
      </c>
      <c r="E98" s="117">
        <v>290.60749199999998</v>
      </c>
      <c r="F98" s="134">
        <f t="shared" si="7"/>
        <v>-0.53760505786012469</v>
      </c>
      <c r="G98" s="155">
        <f t="shared" ref="G98" si="8">(E98/$E$93)</f>
        <v>9.3737384758255424E-2</v>
      </c>
    </row>
    <row r="99" spans="3:7" x14ac:dyDescent="0.25">
      <c r="C99" s="71" t="s">
        <v>112</v>
      </c>
      <c r="D99" s="119">
        <f>SUM(D100:D105)</f>
        <v>2338.8900574000004</v>
      </c>
      <c r="E99" s="116">
        <f>SUM(E100:E105)</f>
        <v>1688.607471</v>
      </c>
      <c r="F99" s="132">
        <f t="shared" si="7"/>
        <v>-0.27803042060167604</v>
      </c>
      <c r="G99" s="139">
        <f>SUM(G100:G105)</f>
        <v>1</v>
      </c>
    </row>
    <row r="100" spans="3:7" x14ac:dyDescent="0.25">
      <c r="C100" s="64" t="s">
        <v>92</v>
      </c>
      <c r="D100" s="81">
        <v>622.08780000000002</v>
      </c>
      <c r="E100" s="82">
        <v>781.78302599999995</v>
      </c>
      <c r="F100" s="109">
        <f t="shared" si="7"/>
        <v>0.25670849998987272</v>
      </c>
      <c r="G100" s="140">
        <f>(E100/$E$99)</f>
        <v>0.46297498940770704</v>
      </c>
    </row>
    <row r="101" spans="3:7" x14ac:dyDescent="0.25">
      <c r="C101" s="60" t="s">
        <v>95</v>
      </c>
      <c r="D101" s="83">
        <v>1524.1934252999999</v>
      </c>
      <c r="E101" s="84">
        <v>750.7161450000001</v>
      </c>
      <c r="F101" s="89">
        <f t="shared" si="7"/>
        <v>-0.50746661641566904</v>
      </c>
      <c r="G101" s="141">
        <f t="shared" ref="G101:G105" si="9">(E101/$E$99)</f>
        <v>0.44457706002889058</v>
      </c>
    </row>
    <row r="102" spans="3:7" x14ac:dyDescent="0.25">
      <c r="C102" s="60" t="s">
        <v>90</v>
      </c>
      <c r="D102" s="83">
        <v>134.97157899999999</v>
      </c>
      <c r="E102" s="84">
        <v>110.48268</v>
      </c>
      <c r="F102" s="89">
        <f t="shared" si="7"/>
        <v>-0.18143744913882937</v>
      </c>
      <c r="G102" s="141">
        <f t="shared" si="9"/>
        <v>6.5428278565279427E-2</v>
      </c>
    </row>
    <row r="103" spans="3:7" x14ac:dyDescent="0.25">
      <c r="C103" s="60" t="s">
        <v>98</v>
      </c>
      <c r="D103" s="83">
        <v>56.619653100000001</v>
      </c>
      <c r="E103" s="84">
        <v>41.415709999999997</v>
      </c>
      <c r="F103" s="89">
        <f t="shared" si="7"/>
        <v>-0.26852766252642413</v>
      </c>
      <c r="G103" s="141">
        <f t="shared" si="9"/>
        <v>2.4526546702694291E-2</v>
      </c>
    </row>
    <row r="104" spans="3:7" x14ac:dyDescent="0.25">
      <c r="C104" s="60" t="s">
        <v>96</v>
      </c>
      <c r="D104" s="83">
        <v>0</v>
      </c>
      <c r="E104" s="84">
        <v>3.6269100000000001</v>
      </c>
      <c r="F104" s="89" t="s">
        <v>73</v>
      </c>
      <c r="G104" s="141">
        <f t="shared" si="9"/>
        <v>2.1478703975247307E-3</v>
      </c>
    </row>
    <row r="105" spans="3:7" x14ac:dyDescent="0.25">
      <c r="C105" s="63" t="s">
        <v>94</v>
      </c>
      <c r="D105" s="191">
        <v>1.0176000000000001</v>
      </c>
      <c r="E105" s="192">
        <v>0.58299999999999996</v>
      </c>
      <c r="F105" s="112">
        <f t="shared" si="7"/>
        <v>-0.42708333333333343</v>
      </c>
      <c r="G105" s="156">
        <f t="shared" si="9"/>
        <v>3.4525489790397825E-4</v>
      </c>
    </row>
    <row r="106" spans="3:7" x14ac:dyDescent="0.25">
      <c r="C106" s="71" t="s">
        <v>113</v>
      </c>
      <c r="D106" s="119">
        <f>SUM(D107:D109)</f>
        <v>20.011532799999998</v>
      </c>
      <c r="E106" s="116">
        <f>SUM(E107:E109)</f>
        <v>17.800156000000001</v>
      </c>
      <c r="F106" s="132">
        <f>(E106-D106)/D106</f>
        <v>-0.11050511832856685</v>
      </c>
      <c r="G106" s="139">
        <f>SUM(G107:G109)</f>
        <v>1</v>
      </c>
    </row>
    <row r="107" spans="3:7" x14ac:dyDescent="0.25">
      <c r="C107" s="64" t="s">
        <v>95</v>
      </c>
      <c r="D107" s="81">
        <v>14.105884</v>
      </c>
      <c r="E107" s="82">
        <v>11.066447</v>
      </c>
      <c r="F107" s="88">
        <f>(E107-D107)/D107</f>
        <v>-0.21547298985302868</v>
      </c>
      <c r="G107" s="140">
        <f>(E107/$E$106)</f>
        <v>0.62170505696691647</v>
      </c>
    </row>
    <row r="108" spans="3:7" x14ac:dyDescent="0.25">
      <c r="C108" s="60" t="s">
        <v>90</v>
      </c>
      <c r="D108" s="83">
        <v>5.7678487999999994</v>
      </c>
      <c r="E108" s="84">
        <v>6.6383089999999996</v>
      </c>
      <c r="F108" s="91">
        <f>(E108-D108)/D108</f>
        <v>0.1509159186003628</v>
      </c>
      <c r="G108" s="141">
        <f>(E108/$E$106)</f>
        <v>0.37293543944221608</v>
      </c>
    </row>
    <row r="109" spans="3:7" x14ac:dyDescent="0.25">
      <c r="C109" s="63" t="s">
        <v>94</v>
      </c>
      <c r="D109" s="194">
        <v>0.13780000000000001</v>
      </c>
      <c r="E109" s="195">
        <v>9.5399999999999999E-2</v>
      </c>
      <c r="F109" s="93">
        <f>(E109-D109)/D109</f>
        <v>-0.30769230769230771</v>
      </c>
      <c r="G109" s="153">
        <f>(E109/$E$106)</f>
        <v>5.3595035908674052E-3</v>
      </c>
    </row>
    <row r="110" spans="3:7" x14ac:dyDescent="0.25">
      <c r="C110" s="71" t="s">
        <v>114</v>
      </c>
      <c r="D110" s="119">
        <f>SUM(D111:D112)</f>
        <v>30.094109999999997</v>
      </c>
      <c r="E110" s="116">
        <f>SUM(E111:E112)</f>
        <v>26.551486000000001</v>
      </c>
      <c r="F110" s="132">
        <f t="shared" ref="F110:F118" si="10">(E110-D110)/D110</f>
        <v>-0.11771818472119616</v>
      </c>
      <c r="G110" s="139">
        <f>SUM(G111:G112)</f>
        <v>1</v>
      </c>
    </row>
    <row r="111" spans="3:7" x14ac:dyDescent="0.25">
      <c r="C111" s="64" t="s">
        <v>89</v>
      </c>
      <c r="D111" s="81">
        <v>17.615849999999998</v>
      </c>
      <c r="E111" s="82">
        <v>16.395735999999999</v>
      </c>
      <c r="F111" s="88">
        <f t="shared" si="10"/>
        <v>-6.926228368202493E-2</v>
      </c>
      <c r="G111" s="140">
        <f>(E111/$E$110)</f>
        <v>0.61750728377311914</v>
      </c>
    </row>
    <row r="112" spans="3:7" x14ac:dyDescent="0.25">
      <c r="C112" s="63" t="s">
        <v>90</v>
      </c>
      <c r="D112" s="101">
        <v>12.478259999999999</v>
      </c>
      <c r="E112" s="102">
        <v>10.155750000000001</v>
      </c>
      <c r="F112" s="93">
        <f t="shared" si="10"/>
        <v>-0.18612450774386796</v>
      </c>
      <c r="G112" s="153">
        <f>(E112/$E$110)</f>
        <v>0.38249271622688091</v>
      </c>
    </row>
    <row r="113" spans="3:7" x14ac:dyDescent="0.25">
      <c r="C113" s="71" t="s">
        <v>115</v>
      </c>
      <c r="D113" s="119">
        <f>SUM(D114:D116)</f>
        <v>2581.9835497999998</v>
      </c>
      <c r="E113" s="116">
        <f>SUM(E114:E116)</f>
        <v>3476.3602589999996</v>
      </c>
      <c r="F113" s="132">
        <f t="shared" si="10"/>
        <v>0.34639132742316586</v>
      </c>
      <c r="G113" s="139">
        <f>SUM(G114:G116)</f>
        <v>1</v>
      </c>
    </row>
    <row r="114" spans="3:7" x14ac:dyDescent="0.25">
      <c r="C114" s="64" t="s">
        <v>96</v>
      </c>
      <c r="D114" s="81">
        <v>2477.3481827999999</v>
      </c>
      <c r="E114" s="82">
        <v>3380.6199319999996</v>
      </c>
      <c r="F114" s="88">
        <f t="shared" si="10"/>
        <v>0.36461235262420205</v>
      </c>
      <c r="G114" s="140">
        <f>(E114/$E$113)</f>
        <v>0.97245960721356872</v>
      </c>
    </row>
    <row r="115" spans="3:7" x14ac:dyDescent="0.25">
      <c r="C115" s="60" t="s">
        <v>89</v>
      </c>
      <c r="D115" s="83">
        <v>90.685715000000002</v>
      </c>
      <c r="E115" s="84">
        <v>80.241681</v>
      </c>
      <c r="F115" s="91">
        <f t="shared" si="10"/>
        <v>-0.11516735574064782</v>
      </c>
      <c r="G115" s="141">
        <f>(E115/$E$113)</f>
        <v>2.3082095934177461E-2</v>
      </c>
    </row>
    <row r="116" spans="3:7" x14ac:dyDescent="0.25">
      <c r="C116" s="63" t="s">
        <v>90</v>
      </c>
      <c r="D116" s="101">
        <v>13.949652</v>
      </c>
      <c r="E116" s="102">
        <v>15.498646000000001</v>
      </c>
      <c r="F116" s="93">
        <f t="shared" si="10"/>
        <v>0.11104176648994545</v>
      </c>
      <c r="G116" s="153">
        <f>(E116/$E$113)</f>
        <v>4.4582968522538279E-3</v>
      </c>
    </row>
    <row r="117" spans="3:7" x14ac:dyDescent="0.25">
      <c r="C117" s="71" t="s">
        <v>116</v>
      </c>
      <c r="D117" s="148">
        <f>SUM(D118)</f>
        <v>2.2356600000000002</v>
      </c>
      <c r="E117" s="148">
        <f>SUM(E118)</f>
        <v>3.9908700000000001</v>
      </c>
      <c r="F117" s="137">
        <f t="shared" si="10"/>
        <v>0.78509701833015744</v>
      </c>
      <c r="G117" s="139">
        <f>SUM(G118)</f>
        <v>1</v>
      </c>
    </row>
    <row r="118" spans="3:7" x14ac:dyDescent="0.25">
      <c r="C118" s="77" t="s">
        <v>90</v>
      </c>
      <c r="D118" s="149">
        <v>2.2356600000000002</v>
      </c>
      <c r="E118" s="103">
        <v>3.9908700000000001</v>
      </c>
      <c r="F118" s="104">
        <f t="shared" si="10"/>
        <v>0.78509701833015744</v>
      </c>
      <c r="G118" s="199">
        <f>(E118/$E$117)</f>
        <v>1</v>
      </c>
    </row>
    <row r="119" spans="3:7" ht="204.75" customHeight="1" x14ac:dyDescent="0.25">
      <c r="C119" s="216" t="s">
        <v>122</v>
      </c>
      <c r="D119" s="217"/>
      <c r="E119" s="217"/>
      <c r="F119" s="217"/>
      <c r="G119" s="218"/>
    </row>
  </sheetData>
  <mergeCells count="2">
    <mergeCell ref="D8:G8"/>
    <mergeCell ref="C119:G119"/>
  </mergeCells>
  <printOptions horizontalCentered="1"/>
  <pageMargins left="0" right="0" top="0" bottom="0" header="0.31496062992125984" footer="0.31496062992125984"/>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S01.C01</vt:lpstr>
      <vt:lpstr>S01.C02</vt:lpstr>
      <vt:lpstr>S01.C03</vt:lpstr>
      <vt:lpstr>'S01.C01'!Área_de_impresión</vt:lpstr>
      <vt:lpstr>'S01.C02'!Área_de_impresión</vt:lpstr>
      <vt:lpstr>'S01.C03'!Área_de_impresión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Carranza</dc:creator>
  <cp:lastModifiedBy>Usuario</cp:lastModifiedBy>
  <dcterms:created xsi:type="dcterms:W3CDTF">2025-08-15T20:36:18Z</dcterms:created>
  <dcterms:modified xsi:type="dcterms:W3CDTF">2026-03-10T17:30:37Z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{650ED805-88E6-4860-94ED-AF4ABE06F984}</vt:lpwstr>
  </property>
</Properties>
</file>