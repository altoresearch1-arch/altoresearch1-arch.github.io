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INEM\BEM\BEM 2026\BEM 02.2026 (febrero)\CUADROS ESTADÍSTICOS\"/>
    </mc:Choice>
  </mc:AlternateContent>
  <xr:revisionPtr revIDLastSave="0" documentId="13_ncr:1_{D1F4C906-B39B-4486-9383-70B56C1B98BD}" xr6:coauthVersionLast="47" xr6:coauthVersionMax="47" xr10:uidLastSave="{00000000-0000-0000-0000-000000000000}"/>
  <bookViews>
    <workbookView xWindow="-120" yWindow="-120" windowWidth="29040" windowHeight="15840" activeTab="2" xr2:uid="{C2E09711-F6FF-4B8A-8D2D-18AB30956760}"/>
  </bookViews>
  <sheets>
    <sheet name="S01.C01" sheetId="1" r:id="rId1"/>
    <sheet name="S01.C02" sheetId="2" r:id="rId2"/>
    <sheet name="S01.C03" sheetId="3" r:id="rId3"/>
  </sheets>
  <definedNames>
    <definedName name="_xlnm._FilterDatabase" localSheetId="1" hidden="1">'S01.C02'!$C$9:$G$107</definedName>
    <definedName name="_xlnm._FilterDatabase" localSheetId="2" hidden="1">'S01.C03'!$C$11:$G$118</definedName>
    <definedName name="_xlnm.Print_Area" localSheetId="0">'S01.C01'!$B$2:$Q$69</definedName>
    <definedName name="_xlnm.Print_Area" localSheetId="1">'S01.C02'!$B$2:$K$108</definedName>
    <definedName name="_xlnm.Print_Area" localSheetId="2">'S01.C03'!$B$2:$K$119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TI_2" localSheetId="0">#REF!</definedName>
    <definedName name="OTI_2" localSheetId="1">#REF!</definedName>
    <definedName name="OTI_2" localSheetId="2">#REF!</definedName>
    <definedName name="OTI_2">#REF!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32" i="1" l="1"/>
  <c r="Q33" i="1"/>
  <c r="Q34" i="1"/>
  <c r="Q35" i="1"/>
  <c r="Q36" i="1"/>
  <c r="F67" i="3"/>
  <c r="I55" i="3"/>
  <c r="F55" i="3"/>
  <c r="I43" i="3"/>
  <c r="F43" i="3"/>
  <c r="F25" i="3"/>
  <c r="F94" i="2"/>
  <c r="D98" i="3" l="1"/>
  <c r="E98" i="3"/>
  <c r="F85" i="3" l="1"/>
  <c r="F54" i="3"/>
  <c r="F93" i="2" l="1"/>
  <c r="E37" i="1"/>
  <c r="F37" i="1"/>
  <c r="G37" i="1"/>
  <c r="H37" i="1"/>
  <c r="I37" i="1"/>
  <c r="J37" i="1"/>
  <c r="K37" i="1"/>
  <c r="L37" i="1"/>
  <c r="M37" i="1"/>
  <c r="N37" i="1"/>
  <c r="O37" i="1"/>
  <c r="P37" i="1"/>
  <c r="D37" i="1"/>
  <c r="H74" i="2" l="1"/>
  <c r="G74" i="2"/>
  <c r="E74" i="2"/>
  <c r="D74" i="2"/>
  <c r="F48" i="2"/>
  <c r="F49" i="2"/>
  <c r="F50" i="2"/>
  <c r="F51" i="2"/>
  <c r="F52" i="2"/>
  <c r="F53" i="2"/>
  <c r="F54" i="2"/>
  <c r="F55" i="2"/>
  <c r="F56" i="2"/>
  <c r="F57" i="2"/>
  <c r="F58" i="2"/>
  <c r="D90" i="3" l="1"/>
  <c r="E90" i="3"/>
  <c r="G90" i="3"/>
  <c r="H90" i="3"/>
  <c r="F96" i="3"/>
  <c r="D105" i="2" l="1"/>
  <c r="E105" i="2"/>
  <c r="F106" i="2"/>
  <c r="F92" i="2"/>
  <c r="F80" i="2"/>
  <c r="F105" i="2" l="1"/>
  <c r="F72" i="3" l="1"/>
  <c r="L54" i="1" l="1"/>
  <c r="I69" i="2"/>
  <c r="H105" i="2" l="1"/>
  <c r="J106" i="2" s="1"/>
  <c r="G105" i="2"/>
  <c r="I54" i="1"/>
  <c r="F25" i="2" l="1"/>
  <c r="F73" i="3"/>
  <c r="I73" i="3"/>
  <c r="D44" i="3"/>
  <c r="E44" i="3"/>
  <c r="F44" i="3" s="1"/>
  <c r="I95" i="2"/>
  <c r="I94" i="2"/>
  <c r="I93" i="2"/>
  <c r="I92" i="2"/>
  <c r="I91" i="2"/>
  <c r="F95" i="2"/>
  <c r="F91" i="2"/>
  <c r="Q37" i="1"/>
  <c r="I117" i="3"/>
  <c r="F117" i="3"/>
  <c r="H116" i="3"/>
  <c r="J117" i="3" s="1"/>
  <c r="J116" i="3" s="1"/>
  <c r="G116" i="3"/>
  <c r="E116" i="3"/>
  <c r="D116" i="3"/>
  <c r="I115" i="3"/>
  <c r="F115" i="3"/>
  <c r="I114" i="3"/>
  <c r="F114" i="3"/>
  <c r="I113" i="3"/>
  <c r="F113" i="3"/>
  <c r="H112" i="3"/>
  <c r="J115" i="3" s="1"/>
  <c r="G112" i="3"/>
  <c r="E112" i="3"/>
  <c r="D112" i="3"/>
  <c r="I111" i="3"/>
  <c r="F111" i="3"/>
  <c r="I110" i="3"/>
  <c r="F110" i="3"/>
  <c r="H109" i="3"/>
  <c r="J111" i="3" s="1"/>
  <c r="G109" i="3"/>
  <c r="E109" i="3"/>
  <c r="D109" i="3"/>
  <c r="I108" i="3"/>
  <c r="F108" i="3"/>
  <c r="I107" i="3"/>
  <c r="F107" i="3"/>
  <c r="I106" i="3"/>
  <c r="F106" i="3"/>
  <c r="H105" i="3"/>
  <c r="J108" i="3" s="1"/>
  <c r="G105" i="3"/>
  <c r="E105" i="3"/>
  <c r="D105" i="3"/>
  <c r="I104" i="3"/>
  <c r="F104" i="3"/>
  <c r="I102" i="3"/>
  <c r="F102" i="3"/>
  <c r="I101" i="3"/>
  <c r="F101" i="3"/>
  <c r="I100" i="3"/>
  <c r="F100" i="3"/>
  <c r="I99" i="3"/>
  <c r="F99" i="3"/>
  <c r="H98" i="3"/>
  <c r="J103" i="3" s="1"/>
  <c r="G98" i="3"/>
  <c r="I97" i="3"/>
  <c r="F97" i="3"/>
  <c r="I96" i="3"/>
  <c r="I95" i="3"/>
  <c r="F95" i="3"/>
  <c r="I94" i="3"/>
  <c r="F94" i="3"/>
  <c r="I93" i="3"/>
  <c r="F93" i="3"/>
  <c r="H92" i="3"/>
  <c r="J96" i="3" s="1"/>
  <c r="G92" i="3"/>
  <c r="E92" i="3"/>
  <c r="D92" i="3"/>
  <c r="I91" i="3"/>
  <c r="F91" i="3"/>
  <c r="J91" i="3"/>
  <c r="J90" i="3" s="1"/>
  <c r="I89" i="3"/>
  <c r="F89" i="3"/>
  <c r="H88" i="3"/>
  <c r="G88" i="3"/>
  <c r="E88" i="3"/>
  <c r="D88" i="3"/>
  <c r="I86" i="3"/>
  <c r="F86" i="3"/>
  <c r="I85" i="3"/>
  <c r="I84" i="3"/>
  <c r="F84" i="3"/>
  <c r="I83" i="3"/>
  <c r="F83" i="3"/>
  <c r="I82" i="3"/>
  <c r="F82" i="3"/>
  <c r="I81" i="3"/>
  <c r="F81" i="3"/>
  <c r="I80" i="3"/>
  <c r="F80" i="3"/>
  <c r="I79" i="3"/>
  <c r="F79" i="3"/>
  <c r="I78" i="3"/>
  <c r="F78" i="3"/>
  <c r="I77" i="3"/>
  <c r="F77" i="3"/>
  <c r="I76" i="3"/>
  <c r="F76" i="3"/>
  <c r="H75" i="3"/>
  <c r="J83" i="3" s="1"/>
  <c r="G75" i="3"/>
  <c r="E75" i="3"/>
  <c r="D75" i="3"/>
  <c r="I72" i="3"/>
  <c r="I71" i="3"/>
  <c r="F71" i="3"/>
  <c r="I70" i="3"/>
  <c r="F70" i="3"/>
  <c r="I69" i="3"/>
  <c r="F69" i="3"/>
  <c r="I68" i="3"/>
  <c r="F68" i="3"/>
  <c r="I67" i="3"/>
  <c r="I66" i="3"/>
  <c r="F66" i="3"/>
  <c r="I65" i="3"/>
  <c r="F65" i="3"/>
  <c r="I64" i="3"/>
  <c r="F64" i="3"/>
  <c r="I63" i="3"/>
  <c r="F63" i="3"/>
  <c r="I62" i="3"/>
  <c r="F62" i="3"/>
  <c r="I61" i="3"/>
  <c r="F61" i="3"/>
  <c r="I60" i="3"/>
  <c r="F60" i="3"/>
  <c r="I59" i="3"/>
  <c r="F59" i="3"/>
  <c r="I58" i="3"/>
  <c r="F58" i="3"/>
  <c r="H57" i="3"/>
  <c r="J67" i="3" s="1"/>
  <c r="G57" i="3"/>
  <c r="E57" i="3"/>
  <c r="D57" i="3"/>
  <c r="I54" i="3"/>
  <c r="I53" i="3"/>
  <c r="F53" i="3"/>
  <c r="I52" i="3"/>
  <c r="F52" i="3"/>
  <c r="I51" i="3"/>
  <c r="F51" i="3"/>
  <c r="I50" i="3"/>
  <c r="F50" i="3"/>
  <c r="I49" i="3"/>
  <c r="F49" i="3"/>
  <c r="I48" i="3"/>
  <c r="F48" i="3"/>
  <c r="I47" i="3"/>
  <c r="F47" i="3"/>
  <c r="I46" i="3"/>
  <c r="F46" i="3"/>
  <c r="I45" i="3"/>
  <c r="F45" i="3"/>
  <c r="H44" i="3"/>
  <c r="G44" i="3"/>
  <c r="I42" i="3"/>
  <c r="F42" i="3"/>
  <c r="I41" i="3"/>
  <c r="F41" i="3"/>
  <c r="I40" i="3"/>
  <c r="F40" i="3"/>
  <c r="I39" i="3"/>
  <c r="F39" i="3"/>
  <c r="I38" i="3"/>
  <c r="F38" i="3"/>
  <c r="I37" i="3"/>
  <c r="F37" i="3"/>
  <c r="I36" i="3"/>
  <c r="F36" i="3"/>
  <c r="I35" i="3"/>
  <c r="F35" i="3"/>
  <c r="I34" i="3"/>
  <c r="F34" i="3"/>
  <c r="I33" i="3"/>
  <c r="F33" i="3"/>
  <c r="I32" i="3"/>
  <c r="F32" i="3"/>
  <c r="I31" i="3"/>
  <c r="F31" i="3"/>
  <c r="I30" i="3"/>
  <c r="F30" i="3"/>
  <c r="I29" i="3"/>
  <c r="F29" i="3"/>
  <c r="I28" i="3"/>
  <c r="F28" i="3"/>
  <c r="H27" i="3"/>
  <c r="J37" i="3" s="1"/>
  <c r="G27" i="3"/>
  <c r="E27" i="3"/>
  <c r="D27" i="3"/>
  <c r="I25" i="3"/>
  <c r="I24" i="3"/>
  <c r="F24" i="3"/>
  <c r="I23" i="3"/>
  <c r="F23" i="3"/>
  <c r="I22" i="3"/>
  <c r="F22" i="3"/>
  <c r="I21" i="3"/>
  <c r="F21" i="3"/>
  <c r="I20" i="3"/>
  <c r="F20" i="3"/>
  <c r="I19" i="3"/>
  <c r="F19" i="3"/>
  <c r="I18" i="3"/>
  <c r="F18" i="3"/>
  <c r="I17" i="3"/>
  <c r="F17" i="3"/>
  <c r="I16" i="3"/>
  <c r="F16" i="3"/>
  <c r="I15" i="3"/>
  <c r="F15" i="3"/>
  <c r="I14" i="3"/>
  <c r="F14" i="3"/>
  <c r="I13" i="3"/>
  <c r="F13" i="3"/>
  <c r="I12" i="3"/>
  <c r="F12" i="3"/>
  <c r="H11" i="3"/>
  <c r="J21" i="3" s="1"/>
  <c r="G11" i="3"/>
  <c r="E11" i="3"/>
  <c r="D11" i="3"/>
  <c r="I106" i="2"/>
  <c r="I104" i="2"/>
  <c r="F104" i="2"/>
  <c r="I103" i="2"/>
  <c r="F103" i="2"/>
  <c r="I102" i="2"/>
  <c r="F102" i="2"/>
  <c r="I101" i="2"/>
  <c r="F101" i="2"/>
  <c r="H100" i="2"/>
  <c r="J104" i="2" s="1"/>
  <c r="G100" i="2"/>
  <c r="E100" i="2"/>
  <c r="D100" i="2"/>
  <c r="I99" i="2"/>
  <c r="F99" i="2"/>
  <c r="I98" i="2"/>
  <c r="F98" i="2"/>
  <c r="I97" i="2"/>
  <c r="F97" i="2"/>
  <c r="H96" i="2"/>
  <c r="J99" i="2" s="1"/>
  <c r="G96" i="2"/>
  <c r="E96" i="2"/>
  <c r="D96" i="2"/>
  <c r="H90" i="2"/>
  <c r="J95" i="2" s="1"/>
  <c r="G90" i="2"/>
  <c r="E90" i="2"/>
  <c r="D90" i="2"/>
  <c r="I88" i="2"/>
  <c r="F88" i="2"/>
  <c r="I86" i="2"/>
  <c r="F86" i="2"/>
  <c r="I85" i="2"/>
  <c r="F85" i="2"/>
  <c r="I84" i="2"/>
  <c r="F84" i="2"/>
  <c r="I83" i="2"/>
  <c r="F83" i="2"/>
  <c r="H82" i="2"/>
  <c r="J87" i="2" s="1"/>
  <c r="G82" i="2"/>
  <c r="E82" i="2"/>
  <c r="D82" i="2"/>
  <c r="I81" i="2"/>
  <c r="F81" i="2"/>
  <c r="I80" i="2"/>
  <c r="I79" i="2"/>
  <c r="F79" i="2"/>
  <c r="I78" i="2"/>
  <c r="F78" i="2"/>
  <c r="I77" i="2"/>
  <c r="F77" i="2"/>
  <c r="H76" i="2"/>
  <c r="J78" i="2" s="1"/>
  <c r="G76" i="2"/>
  <c r="E76" i="2"/>
  <c r="D76" i="2"/>
  <c r="I75" i="2"/>
  <c r="F75" i="2"/>
  <c r="J75" i="2"/>
  <c r="J74" i="2" s="1"/>
  <c r="I73" i="2"/>
  <c r="F73" i="2"/>
  <c r="I72" i="2"/>
  <c r="F72" i="2"/>
  <c r="H71" i="2"/>
  <c r="J73" i="2" s="1"/>
  <c r="G71" i="2"/>
  <c r="E71" i="2"/>
  <c r="D71" i="2"/>
  <c r="I70" i="2"/>
  <c r="F70" i="2"/>
  <c r="F69" i="2"/>
  <c r="I68" i="2"/>
  <c r="F68" i="2"/>
  <c r="I67" i="2"/>
  <c r="F67" i="2"/>
  <c r="I66" i="2"/>
  <c r="F66" i="2"/>
  <c r="I65" i="2"/>
  <c r="F65" i="2"/>
  <c r="I64" i="2"/>
  <c r="F64" i="2"/>
  <c r="I63" i="2"/>
  <c r="F63" i="2"/>
  <c r="I62" i="2"/>
  <c r="F62" i="2"/>
  <c r="I61" i="2"/>
  <c r="F61" i="2"/>
  <c r="I60" i="2"/>
  <c r="F60" i="2"/>
  <c r="H59" i="2"/>
  <c r="J61" i="2" s="1"/>
  <c r="G59" i="2"/>
  <c r="E59" i="2"/>
  <c r="D59" i="2"/>
  <c r="I58" i="2"/>
  <c r="I57" i="2"/>
  <c r="I56" i="2"/>
  <c r="I55" i="2"/>
  <c r="I54" i="2"/>
  <c r="I53" i="2"/>
  <c r="I52" i="2"/>
  <c r="I51" i="2"/>
  <c r="I50" i="2"/>
  <c r="I49" i="2"/>
  <c r="I48" i="2"/>
  <c r="H47" i="2"/>
  <c r="J57" i="2" s="1"/>
  <c r="G47" i="2"/>
  <c r="E47" i="2"/>
  <c r="D47" i="2"/>
  <c r="I46" i="2"/>
  <c r="F46" i="2"/>
  <c r="I45" i="2"/>
  <c r="F45" i="2"/>
  <c r="I44" i="2"/>
  <c r="F44" i="2"/>
  <c r="I43" i="2"/>
  <c r="F43" i="2"/>
  <c r="I42" i="2"/>
  <c r="F42" i="2"/>
  <c r="I41" i="2"/>
  <c r="F41" i="2"/>
  <c r="I40" i="2"/>
  <c r="F40" i="2"/>
  <c r="I39" i="2"/>
  <c r="F39" i="2"/>
  <c r="I38" i="2"/>
  <c r="F38" i="2"/>
  <c r="I37" i="2"/>
  <c r="F37" i="2"/>
  <c r="I36" i="2"/>
  <c r="F36" i="2"/>
  <c r="H35" i="2"/>
  <c r="J37" i="2" s="1"/>
  <c r="G35" i="2"/>
  <c r="E35" i="2"/>
  <c r="D35" i="2"/>
  <c r="I34" i="2"/>
  <c r="F34" i="2"/>
  <c r="I33" i="2"/>
  <c r="F33" i="2"/>
  <c r="I32" i="2"/>
  <c r="F32" i="2"/>
  <c r="I31" i="2"/>
  <c r="F31" i="2"/>
  <c r="I30" i="2"/>
  <c r="F30" i="2"/>
  <c r="I29" i="2"/>
  <c r="F29" i="2"/>
  <c r="I28" i="2"/>
  <c r="F28" i="2"/>
  <c r="I27" i="2"/>
  <c r="F27" i="2"/>
  <c r="I26" i="2"/>
  <c r="F26" i="2"/>
  <c r="I25" i="2"/>
  <c r="I24" i="2"/>
  <c r="F24" i="2"/>
  <c r="H23" i="2"/>
  <c r="J28" i="2" s="1"/>
  <c r="G23" i="2"/>
  <c r="E23" i="2"/>
  <c r="D23" i="2"/>
  <c r="I22" i="2"/>
  <c r="F22" i="2"/>
  <c r="I21" i="2"/>
  <c r="F21" i="2"/>
  <c r="I20" i="2"/>
  <c r="F20" i="2"/>
  <c r="I19" i="2"/>
  <c r="F19" i="2"/>
  <c r="I18" i="2"/>
  <c r="F18" i="2"/>
  <c r="I17" i="2"/>
  <c r="F17" i="2"/>
  <c r="I16" i="2"/>
  <c r="F16" i="2"/>
  <c r="I15" i="2"/>
  <c r="F15" i="2"/>
  <c r="I14" i="2"/>
  <c r="F14" i="2"/>
  <c r="I13" i="2"/>
  <c r="F13" i="2"/>
  <c r="I12" i="2"/>
  <c r="F12" i="2"/>
  <c r="H11" i="2"/>
  <c r="J12" i="2" s="1"/>
  <c r="G11" i="2"/>
  <c r="E11" i="2"/>
  <c r="D11" i="2"/>
  <c r="P54" i="1"/>
  <c r="O54" i="1"/>
  <c r="N54" i="1"/>
  <c r="M54" i="1"/>
  <c r="K54" i="1"/>
  <c r="J54" i="1"/>
  <c r="H54" i="1"/>
  <c r="G54" i="1"/>
  <c r="F54" i="1"/>
  <c r="E54" i="1"/>
  <c r="D54" i="1"/>
  <c r="P49" i="1"/>
  <c r="O49" i="1"/>
  <c r="N49" i="1"/>
  <c r="M49" i="1"/>
  <c r="L49" i="1"/>
  <c r="K49" i="1"/>
  <c r="J49" i="1"/>
  <c r="I49" i="1"/>
  <c r="H49" i="1"/>
  <c r="G49" i="1"/>
  <c r="F49" i="1"/>
  <c r="E49" i="1"/>
  <c r="D49" i="1"/>
  <c r="P44" i="1"/>
  <c r="O44" i="1"/>
  <c r="N44" i="1"/>
  <c r="M44" i="1"/>
  <c r="L44" i="1"/>
  <c r="K44" i="1"/>
  <c r="J44" i="1"/>
  <c r="I44" i="1"/>
  <c r="H44" i="1"/>
  <c r="G44" i="1"/>
  <c r="F44" i="1"/>
  <c r="E44" i="1"/>
  <c r="D44" i="1"/>
  <c r="Q31" i="1"/>
  <c r="Q30" i="1"/>
  <c r="Q29" i="1"/>
  <c r="Q28" i="1"/>
  <c r="Q27" i="1"/>
  <c r="Q26" i="1"/>
  <c r="Q25" i="1"/>
  <c r="Q24" i="1"/>
  <c r="Q23" i="1"/>
  <c r="Q22" i="1"/>
  <c r="I90" i="2" l="1"/>
  <c r="I11" i="2"/>
  <c r="I44" i="3"/>
  <c r="I96" i="2"/>
  <c r="J43" i="2"/>
  <c r="J101" i="2"/>
  <c r="J64" i="3"/>
  <c r="I57" i="3"/>
  <c r="J73" i="3"/>
  <c r="J43" i="3"/>
  <c r="J39" i="2"/>
  <c r="J62" i="2"/>
  <c r="J53" i="2"/>
  <c r="J18" i="2"/>
  <c r="F98" i="3"/>
  <c r="I90" i="3"/>
  <c r="F88" i="3"/>
  <c r="F57" i="3"/>
  <c r="J49" i="3"/>
  <c r="F109" i="3"/>
  <c r="J50" i="3"/>
  <c r="J85" i="3"/>
  <c r="J51" i="3"/>
  <c r="I116" i="3"/>
  <c r="J45" i="3"/>
  <c r="J68" i="3"/>
  <c r="I27" i="3"/>
  <c r="J78" i="3"/>
  <c r="I88" i="3"/>
  <c r="F75" i="3"/>
  <c r="F92" i="3"/>
  <c r="J52" i="3"/>
  <c r="J69" i="3"/>
  <c r="J58" i="3"/>
  <c r="F116" i="3"/>
  <c r="J46" i="3"/>
  <c r="J53" i="3"/>
  <c r="J62" i="3"/>
  <c r="J89" i="3"/>
  <c r="J88" i="3" s="1"/>
  <c r="J47" i="3"/>
  <c r="J54" i="3"/>
  <c r="F112" i="3"/>
  <c r="F90" i="3"/>
  <c r="F105" i="3"/>
  <c r="J63" i="3"/>
  <c r="J48" i="3"/>
  <c r="I100" i="2"/>
  <c r="F100" i="2"/>
  <c r="J97" i="2"/>
  <c r="F96" i="2"/>
  <c r="F82" i="2"/>
  <c r="J79" i="2"/>
  <c r="J80" i="2"/>
  <c r="F74" i="2"/>
  <c r="J72" i="2"/>
  <c r="J71" i="2" s="1"/>
  <c r="J58" i="2"/>
  <c r="J38" i="2"/>
  <c r="F35" i="2"/>
  <c r="J30" i="2"/>
  <c r="F23" i="2"/>
  <c r="J15" i="2"/>
  <c r="J16" i="2"/>
  <c r="J13" i="3"/>
  <c r="I23" i="2"/>
  <c r="I47" i="2"/>
  <c r="J63" i="2"/>
  <c r="I105" i="2"/>
  <c r="J16" i="3"/>
  <c r="J23" i="3"/>
  <c r="J54" i="2"/>
  <c r="F76" i="2"/>
  <c r="J22" i="3"/>
  <c r="F71" i="2"/>
  <c r="J91" i="2"/>
  <c r="I92" i="3"/>
  <c r="I98" i="3"/>
  <c r="I112" i="3"/>
  <c r="F11" i="2"/>
  <c r="J24" i="2"/>
  <c r="J48" i="2"/>
  <c r="I71" i="2"/>
  <c r="J92" i="2"/>
  <c r="J79" i="3"/>
  <c r="J99" i="3"/>
  <c r="J49" i="2"/>
  <c r="J93" i="2"/>
  <c r="F11" i="3"/>
  <c r="J100" i="3"/>
  <c r="F47" i="2"/>
  <c r="J34" i="2"/>
  <c r="J17" i="3"/>
  <c r="J24" i="3"/>
  <c r="J19" i="2"/>
  <c r="J32" i="3"/>
  <c r="J18" i="3"/>
  <c r="I11" i="3"/>
  <c r="J101" i="3"/>
  <c r="J13" i="2"/>
  <c r="J20" i="2"/>
  <c r="F59" i="2"/>
  <c r="J44" i="2"/>
  <c r="J67" i="2"/>
  <c r="J19" i="3"/>
  <c r="J97" i="3"/>
  <c r="J25" i="3"/>
  <c r="J12" i="3"/>
  <c r="J14" i="2"/>
  <c r="J29" i="2"/>
  <c r="J52" i="2"/>
  <c r="F27" i="3"/>
  <c r="J68" i="2"/>
  <c r="I74" i="2"/>
  <c r="F90" i="2"/>
  <c r="J20" i="3"/>
  <c r="J84" i="3"/>
  <c r="J104" i="3"/>
  <c r="I105" i="3"/>
  <c r="J25" i="2"/>
  <c r="I76" i="2"/>
  <c r="J39" i="3"/>
  <c r="I75" i="3"/>
  <c r="J113" i="3"/>
  <c r="J21" i="2"/>
  <c r="I35" i="2"/>
  <c r="J40" i="2"/>
  <c r="I59" i="2"/>
  <c r="J64" i="2"/>
  <c r="J94" i="2"/>
  <c r="J98" i="2"/>
  <c r="J102" i="2"/>
  <c r="J105" i="2"/>
  <c r="J14" i="3"/>
  <c r="J34" i="3"/>
  <c r="J55" i="3"/>
  <c r="J59" i="3"/>
  <c r="J86" i="3"/>
  <c r="J81" i="2"/>
  <c r="J28" i="3"/>
  <c r="J45" i="2"/>
  <c r="J93" i="3"/>
  <c r="J29" i="3"/>
  <c r="J70" i="3"/>
  <c r="J26" i="2"/>
  <c r="J46" i="2"/>
  <c r="J50" i="2"/>
  <c r="J70" i="2"/>
  <c r="J84" i="2"/>
  <c r="J40" i="3"/>
  <c r="J65" i="3"/>
  <c r="J81" i="3"/>
  <c r="J94" i="3"/>
  <c r="J106" i="3"/>
  <c r="J110" i="3"/>
  <c r="J109" i="3" s="1"/>
  <c r="J114" i="3"/>
  <c r="I109" i="3"/>
  <c r="J80" i="3"/>
  <c r="J55" i="2"/>
  <c r="J22" i="2"/>
  <c r="J41" i="2"/>
  <c r="J65" i="2"/>
  <c r="J77" i="2"/>
  <c r="J103" i="2"/>
  <c r="J15" i="3"/>
  <c r="J35" i="3"/>
  <c r="J60" i="3"/>
  <c r="J76" i="3"/>
  <c r="J83" i="2"/>
  <c r="J31" i="2"/>
  <c r="J17" i="2"/>
  <c r="J32" i="2"/>
  <c r="J36" i="2"/>
  <c r="J56" i="2"/>
  <c r="J60" i="2"/>
  <c r="J30" i="3"/>
  <c r="J71" i="3"/>
  <c r="J102" i="3"/>
  <c r="J69" i="2"/>
  <c r="J27" i="2"/>
  <c r="J51" i="2"/>
  <c r="J85" i="2"/>
  <c r="J41" i="3"/>
  <c r="J66" i="3"/>
  <c r="J82" i="3"/>
  <c r="J95" i="3"/>
  <c r="J107" i="3"/>
  <c r="J88" i="2"/>
  <c r="J42" i="2"/>
  <c r="J66" i="2"/>
  <c r="J36" i="3"/>
  <c r="J61" i="3"/>
  <c r="J72" i="3"/>
  <c r="J77" i="3"/>
  <c r="I82" i="2"/>
  <c r="J33" i="3"/>
  <c r="J33" i="2"/>
  <c r="J31" i="3"/>
  <c r="J38" i="3"/>
  <c r="J86" i="2"/>
  <c r="J42" i="3"/>
  <c r="J96" i="2" l="1"/>
  <c r="J98" i="3"/>
  <c r="J44" i="3"/>
  <c r="J11" i="2"/>
  <c r="J11" i="3"/>
  <c r="J35" i="2"/>
  <c r="J90" i="2"/>
  <c r="J92" i="3"/>
  <c r="J82" i="2"/>
  <c r="J57" i="3"/>
  <c r="J27" i="3"/>
  <c r="J23" i="2"/>
  <c r="J105" i="3"/>
  <c r="J76" i="2"/>
  <c r="J112" i="3"/>
  <c r="J75" i="3"/>
  <c r="J47" i="2"/>
  <c r="J100" i="2"/>
  <c r="J59" i="2"/>
</calcChain>
</file>

<file path=xl/sharedStrings.xml><?xml version="1.0" encoding="utf-8"?>
<sst xmlns="http://schemas.openxmlformats.org/spreadsheetml/2006/main" count="384" uniqueCount="145">
  <si>
    <t>SECCIÓN N° 01: PRODUCCIÓN METÁLICA</t>
  </si>
  <si>
    <t>METALLIC MINERAL PRODUCTION</t>
  </si>
  <si>
    <t>CUADRO N° 01. VOLUMEN DE LA PRODUCCIÓN MINERA METÁLICA</t>
  </si>
  <si>
    <t>VOLUME OF METALLIC MINING PRODUCTION</t>
  </si>
  <si>
    <r>
      <t xml:space="preserve">PERIODO
</t>
    </r>
    <r>
      <rPr>
        <i/>
        <sz val="10"/>
        <color theme="1"/>
        <rFont val="Calibri Light"/>
        <family val="2"/>
        <scheme val="major"/>
      </rPr>
      <t>Period</t>
    </r>
  </si>
  <si>
    <r>
      <t xml:space="preserve">COBRE
</t>
    </r>
    <r>
      <rPr>
        <i/>
        <sz val="10"/>
        <color theme="1"/>
        <rFont val="Calibri Light"/>
        <family val="2"/>
        <scheme val="major"/>
      </rPr>
      <t>Copper</t>
    </r>
  </si>
  <si>
    <r>
      <t xml:space="preserve">ORO*
</t>
    </r>
    <r>
      <rPr>
        <i/>
        <sz val="10"/>
        <color theme="1"/>
        <rFont val="Calibri Light"/>
        <family val="2"/>
        <scheme val="major"/>
      </rPr>
      <t>Gold</t>
    </r>
  </si>
  <si>
    <r>
      <t xml:space="preserve">ZINC
</t>
    </r>
    <r>
      <rPr>
        <i/>
        <sz val="10"/>
        <color theme="1"/>
        <rFont val="Calibri Light"/>
        <family val="2"/>
        <scheme val="major"/>
      </rPr>
      <t>Zinc</t>
    </r>
  </si>
  <si>
    <r>
      <t xml:space="preserve">PLATA
</t>
    </r>
    <r>
      <rPr>
        <i/>
        <sz val="10"/>
        <color theme="1"/>
        <rFont val="Calibri Light"/>
        <family val="2"/>
        <scheme val="major"/>
      </rPr>
      <t>Silver</t>
    </r>
  </si>
  <si>
    <r>
      <t xml:space="preserve">PLOMO
</t>
    </r>
    <r>
      <rPr>
        <i/>
        <sz val="10"/>
        <color theme="1"/>
        <rFont val="Calibri Light"/>
        <family val="2"/>
        <scheme val="major"/>
      </rPr>
      <t>Lead</t>
    </r>
  </si>
  <si>
    <r>
      <t xml:space="preserve">HIERRO
</t>
    </r>
    <r>
      <rPr>
        <i/>
        <sz val="10"/>
        <color theme="1"/>
        <rFont val="Calibri Light"/>
        <family val="2"/>
        <scheme val="major"/>
      </rPr>
      <t>Iron</t>
    </r>
  </si>
  <si>
    <r>
      <t xml:space="preserve">ESTAÑO
</t>
    </r>
    <r>
      <rPr>
        <i/>
        <sz val="10"/>
        <color theme="1"/>
        <rFont val="Calibri Light"/>
        <family val="2"/>
        <scheme val="major"/>
      </rPr>
      <t>Tin</t>
    </r>
  </si>
  <si>
    <r>
      <t xml:space="preserve">MOLIBDENO
</t>
    </r>
    <r>
      <rPr>
        <i/>
        <sz val="10"/>
        <color theme="1"/>
        <rFont val="Calibri Light"/>
        <family val="2"/>
        <scheme val="major"/>
      </rPr>
      <t>Molybdenum</t>
    </r>
  </si>
  <si>
    <r>
      <t xml:space="preserve">ARSÉNICO
</t>
    </r>
    <r>
      <rPr>
        <i/>
        <sz val="10"/>
        <color theme="1"/>
        <rFont val="Calibri Light"/>
        <family val="2"/>
        <scheme val="major"/>
      </rPr>
      <t>Arsenic</t>
    </r>
  </si>
  <si>
    <r>
      <t xml:space="preserve">BISMUTO
</t>
    </r>
    <r>
      <rPr>
        <i/>
        <sz val="10"/>
        <color theme="1"/>
        <rFont val="Calibri Light"/>
        <family val="2"/>
        <scheme val="major"/>
      </rPr>
      <t>Bismuth</t>
    </r>
  </si>
  <si>
    <r>
      <t xml:space="preserve">CADMIO
</t>
    </r>
    <r>
      <rPr>
        <i/>
        <sz val="10"/>
        <color theme="1"/>
        <rFont val="Calibri Light"/>
        <family val="2"/>
        <scheme val="major"/>
      </rPr>
      <t>Cadmium</t>
    </r>
  </si>
  <si>
    <r>
      <t xml:space="preserve">MANGANESO
</t>
    </r>
    <r>
      <rPr>
        <i/>
        <sz val="10"/>
        <color theme="1"/>
        <rFont val="Calibri Light"/>
        <family val="2"/>
        <scheme val="major"/>
      </rPr>
      <t>Manganese</t>
    </r>
  </si>
  <si>
    <r>
      <t xml:space="preserve">MAGNESIO
</t>
    </r>
    <r>
      <rPr>
        <i/>
        <sz val="10"/>
        <color theme="1"/>
        <rFont val="Calibri Light"/>
        <family val="2"/>
        <scheme val="major"/>
      </rPr>
      <t>Magnesium</t>
    </r>
  </si>
  <si>
    <r>
      <t xml:space="preserve">TMF
</t>
    </r>
    <r>
      <rPr>
        <i/>
        <sz val="8"/>
        <color rgb="FF000000"/>
        <rFont val="Calibri Light"/>
        <family val="2"/>
        <scheme val="major"/>
      </rPr>
      <t>FTM</t>
    </r>
  </si>
  <si>
    <r>
      <t xml:space="preserve">gf
</t>
    </r>
    <r>
      <rPr>
        <i/>
        <sz val="8"/>
        <color rgb="FF000000"/>
        <rFont val="Calibri Light"/>
        <family val="2"/>
        <scheme val="major"/>
      </rPr>
      <t>fg</t>
    </r>
  </si>
  <si>
    <r>
      <t xml:space="preserve">kgf
</t>
    </r>
    <r>
      <rPr>
        <i/>
        <sz val="8"/>
        <color rgb="FF000000"/>
        <rFont val="Calibri Light"/>
        <family val="2"/>
        <scheme val="major"/>
      </rPr>
      <t>fkg</t>
    </r>
  </si>
  <si>
    <t>N/D</t>
  </si>
  <si>
    <r>
      <t xml:space="preserve">Ene. / </t>
    </r>
    <r>
      <rPr>
        <i/>
        <sz val="10"/>
        <color rgb="FF000000"/>
        <rFont val="Calibri Light"/>
        <family val="2"/>
        <scheme val="major"/>
      </rPr>
      <t>Jan.</t>
    </r>
  </si>
  <si>
    <r>
      <t xml:space="preserve">Feb. / </t>
    </r>
    <r>
      <rPr>
        <i/>
        <sz val="10"/>
        <color rgb="FF000000"/>
        <rFont val="Calibri Light"/>
        <family val="2"/>
        <scheme val="major"/>
      </rPr>
      <t>Feb.</t>
    </r>
  </si>
  <si>
    <t>Var. %</t>
  </si>
  <si>
    <r>
      <t>VARIACIÓN RESPECTO AL MES ANTERIOR /</t>
    </r>
    <r>
      <rPr>
        <i/>
        <sz val="10"/>
        <color rgb="FF000000"/>
        <rFont val="Calibri Light"/>
        <family val="2"/>
        <scheme val="major"/>
      </rPr>
      <t xml:space="preserve"> </t>
    </r>
    <r>
      <rPr>
        <i/>
        <sz val="8"/>
        <color rgb="FF000000"/>
        <rFont val="Calibri Light"/>
        <family val="2"/>
        <scheme val="major"/>
      </rPr>
      <t>VARIATION COMPARED TO THE PREVIOUS MONTH</t>
    </r>
  </si>
  <si>
    <r>
      <t xml:space="preserve">EVOLUCIÓN ANUAL DE LA PRODUCCIÓN DE COBRE / </t>
    </r>
    <r>
      <rPr>
        <i/>
        <sz val="8"/>
        <color rgb="FF000000"/>
        <rFont val="Calibri Light"/>
        <family val="2"/>
        <scheme val="major"/>
      </rPr>
      <t>ANNUAL EVOLUTION OF COPPER PRODUCTION</t>
    </r>
    <r>
      <rPr>
        <b/>
        <sz val="10"/>
        <color indexed="8"/>
        <rFont val="Calibri Light"/>
        <family val="2"/>
        <scheme val="major"/>
      </rPr>
      <t xml:space="preserve">
(MILES DE TMF) / </t>
    </r>
    <r>
      <rPr>
        <i/>
        <sz val="8"/>
        <color rgb="FF000000"/>
        <rFont val="Calibri Light"/>
        <family val="2"/>
        <scheme val="major"/>
      </rPr>
      <t>Thousands of FMT</t>
    </r>
  </si>
  <si>
    <t>CUADRO N° 02: PRODUCCIÓN MINERA METÁLICA SEGÚN EMPRESA</t>
  </si>
  <si>
    <t>METALLIC MINING PRODUCTION BY COMPANY</t>
  </si>
  <si>
    <r>
      <t xml:space="preserve">PRODUCTO / EMPRESA
</t>
    </r>
    <r>
      <rPr>
        <i/>
        <sz val="8"/>
        <color theme="1"/>
        <rFont val="Calibri Light"/>
        <family val="2"/>
        <scheme val="major"/>
      </rPr>
      <t>PRODUCT / COMPANY</t>
    </r>
  </si>
  <si>
    <t>Part. %</t>
  </si>
  <si>
    <r>
      <rPr>
        <b/>
        <sz val="10"/>
        <color theme="1"/>
        <rFont val="Calibri Light"/>
        <family val="2"/>
        <scheme val="major"/>
      </rPr>
      <t>COBRE (TMF)</t>
    </r>
    <r>
      <rPr>
        <sz val="10"/>
        <color theme="1"/>
        <rFont val="Calibri Light"/>
        <family val="2"/>
        <scheme val="major"/>
      </rPr>
      <t xml:space="preserve"> / </t>
    </r>
    <r>
      <rPr>
        <i/>
        <sz val="9"/>
        <color theme="1"/>
        <rFont val="Calibri Light"/>
        <family val="2"/>
        <scheme val="major"/>
      </rPr>
      <t>Copper (FTM)</t>
    </r>
  </si>
  <si>
    <t>SOUTHERN PERU COPPER CORPORATION SUCURSAL DEL PERU</t>
  </si>
  <si>
    <t>MINERA LAS BAMBAS S.A.</t>
  </si>
  <si>
    <t>COMPAÑIA MINERA ANTAMINA S.A.</t>
  </si>
  <si>
    <t>ANGLO AMERICAN QUELLAVECO S.A.</t>
  </si>
  <si>
    <t>MINERA CHINALCO PERU S.A.</t>
  </si>
  <si>
    <t>COMPAÑIA MINERA ANTAPACCAY S.A.</t>
  </si>
  <si>
    <t>HUDBAY PERU S.A.C.</t>
  </si>
  <si>
    <t>SOCIEDAD MINERA EL BROCAL S.A.A.</t>
  </si>
  <si>
    <r>
      <rPr>
        <b/>
        <sz val="11"/>
        <color theme="1"/>
        <rFont val="Calibri Light"/>
        <family val="2"/>
        <scheme val="major"/>
      </rPr>
      <t>ORO** (g finos)</t>
    </r>
    <r>
      <rPr>
        <sz val="11"/>
        <color theme="1"/>
        <rFont val="Calibri Light"/>
        <family val="2"/>
        <scheme val="major"/>
      </rPr>
      <t xml:space="preserve"> / </t>
    </r>
    <r>
      <rPr>
        <i/>
        <sz val="9"/>
        <color theme="1"/>
        <rFont val="Calibri Light"/>
        <family val="2"/>
        <scheme val="major"/>
      </rPr>
      <t>Gold (fg)</t>
    </r>
  </si>
  <si>
    <t>MINERA YANACOCHA S.R.L.</t>
  </si>
  <si>
    <t>COMPAÑIA MINERA PODEROSA S.A.</t>
  </si>
  <si>
    <t>-</t>
  </si>
  <si>
    <t>MINERA AURIFERA RETAMAS S.A.</t>
  </si>
  <si>
    <t>MINERA BOROO MISQUICHILCA S.A.</t>
  </si>
  <si>
    <t>COMPAÑIA MINERA ARES S.A.C.</t>
  </si>
  <si>
    <t>PALTARUMI S.A.C.</t>
  </si>
  <si>
    <t>SHAHUINDO S.A.C.</t>
  </si>
  <si>
    <t>MINERA VETA DORADA S.A.C.</t>
  </si>
  <si>
    <r>
      <t xml:space="preserve">ZINC (TMF) / </t>
    </r>
    <r>
      <rPr>
        <i/>
        <sz val="9"/>
        <color theme="1"/>
        <rFont val="Calibri Light"/>
        <family val="2"/>
        <scheme val="major"/>
      </rPr>
      <t>Zinc (FTM)</t>
    </r>
  </si>
  <si>
    <t>VOLCAN COMPAÑIA MINERA S.A.A.</t>
  </si>
  <si>
    <t>NEXA RESOURCES PERU S.A.A.</t>
  </si>
  <si>
    <t>NEXA RESOURCES EL PORVENIR S.A.C.</t>
  </si>
  <si>
    <t>MINERA SHOUXIN PERU S.A.</t>
  </si>
  <si>
    <t>COMPAÑIA MINERA CHUNGAR S.A.C.</t>
  </si>
  <si>
    <t>COMPAÑIA MINERA RAURA S.A.</t>
  </si>
  <si>
    <t>CATALINA HUANCA SOCIEDAD MINERA S.A.C.</t>
  </si>
  <si>
    <r>
      <t>PLATA (kg finos) /</t>
    </r>
    <r>
      <rPr>
        <i/>
        <sz val="9"/>
        <color theme="1"/>
        <rFont val="Calibri Light"/>
        <family val="2"/>
        <scheme val="major"/>
      </rPr>
      <t xml:space="preserve"> Silver (fkg)</t>
    </r>
  </si>
  <si>
    <t>COMPAÑIA DE MINAS BUENAVENTURA S.A.A.</t>
  </si>
  <si>
    <t>EMPRESA ADMINISTRADORA CERRO S.A.C.</t>
  </si>
  <si>
    <t>MARCOBRE S.A.C.</t>
  </si>
  <si>
    <r>
      <t xml:space="preserve">PLOMO (TMF) / </t>
    </r>
    <r>
      <rPr>
        <i/>
        <sz val="9"/>
        <color theme="1"/>
        <rFont val="Calibri Light"/>
        <family val="2"/>
        <scheme val="major"/>
      </rPr>
      <t>Lead (FTM)</t>
    </r>
  </si>
  <si>
    <t>COMPAÑIA MINERA KOLPA S.A.</t>
  </si>
  <si>
    <t>PAN AMERICAN SILVER HUARON S.A.</t>
  </si>
  <si>
    <t>MINERA BATEAS S.A.C.</t>
  </si>
  <si>
    <t>COMPAÑIA MINERA LINCUNA S.A.</t>
  </si>
  <si>
    <r>
      <t xml:space="preserve">HIERRO (TMF) / </t>
    </r>
    <r>
      <rPr>
        <i/>
        <sz val="9"/>
        <color theme="1"/>
        <rFont val="Calibri Light"/>
        <family val="2"/>
        <scheme val="major"/>
      </rPr>
      <t>Iron (FTM)</t>
    </r>
  </si>
  <si>
    <t>SHOUGANG HIERRO PERU S.A.A.</t>
  </si>
  <si>
    <r>
      <t xml:space="preserve">ESTAÑO (TMF) / </t>
    </r>
    <r>
      <rPr>
        <i/>
        <sz val="9"/>
        <color theme="1"/>
        <rFont val="Calibri Light"/>
        <family val="2"/>
        <scheme val="major"/>
      </rPr>
      <t>Tin (FTM)</t>
    </r>
  </si>
  <si>
    <t>MINSUR S.A.</t>
  </si>
  <si>
    <r>
      <t xml:space="preserve">MOLIBDENO (TMF) / </t>
    </r>
    <r>
      <rPr>
        <i/>
        <sz val="9"/>
        <color theme="1"/>
        <rFont val="Calibri Light"/>
        <family val="2"/>
        <scheme val="major"/>
      </rPr>
      <t>Molybdenum (FTM)</t>
    </r>
  </si>
  <si>
    <t>SOCIEDAD MINERA CERRO VERDE S.A.A.</t>
  </si>
  <si>
    <r>
      <t>ARSÉNICO (TMF) /</t>
    </r>
    <r>
      <rPr>
        <i/>
        <sz val="9"/>
        <color theme="1"/>
        <rFont val="Calibri Light"/>
        <family val="2"/>
        <scheme val="major"/>
      </rPr>
      <t xml:space="preserve"> Arsenic (FTM)</t>
    </r>
  </si>
  <si>
    <t>CMC CRITICAL MINERALS CORPORATION S.A.C.</t>
  </si>
  <si>
    <t>+</t>
  </si>
  <si>
    <t>SOCIEDAD MINERA ANDEREAL S.A.C.</t>
  </si>
  <si>
    <t>GLORE PERU S.A.C</t>
  </si>
  <si>
    <r>
      <t xml:space="preserve">BISMUTO (TMF) / </t>
    </r>
    <r>
      <rPr>
        <i/>
        <sz val="9"/>
        <color theme="1"/>
        <rFont val="Calibri Light"/>
        <family val="2"/>
        <scheme val="major"/>
      </rPr>
      <t>Bismuth (FTM)</t>
    </r>
  </si>
  <si>
    <t>NORCOBRE S.A.C.</t>
  </si>
  <si>
    <t>NEXA RESOURCES ATACOCHA S.A.A.</t>
  </si>
  <si>
    <r>
      <t>CADMIO (TMF) /</t>
    </r>
    <r>
      <rPr>
        <i/>
        <sz val="9"/>
        <color theme="1"/>
        <rFont val="Calibri Light"/>
        <family val="2"/>
        <scheme val="major"/>
      </rPr>
      <t xml:space="preserve"> Cadmium (FTM)</t>
    </r>
  </si>
  <si>
    <r>
      <t xml:space="preserve">MANGANESO (TMF) / </t>
    </r>
    <r>
      <rPr>
        <i/>
        <sz val="9"/>
        <color theme="1"/>
        <rFont val="Calibri Light"/>
        <family val="2"/>
        <scheme val="major"/>
      </rPr>
      <t>Manganese (FTM)</t>
    </r>
  </si>
  <si>
    <r>
      <t>MAGNESIO (TMF) /</t>
    </r>
    <r>
      <rPr>
        <i/>
        <sz val="9"/>
        <color theme="1"/>
        <rFont val="Calibri Light"/>
        <family val="2"/>
        <scheme val="major"/>
      </rPr>
      <t xml:space="preserve"> Magnesium (FTM)</t>
    </r>
  </si>
  <si>
    <t>CUADRO N° 03: PRODUCCIÓN MINERA METÁLICA SEGÚN DEPARTAMENTO</t>
  </si>
  <si>
    <t>METALLIC MINING PRODUCTION BY REGION</t>
  </si>
  <si>
    <r>
      <t xml:space="preserve">PRODUCTO / DEPARTAMENTO
</t>
    </r>
    <r>
      <rPr>
        <i/>
        <sz val="8"/>
        <color theme="1"/>
        <rFont val="Calibri Light"/>
        <family val="2"/>
        <scheme val="major"/>
      </rPr>
      <t>PRODUCT / REGION</t>
    </r>
  </si>
  <si>
    <r>
      <t>COBRE (TMF) /</t>
    </r>
    <r>
      <rPr>
        <i/>
        <sz val="9"/>
        <rFont val="Calibri Light"/>
        <family val="2"/>
        <scheme val="major"/>
      </rPr>
      <t xml:space="preserve"> Copper (FTM)</t>
    </r>
  </si>
  <si>
    <t>MOQUEGUA</t>
  </si>
  <si>
    <t>APURÍMAC</t>
  </si>
  <si>
    <t>AREQUIPA</t>
  </si>
  <si>
    <t>ÁNCASH</t>
  </si>
  <si>
    <t>TACNA</t>
  </si>
  <si>
    <t>JUNÍN</t>
  </si>
  <si>
    <t>ICA</t>
  </si>
  <si>
    <t>CUSCO</t>
  </si>
  <si>
    <t>PASCO</t>
  </si>
  <si>
    <t>LIMA</t>
  </si>
  <si>
    <t>CAJAMARCA</t>
  </si>
  <si>
    <t>HUANCAVELICA</t>
  </si>
  <si>
    <t>HUÁNUCO</t>
  </si>
  <si>
    <t>PUNO</t>
  </si>
  <si>
    <t>AYACUCHO</t>
  </si>
  <si>
    <r>
      <t>ORO* (G FINOS) /</t>
    </r>
    <r>
      <rPr>
        <i/>
        <sz val="8"/>
        <rFont val="Calibri Light"/>
        <family val="2"/>
        <scheme val="major"/>
      </rPr>
      <t xml:space="preserve"> Gold (fg)</t>
    </r>
  </si>
  <si>
    <t>LA LIBERTAD</t>
  </si>
  <si>
    <t>MADRE DE DIOS</t>
  </si>
  <si>
    <t>PIURA</t>
  </si>
  <si>
    <r>
      <t>ZINC (TMF) /</t>
    </r>
    <r>
      <rPr>
        <i/>
        <sz val="8"/>
        <rFont val="Calibri Light"/>
        <family val="2"/>
        <scheme val="major"/>
      </rPr>
      <t xml:space="preserve"> Zinc (FTM)</t>
    </r>
  </si>
  <si>
    <r>
      <t>PLATA (KG FINOS) /</t>
    </r>
    <r>
      <rPr>
        <i/>
        <sz val="8"/>
        <rFont val="Calibri Light"/>
        <family val="2"/>
        <scheme val="major"/>
      </rPr>
      <t xml:space="preserve"> Silver (fkg)</t>
    </r>
  </si>
  <si>
    <r>
      <t>PLOMO (TMF) /</t>
    </r>
    <r>
      <rPr>
        <i/>
        <sz val="8"/>
        <rFont val="Calibri Light"/>
        <family val="2"/>
        <scheme val="major"/>
      </rPr>
      <t xml:space="preserve"> Lead (FTM)</t>
    </r>
  </si>
  <si>
    <r>
      <t>HIERRO (TMF) /</t>
    </r>
    <r>
      <rPr>
        <i/>
        <sz val="8"/>
        <rFont val="Calibri Light"/>
        <family val="2"/>
        <scheme val="major"/>
      </rPr>
      <t xml:space="preserve"> Iron (FTM)</t>
    </r>
  </si>
  <si>
    <r>
      <t xml:space="preserve">ESTAÑO (TMF) / </t>
    </r>
    <r>
      <rPr>
        <i/>
        <sz val="8"/>
        <rFont val="Calibri Light"/>
        <family val="2"/>
        <scheme val="major"/>
      </rPr>
      <t>Tin (FTM)</t>
    </r>
  </si>
  <si>
    <r>
      <t>MOLIBDENO (TMF) /</t>
    </r>
    <r>
      <rPr>
        <i/>
        <sz val="8"/>
        <rFont val="Calibri Light"/>
        <family val="2"/>
        <scheme val="major"/>
      </rPr>
      <t xml:space="preserve"> Molybdenum (FTM)</t>
    </r>
  </si>
  <si>
    <r>
      <t>ARSÉNICO (TMF) /</t>
    </r>
    <r>
      <rPr>
        <i/>
        <sz val="8"/>
        <rFont val="Calibri Light"/>
        <family val="2"/>
        <scheme val="major"/>
      </rPr>
      <t xml:space="preserve"> Arsenic (FTM)</t>
    </r>
  </si>
  <si>
    <r>
      <t>BISMUTO (TMF) /</t>
    </r>
    <r>
      <rPr>
        <i/>
        <sz val="8"/>
        <rFont val="Calibri Light"/>
        <family val="2"/>
        <scheme val="major"/>
      </rPr>
      <t xml:space="preserve"> Bismuth (FTM)</t>
    </r>
  </si>
  <si>
    <r>
      <t>CADMIO (TMF) /</t>
    </r>
    <r>
      <rPr>
        <i/>
        <sz val="8"/>
        <rFont val="Calibri Light"/>
        <family val="2"/>
        <scheme val="major"/>
      </rPr>
      <t xml:space="preserve"> Cadmium (FTM)</t>
    </r>
  </si>
  <si>
    <r>
      <t>MANGANESO (TMF) /</t>
    </r>
    <r>
      <rPr>
        <i/>
        <sz val="8"/>
        <rFont val="Calibri Light"/>
        <family val="2"/>
        <scheme val="major"/>
      </rPr>
      <t xml:space="preserve"> Manganese (FTM)</t>
    </r>
  </si>
  <si>
    <r>
      <t>MAGNESIO (TMF) /</t>
    </r>
    <r>
      <rPr>
        <sz val="8"/>
        <rFont val="Calibri Light"/>
        <family val="2"/>
        <scheme val="major"/>
      </rPr>
      <t xml:space="preserve"> Magnesium (FTM)</t>
    </r>
  </si>
  <si>
    <r>
      <t xml:space="preserve">Feb. 2025
</t>
    </r>
    <r>
      <rPr>
        <i/>
        <sz val="10"/>
        <color rgb="FF000000"/>
        <rFont val="Calibri Light"/>
        <family val="2"/>
        <scheme val="major"/>
      </rPr>
      <t>(Feb</t>
    </r>
    <r>
      <rPr>
        <i/>
        <sz val="8"/>
        <color rgb="FF000000"/>
        <rFont val="Calibri Light"/>
        <family val="2"/>
        <scheme val="major"/>
      </rPr>
      <t>. 2025)</t>
    </r>
  </si>
  <si>
    <r>
      <t xml:space="preserve">Feb. 2026
</t>
    </r>
    <r>
      <rPr>
        <i/>
        <sz val="8"/>
        <color rgb="FF000000"/>
        <rFont val="Calibri Light"/>
        <family val="2"/>
        <scheme val="major"/>
      </rPr>
      <t>(Feb. 2026)</t>
    </r>
  </si>
  <si>
    <r>
      <rPr>
        <u/>
        <sz val="10"/>
        <color theme="1"/>
        <rFont val="Calibri Light"/>
        <family val="2"/>
        <scheme val="major"/>
      </rPr>
      <t>Fuente</t>
    </r>
    <r>
      <rPr>
        <sz val="10"/>
        <color theme="1"/>
        <rFont val="Calibri Light"/>
        <family val="2"/>
        <scheme val="major"/>
      </rPr>
      <t xml:space="preserve">:  Dirección de Gestión Minera, DGM. / </t>
    </r>
    <r>
      <rPr>
        <i/>
        <u/>
        <sz val="10"/>
        <color theme="1"/>
        <rFont val="Calibri Light"/>
        <family val="2"/>
        <scheme val="major"/>
      </rPr>
      <t>Source</t>
    </r>
    <r>
      <rPr>
        <i/>
        <sz val="10"/>
        <color theme="1"/>
        <rFont val="Calibri Light"/>
        <family val="2"/>
        <scheme val="major"/>
      </rPr>
      <t>: Mining Management Directorate, MMD.</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26 de marzo de 2026. / </t>
    </r>
    <r>
      <rPr>
        <i/>
        <u/>
        <sz val="10"/>
        <color theme="1"/>
        <rFont val="Calibri Light"/>
        <family val="2"/>
        <scheme val="major"/>
      </rPr>
      <t>Date of consultation</t>
    </r>
    <r>
      <rPr>
        <i/>
        <sz val="10"/>
        <color theme="1"/>
        <rFont val="Calibri Light"/>
        <family val="2"/>
        <scheme val="major"/>
      </rPr>
      <t>: March 26,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General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GDPMS.</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</si>
  <si>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t xml:space="preserve">2026
(Ene-Feb)
</t>
    </r>
    <r>
      <rPr>
        <i/>
        <sz val="10"/>
        <color rgb="FF000000"/>
        <rFont val="Calibri Light"/>
        <family val="2"/>
        <scheme val="major"/>
      </rPr>
      <t>(Jan-Feb.)</t>
    </r>
  </si>
  <si>
    <r>
      <t xml:space="preserve">ENERO - FEBRERO
</t>
    </r>
    <r>
      <rPr>
        <i/>
        <sz val="9"/>
        <color theme="1"/>
        <rFont val="Calibri Light"/>
        <family val="2"/>
        <scheme val="major"/>
      </rPr>
      <t>January -February</t>
    </r>
  </si>
  <si>
    <r>
      <t>FEBRERO</t>
    </r>
    <r>
      <rPr>
        <i/>
        <sz val="10"/>
        <color theme="1"/>
        <rFont val="Calibri Light"/>
        <family val="2"/>
        <scheme val="major"/>
      </rPr>
      <t xml:space="preserve">
February</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</si>
  <si>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26 de marzo de 2026. / </t>
    </r>
    <r>
      <rPr>
        <i/>
        <u/>
        <sz val="10"/>
        <color theme="1"/>
        <rFont val="Calibri Light"/>
        <family val="2"/>
        <scheme val="major"/>
      </rPr>
      <t>Date of consultation</t>
    </r>
    <r>
      <rPr>
        <i/>
        <sz val="10"/>
        <color theme="1"/>
        <rFont val="Calibri Light"/>
        <family val="2"/>
        <scheme val="major"/>
      </rPr>
      <t>: March 26,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(*)Incluye producción cuprífera por proceso de flotación (TMF), lixiviación y electro-obtención (TM). / </t>
    </r>
    <r>
      <rPr>
        <i/>
        <sz val="10"/>
        <color theme="1"/>
        <rFont val="Calibri Light"/>
        <family val="2"/>
        <scheme val="major"/>
      </rPr>
      <t>(*) Includes copper production through flotation process (FMT), leaching, and electrowinning (MT).</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</si>
  <si>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t xml:space="preserve">FEBRERO
</t>
    </r>
    <r>
      <rPr>
        <i/>
        <sz val="8"/>
        <color theme="1"/>
        <rFont val="Calibri Light"/>
        <family val="2"/>
        <scheme val="major"/>
      </rPr>
      <t>February</t>
    </r>
  </si>
  <si>
    <r>
      <t xml:space="preserve">ENERO - FEBRERO
</t>
    </r>
    <r>
      <rPr>
        <i/>
        <sz val="8"/>
        <color theme="1"/>
        <rFont val="Calibri Light"/>
        <family val="2"/>
        <scheme val="major"/>
      </rPr>
      <t>January -February</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</si>
  <si>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26 de marzo de 2026. /</t>
    </r>
    <r>
      <rPr>
        <i/>
        <sz val="10"/>
        <color theme="1"/>
        <rFont val="Calibri Light"/>
        <family val="2"/>
        <scheme val="major"/>
      </rPr>
      <t xml:space="preserve"> </t>
    </r>
    <r>
      <rPr>
        <i/>
        <u/>
        <sz val="10"/>
        <color theme="1"/>
        <rFont val="Calibri Light"/>
        <family val="2"/>
        <scheme val="major"/>
      </rPr>
      <t>Date of consultation</t>
    </r>
    <r>
      <rPr>
        <i/>
        <sz val="10"/>
        <color theme="1"/>
        <rFont val="Calibri Light"/>
        <family val="2"/>
        <scheme val="major"/>
      </rPr>
      <t>: March 26,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Dirección de Promoción y Sostenibilidad Minera, DGPSM. /</t>
    </r>
    <r>
      <rPr>
        <i/>
        <sz val="10"/>
        <color theme="1"/>
        <rFont val="Calibri Light"/>
        <family val="2"/>
        <scheme val="major"/>
      </rPr>
      <t xml:space="preserve">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 Información preliminar. Incluye producción aurífera estimada de mineros artesanales de Madre de Dios, Puno, Piura y Arequipa. /</t>
    </r>
    <r>
      <rPr>
        <i/>
        <sz val="10"/>
        <color theme="1"/>
        <rFont val="Calibri Light"/>
        <family val="2"/>
        <scheme val="major"/>
      </rPr>
      <t xml:space="preserve"> (*) Preliminary information. Includes estimated gold production from artisanal miners in Madre de Dios, Puno, Piura, and Arequipa.</t>
    </r>
    <r>
      <rPr>
        <sz val="10"/>
        <color theme="1"/>
        <rFont val="Calibri Light"/>
        <family val="2"/>
        <scheme val="major"/>
      </rPr>
      <t xml:space="preserve">
(**) Contempla la producción metálica de molibdeno de los departamentos de Apurímac, Cusco y Junín (el titular Minera Chinalco Perú S.A. es el único que reporta molibdeno como subproducto dentro del proceso de flotación en planta para la obtención de cobre como su producto principal. Es importante mencionar que, para efectos estadísticos se está contemplando tanto la producción de producto principal como subproducto; no obstante, se precisa que Minera Chinalco Perú S.A no produce ni comercializa molibdeno). / </t>
    </r>
    <r>
      <rPr>
        <i/>
        <sz val="10"/>
        <color theme="1"/>
        <rFont val="Calibri Light"/>
        <family val="2"/>
        <scheme val="major"/>
      </rPr>
      <t>It considers the metallic molybdenum production from the departments of Apurímac, Cusco, and Junín (the titleholder Minera Chinalco Perú S.A. is the only company reporting molybdenum as a byproduct within the flotation plant process for obtaining copper as its main product. It is important to mention that, for statistical purposes, both main product and byproduct production are taken into account; however, it should be noted that Minera Chinalco Perú S.A. neither produces nor markets molybdenum).</t>
    </r>
  </si>
  <si>
    <t>OTROS (2025: 3 titulares mineros, 2026: 3 titulares mineros)</t>
  </si>
  <si>
    <t>OTROS** (2025: 3 departamentos, 2026: 3 departamentos)</t>
  </si>
  <si>
    <r>
      <t xml:space="preserve">Ene-Feb 2025
</t>
    </r>
    <r>
      <rPr>
        <i/>
        <sz val="8"/>
        <color theme="1"/>
        <rFont val="Calibri Light"/>
        <family val="2"/>
        <scheme val="major"/>
      </rPr>
      <t>(Jan-Feb. 2025)</t>
    </r>
  </si>
  <si>
    <r>
      <t xml:space="preserve">Ene-Feb 2026
</t>
    </r>
    <r>
      <rPr>
        <i/>
        <sz val="8"/>
        <color theme="1"/>
        <rFont val="Calibri Light"/>
        <family val="2"/>
        <scheme val="major"/>
      </rPr>
      <t>(Jan-Feb. 2026)</t>
    </r>
  </si>
  <si>
    <r>
      <t xml:space="preserve">Ene. 2026
</t>
    </r>
    <r>
      <rPr>
        <i/>
        <sz val="8"/>
        <color rgb="FF000000"/>
        <rFont val="Calibri Light"/>
        <family val="2"/>
        <scheme val="major"/>
      </rPr>
      <t>(Jan. 2026)</t>
    </r>
  </si>
  <si>
    <r>
      <rPr>
        <u/>
        <sz val="10"/>
        <color rgb="FF000000"/>
        <rFont val="Calibri Light"/>
        <family val="2"/>
        <scheme val="major"/>
      </rPr>
      <t>Fuente</t>
    </r>
    <r>
      <rPr>
        <sz val="10"/>
        <color rgb="FF000000"/>
        <rFont val="Calibri Light"/>
        <family val="2"/>
        <scheme val="major"/>
      </rPr>
      <t xml:space="preserve">:  Dirección de Gestión Minera, DGM. / </t>
    </r>
    <r>
      <rPr>
        <i/>
        <u/>
        <sz val="10"/>
        <color rgb="FF000000"/>
        <rFont val="Calibri Light"/>
        <family val="2"/>
        <scheme val="major"/>
      </rPr>
      <t>Source</t>
    </r>
    <r>
      <rPr>
        <i/>
        <sz val="10"/>
        <color rgb="FF000000"/>
        <rFont val="Calibri Light"/>
        <family val="2"/>
        <scheme val="major"/>
      </rPr>
      <t>: General Directorate of Mining, DGM.</t>
    </r>
    <r>
      <rPr>
        <sz val="10"/>
        <color rgb="FF000000"/>
        <rFont val="Calibri Light"/>
        <family val="2"/>
        <scheme val="major"/>
      </rPr>
      <t xml:space="preserve">
</t>
    </r>
    <r>
      <rPr>
        <u/>
        <sz val="10"/>
        <color rgb="FF000000"/>
        <rFont val="Calibri Light"/>
        <family val="2"/>
        <scheme val="major"/>
      </rPr>
      <t>Fecha de consulta</t>
    </r>
    <r>
      <rPr>
        <sz val="10"/>
        <color rgb="FF000000"/>
        <rFont val="Calibri Light"/>
        <family val="2"/>
        <scheme val="major"/>
      </rPr>
      <t>: 26 de marzo de 2026. /</t>
    </r>
    <r>
      <rPr>
        <i/>
        <sz val="10"/>
        <color rgb="FF000000"/>
        <rFont val="Calibri Light"/>
        <family val="2"/>
        <scheme val="major"/>
      </rPr>
      <t xml:space="preserve"> </t>
    </r>
    <r>
      <rPr>
        <i/>
        <u/>
        <sz val="10"/>
        <color rgb="FF000000"/>
        <rFont val="Calibri Light"/>
        <family val="2"/>
        <scheme val="major"/>
      </rPr>
      <t>Date of consultation</t>
    </r>
    <r>
      <rPr>
        <i/>
        <sz val="10"/>
        <color rgb="FF000000"/>
        <rFont val="Calibri Light"/>
        <family val="2"/>
        <scheme val="major"/>
      </rPr>
      <t>: March 26, 2026.</t>
    </r>
    <r>
      <rPr>
        <sz val="10"/>
        <color rgb="FF000000"/>
        <rFont val="Calibri Light"/>
        <family val="2"/>
        <scheme val="major"/>
      </rPr>
      <t xml:space="preserve">
</t>
    </r>
    <r>
      <rPr>
        <u/>
        <sz val="10"/>
        <color rgb="FF000000"/>
        <rFont val="Calibri Light"/>
        <family val="2"/>
        <scheme val="major"/>
      </rPr>
      <t>Elaboración</t>
    </r>
    <r>
      <rPr>
        <sz val="10"/>
        <color rgb="FF000000"/>
        <rFont val="Calibri Light"/>
        <family val="2"/>
        <scheme val="major"/>
      </rPr>
      <t xml:space="preserve">: Dirección General de Promoción y Sostenibilidad Minera, DGPSM. / </t>
    </r>
    <r>
      <rPr>
        <i/>
        <u/>
        <sz val="10"/>
        <color rgb="FF000000"/>
        <rFont val="Calibri Light"/>
        <family val="2"/>
        <scheme val="major"/>
      </rPr>
      <t>Prepared by</t>
    </r>
    <r>
      <rPr>
        <i/>
        <sz val="10"/>
        <color rgb="FF000000"/>
        <rFont val="Calibri Light"/>
        <family val="2"/>
        <scheme val="major"/>
      </rPr>
      <t>: General Directorate of Mining Promotion and Sustainability, DGPSM.</t>
    </r>
    <r>
      <rPr>
        <sz val="10"/>
        <color rgb="FF000000"/>
        <rFont val="Calibri Light"/>
        <family val="2"/>
        <scheme val="major"/>
      </rPr>
      <t xml:space="preserve">
(*) Información preliminar. Incluye producción aurífera estimada de mineros artesanales de Madre de Dios, Puno, Piura y Arequipa. / </t>
    </r>
    <r>
      <rPr>
        <i/>
        <sz val="10"/>
        <color rgb="FF000000"/>
        <rFont val="Calibri Light"/>
        <family val="2"/>
        <scheme val="major"/>
      </rPr>
      <t>(*) Preliminary information. Includes estimated gold production from artisanal miners in Madre de Dios, Puno, Piura, and Arequipa.</t>
    </r>
    <r>
      <rPr>
        <sz val="10"/>
        <color rgb="FF000000"/>
        <rFont val="Calibri Light"/>
        <family val="2"/>
        <scheme val="major"/>
      </rPr>
      <t xml:space="preserve">
N/D: Información no disponible / </t>
    </r>
    <r>
      <rPr>
        <i/>
        <sz val="10"/>
        <color rgb="FF000000"/>
        <rFont val="Calibri Light"/>
        <family val="2"/>
        <scheme val="major"/>
      </rPr>
      <t>N/A: Information not available.</t>
    </r>
  </si>
  <si>
    <r>
      <t xml:space="preserve">VARIACIÓN INTERANUAL ACUMULADA ENERO-FEBRERO / </t>
    </r>
    <r>
      <rPr>
        <i/>
        <sz val="8"/>
        <color rgb="FF000000"/>
        <rFont val="Calibri Light"/>
        <family val="2"/>
        <scheme val="major"/>
      </rPr>
      <t>CUMULATIVE YEAR-OVER-YEAR VARIATION, JANUARY–FEBRUARY</t>
    </r>
  </si>
  <si>
    <t>OTROS (2025: 38 titulares mineros, 2026: 36 titulares mineros)</t>
  </si>
  <si>
    <t>COMPAÑIA MINERA COIMOLACHE S.A.</t>
  </si>
  <si>
    <t>OTROS (2025: 231 titulares mineros, 2026: 227 titulares mineros)</t>
  </si>
  <si>
    <t>EMPRESA MINERA LOS QUENUALES S.A.C.</t>
  </si>
  <si>
    <t>MINERA COLQUISIRI S.A.</t>
  </si>
  <si>
    <t>OTROS (2025: 24 titulares mineros, 2026: 25 titulares mineros)</t>
  </si>
  <si>
    <t>OTROS (2025: 73 titulares mineros, 2026: 67 titulares mineros)</t>
  </si>
  <si>
    <t>SOCIEDAD MINERA CORONA S.A.</t>
  </si>
  <si>
    <t>OTROS (2025: 24 titulares mineros, 2026: 24 titulares mineros)</t>
  </si>
  <si>
    <r>
      <t xml:space="preserve">VARIACIÓN INTERANUAL, FEBRERO / </t>
    </r>
    <r>
      <rPr>
        <i/>
        <sz val="8"/>
        <color rgb="FF000000"/>
        <rFont val="Calibri Light"/>
        <family val="2"/>
        <scheme val="major"/>
      </rPr>
      <t>YEAR-OVER-YEAR VARIATION, FEBRUARY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</si>
</sst>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_-* #,##0_-;\-* #,##0_-;_-* &quot;-&quot;??_-;_-@_-"/>
    <numFmt numFmtId="166" formatCode="0.0%"/>
    <numFmt numFmtId="167" formatCode="_ * #,##0.00_ ;_ * \-#,##0.00_ ;_ * &quot;-&quot;??_ ;_ @_ "/>
    <numFmt numFmtId="168" formatCode="_ * #,##0_ ;_ * \-#,##0_ ;_ * &quot;-&quot;??_ ;_ @_ "/>
    <numFmt numFmtId="169" formatCode="0.000%"/>
  </numFmts>
  <fonts count="33" x14ac:knownFonts="1">
    <font>
      <sz val="11"/>
      <color theme="1"/>
      <name val="Calibri"/>
      <family val="2"/>
      <scheme val="minor"/>
    </font>
    <font>
      <sz val="11"/>
      <color theme="1"/>
      <name val="Calibri"/>
      <family val="2"/>
      <scheme val="minor"/>
    </font>
    <font>
      <sz val="11"/>
      <color rgb="FF000000"/>
      <name val="Calibri"/>
      <family val="2"/>
    </font>
    <font>
      <b/>
      <sz val="12"/>
      <color rgb="FF000000"/>
      <name val="Calibri Light"/>
      <family val="2"/>
      <scheme val="major"/>
    </font>
    <font>
      <sz val="10"/>
      <color theme="1"/>
      <name val="Calibri Light"/>
      <family val="2"/>
      <scheme val="major"/>
    </font>
    <font>
      <i/>
      <sz val="9"/>
      <color rgb="FF000000"/>
      <name val="Calibri Light"/>
      <family val="2"/>
      <scheme val="major"/>
    </font>
    <font>
      <b/>
      <sz val="10"/>
      <color rgb="FF000000"/>
      <name val="Calibri Light"/>
      <family val="2"/>
      <scheme val="major"/>
    </font>
    <font>
      <sz val="10"/>
      <color rgb="FF000000"/>
      <name val="Calibri Light"/>
      <family val="2"/>
      <scheme val="major"/>
    </font>
    <font>
      <b/>
      <sz val="16"/>
      <color rgb="FF000000"/>
      <name val="Calibri Light"/>
      <family val="2"/>
      <scheme val="major"/>
    </font>
    <font>
      <sz val="10"/>
      <color theme="0"/>
      <name val="Calibri Light"/>
      <family val="2"/>
      <scheme val="major"/>
    </font>
    <font>
      <i/>
      <sz val="9"/>
      <color theme="1"/>
      <name val="Calibri Light"/>
      <family val="2"/>
      <scheme val="major"/>
    </font>
    <font>
      <b/>
      <sz val="10"/>
      <color theme="1"/>
      <name val="Calibri Light"/>
      <family val="2"/>
      <scheme val="major"/>
    </font>
    <font>
      <i/>
      <sz val="10"/>
      <color theme="1"/>
      <name val="Calibri Light"/>
      <family val="2"/>
      <scheme val="major"/>
    </font>
    <font>
      <i/>
      <sz val="8"/>
      <color rgb="FF000000"/>
      <name val="Calibri Light"/>
      <family val="2"/>
      <scheme val="major"/>
    </font>
    <font>
      <i/>
      <sz val="10"/>
      <color rgb="FF000000"/>
      <name val="Calibri Light"/>
      <family val="2"/>
      <scheme val="major"/>
    </font>
    <font>
      <sz val="10"/>
      <name val="Calibri Light"/>
      <family val="2"/>
      <scheme val="major"/>
    </font>
    <font>
      <b/>
      <sz val="10"/>
      <name val="Calibri Light"/>
      <family val="2"/>
      <scheme val="major"/>
    </font>
    <font>
      <sz val="9"/>
      <color theme="1"/>
      <name val="Calibri"/>
      <family val="2"/>
      <scheme val="minor"/>
    </font>
    <font>
      <i/>
      <sz val="8"/>
      <color theme="1"/>
      <name val="Calibri Light"/>
      <family val="2"/>
      <scheme val="major"/>
    </font>
    <font>
      <u/>
      <sz val="10"/>
      <color rgb="FF000000"/>
      <name val="Calibri Light"/>
      <family val="2"/>
      <scheme val="major"/>
    </font>
    <font>
      <i/>
      <u/>
      <sz val="10"/>
      <color rgb="FF000000"/>
      <name val="Calibri Light"/>
      <family val="2"/>
      <scheme val="major"/>
    </font>
    <font>
      <sz val="11"/>
      <color theme="0"/>
      <name val="Calibri Light"/>
      <family val="2"/>
      <scheme val="major"/>
    </font>
    <font>
      <sz val="11"/>
      <color theme="1"/>
      <name val="Calibri Light"/>
      <family val="2"/>
      <scheme val="major"/>
    </font>
    <font>
      <b/>
      <sz val="10"/>
      <color indexed="8"/>
      <name val="Calibri Light"/>
      <family val="2"/>
      <scheme val="major"/>
    </font>
    <font>
      <u/>
      <sz val="10"/>
      <color theme="1"/>
      <name val="Calibri Light"/>
      <family val="2"/>
      <scheme val="major"/>
    </font>
    <font>
      <i/>
      <u/>
      <sz val="10"/>
      <color theme="1"/>
      <name val="Calibri Light"/>
      <family val="2"/>
      <scheme val="major"/>
    </font>
    <font>
      <b/>
      <sz val="12"/>
      <color theme="1"/>
      <name val="Calibri Light"/>
      <family val="2"/>
      <scheme val="major"/>
    </font>
    <font>
      <b/>
      <i/>
      <sz val="10"/>
      <color theme="0" tint="-0.499984740745262"/>
      <name val="Calibri Light"/>
      <family val="2"/>
      <scheme val="major"/>
    </font>
    <font>
      <b/>
      <sz val="11"/>
      <color theme="1"/>
      <name val="Calibri Light"/>
      <family val="2"/>
      <scheme val="major"/>
    </font>
    <font>
      <b/>
      <sz val="12"/>
      <name val="Calibri Light"/>
      <family val="2"/>
      <scheme val="major"/>
    </font>
    <font>
      <i/>
      <sz val="9"/>
      <name val="Calibri Light"/>
      <family val="2"/>
      <scheme val="major"/>
    </font>
    <font>
      <i/>
      <sz val="8"/>
      <name val="Calibri Light"/>
      <family val="2"/>
      <scheme val="major"/>
    </font>
    <font>
      <sz val="8"/>
      <name val="Calibri Light"/>
      <family val="2"/>
      <scheme val="major"/>
    </font>
  </fonts>
  <fills count="10">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2" tint="-9.9978637043366805E-2"/>
        <bgColor indexed="64"/>
      </patternFill>
    </fill>
    <fill>
      <patternFill patternType="solid">
        <fgColor rgb="FFF2F2F2"/>
        <bgColor rgb="FFFFFFFF"/>
      </patternFill>
    </fill>
    <fill>
      <patternFill patternType="solid">
        <fgColor rgb="FFD9D9D9"/>
        <bgColor rgb="FFFFFFFF"/>
      </patternFill>
    </fill>
    <fill>
      <patternFill patternType="solid">
        <fgColor theme="0" tint="-0.14999847407452621"/>
        <bgColor indexed="64"/>
      </patternFill>
    </fill>
    <fill>
      <patternFill patternType="solid">
        <fgColor theme="0" tint="-0.14999847407452621"/>
        <bgColor rgb="FFFFFFFF"/>
      </patternFill>
    </fill>
    <fill>
      <patternFill patternType="solid">
        <fgColor rgb="FFD0CECE"/>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7" fillId="3" borderId="0">
      <alignment horizontal="left"/>
    </xf>
    <xf numFmtId="167" fontId="1" fillId="0" borderId="0" applyFont="0" applyFill="0" applyBorder="0" applyAlignment="0" applyProtection="0"/>
  </cellStyleXfs>
  <cellXfs count="257">
    <xf numFmtId="0" fontId="0" fillId="0" borderId="0" xfId="0"/>
    <xf numFmtId="0" fontId="3" fillId="2" borderId="0" xfId="3" applyFont="1" applyFill="1" applyAlignment="1">
      <alignment vertical="center"/>
    </xf>
    <xf numFmtId="0" fontId="4" fillId="3" borderId="0" xfId="0" applyFont="1" applyFill="1" applyAlignment="1">
      <alignment vertical="center"/>
    </xf>
    <xf numFmtId="0" fontId="6" fillId="2" borderId="0" xfId="3" applyFont="1" applyFill="1" applyAlignment="1">
      <alignment horizontal="center" vertical="center"/>
    </xf>
    <xf numFmtId="0" fontId="6" fillId="2" borderId="0" xfId="3" applyFont="1" applyFill="1" applyAlignment="1">
      <alignment vertical="center"/>
    </xf>
    <xf numFmtId="0" fontId="7" fillId="2" borderId="0" xfId="3" applyFont="1" applyFill="1" applyAlignment="1">
      <alignment horizontal="center" vertical="center"/>
    </xf>
    <xf numFmtId="0" fontId="7" fillId="0" borderId="0" xfId="3" applyFont="1" applyAlignment="1">
      <alignment horizontal="center" vertical="center"/>
    </xf>
    <xf numFmtId="0" fontId="8" fillId="0" borderId="0" xfId="3" applyFont="1" applyAlignment="1">
      <alignment horizontal="center" vertical="center"/>
    </xf>
    <xf numFmtId="0" fontId="9" fillId="3" borderId="0" xfId="0" applyFont="1" applyFill="1" applyAlignment="1">
      <alignment vertical="center"/>
    </xf>
    <xf numFmtId="0" fontId="3" fillId="2" borderId="0" xfId="3" applyFont="1" applyFill="1" applyAlignment="1">
      <alignment horizontal="left" vertical="center" wrapText="1"/>
    </xf>
    <xf numFmtId="0" fontId="10" fillId="0" borderId="0" xfId="0" applyFont="1" applyAlignment="1">
      <alignment vertical="center"/>
    </xf>
    <xf numFmtId="0" fontId="11" fillId="4" borderId="1" xfId="3" applyFont="1" applyFill="1" applyBorder="1" applyAlignment="1">
      <alignment horizontal="center" vertical="center" wrapText="1"/>
    </xf>
    <xf numFmtId="0" fontId="11" fillId="4" borderId="2"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9" fillId="3" borderId="0" xfId="0" applyFont="1" applyFill="1" applyAlignment="1">
      <alignment horizontal="center" vertical="center" wrapText="1"/>
    </xf>
    <xf numFmtId="0" fontId="4" fillId="3" borderId="0" xfId="0" applyFont="1" applyFill="1" applyAlignment="1">
      <alignment horizontal="center" vertical="center" wrapText="1"/>
    </xf>
    <xf numFmtId="0" fontId="7" fillId="0" borderId="4"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xf>
    <xf numFmtId="3" fontId="7" fillId="0" borderId="0" xfId="3" applyNumberFormat="1" applyFont="1" applyAlignment="1">
      <alignment horizontal="center" vertical="center"/>
    </xf>
    <xf numFmtId="3" fontId="7" fillId="0" borderId="8" xfId="3" applyNumberFormat="1" applyFont="1" applyBorder="1" applyAlignment="1">
      <alignment horizontal="center" vertical="center"/>
    </xf>
    <xf numFmtId="3" fontId="9" fillId="0" borderId="0" xfId="3" applyNumberFormat="1" applyFont="1" applyAlignment="1">
      <alignment horizontal="center" vertical="center"/>
    </xf>
    <xf numFmtId="43" fontId="4" fillId="3" borderId="0" xfId="1" applyFont="1" applyFill="1" applyAlignment="1">
      <alignment vertical="center"/>
    </xf>
    <xf numFmtId="3" fontId="4" fillId="3" borderId="0" xfId="0" applyNumberFormat="1" applyFont="1" applyFill="1" applyAlignment="1">
      <alignment vertical="center"/>
    </xf>
    <xf numFmtId="0" fontId="6" fillId="4" borderId="9" xfId="3" applyFont="1" applyFill="1" applyBorder="1" applyAlignment="1">
      <alignment horizontal="center" vertical="center" wrapText="1"/>
    </xf>
    <xf numFmtId="3" fontId="6" fillId="4" borderId="10" xfId="3" applyNumberFormat="1" applyFont="1" applyFill="1" applyBorder="1" applyAlignment="1">
      <alignment horizontal="center" vertical="center"/>
    </xf>
    <xf numFmtId="2" fontId="7" fillId="0" borderId="1" xfId="3" applyNumberFormat="1" applyFont="1" applyBorder="1" applyAlignment="1">
      <alignment horizontal="center" vertical="center" wrapText="1"/>
    </xf>
    <xf numFmtId="3" fontId="9" fillId="2" borderId="0" xfId="3" applyNumberFormat="1" applyFont="1" applyFill="1" applyAlignment="1">
      <alignment horizontal="center" vertical="center"/>
    </xf>
    <xf numFmtId="165" fontId="4" fillId="3" borderId="0" xfId="1" applyNumberFormat="1" applyFont="1" applyFill="1" applyAlignment="1">
      <alignment vertical="center"/>
    </xf>
    <xf numFmtId="2" fontId="7" fillId="0" borderId="7" xfId="3" applyNumberFormat="1" applyFont="1" applyBorder="1" applyAlignment="1">
      <alignment horizontal="center" vertical="center"/>
    </xf>
    <xf numFmtId="3" fontId="7" fillId="2" borderId="0" xfId="3" applyNumberFormat="1" applyFont="1" applyFill="1" applyAlignment="1">
      <alignment horizontal="center" vertical="center"/>
    </xf>
    <xf numFmtId="164" fontId="7" fillId="2" borderId="8" xfId="3" applyNumberFormat="1" applyFont="1" applyFill="1" applyBorder="1" applyAlignment="1">
      <alignment horizontal="center" vertical="center"/>
    </xf>
    <xf numFmtId="2" fontId="7" fillId="2" borderId="7" xfId="3" applyNumberFormat="1" applyFont="1" applyFill="1" applyBorder="1" applyAlignment="1">
      <alignment horizontal="left" vertical="center"/>
    </xf>
    <xf numFmtId="0" fontId="6" fillId="5" borderId="9" xfId="3" applyFont="1" applyFill="1" applyBorder="1" applyAlignment="1">
      <alignment horizontal="left" vertical="center"/>
    </xf>
    <xf numFmtId="0" fontId="7" fillId="5" borderId="10" xfId="3" applyFont="1" applyFill="1" applyBorder="1" applyAlignment="1">
      <alignment horizontal="center" vertical="center"/>
    </xf>
    <xf numFmtId="3" fontId="7" fillId="5" borderId="10" xfId="3" applyNumberFormat="1" applyFont="1" applyFill="1" applyBorder="1" applyAlignment="1">
      <alignment horizontal="center" vertical="center"/>
    </xf>
    <xf numFmtId="0" fontId="7" fillId="5" borderId="11" xfId="3" applyFont="1" applyFill="1" applyBorder="1" applyAlignment="1">
      <alignment horizontal="center" vertical="center"/>
    </xf>
    <xf numFmtId="0" fontId="4" fillId="3" borderId="0" xfId="0" applyFont="1" applyFill="1" applyAlignment="1">
      <alignment horizontal="left" vertical="center"/>
    </xf>
    <xf numFmtId="0" fontId="7" fillId="2" borderId="7" xfId="3" applyFont="1" applyFill="1" applyBorder="1" applyAlignment="1">
      <alignment horizontal="center" vertical="center" wrapText="1"/>
    </xf>
    <xf numFmtId="0" fontId="7" fillId="2" borderId="4" xfId="3" applyFont="1" applyFill="1" applyBorder="1" applyAlignment="1">
      <alignment horizontal="center" vertical="center" wrapText="1"/>
    </xf>
    <xf numFmtId="3" fontId="9" fillId="3" borderId="0" xfId="0" applyNumberFormat="1" applyFont="1" applyFill="1" applyAlignment="1">
      <alignment vertical="center"/>
    </xf>
    <xf numFmtId="0" fontId="6" fillId="6" borderId="9" xfId="3" applyFont="1" applyFill="1" applyBorder="1" applyAlignment="1">
      <alignment horizontal="center" vertical="center"/>
    </xf>
    <xf numFmtId="166" fontId="6" fillId="6" borderId="10" xfId="3" applyNumberFormat="1" applyFont="1" applyFill="1" applyBorder="1" applyAlignment="1">
      <alignment horizontal="center" vertical="center"/>
    </xf>
    <xf numFmtId="166" fontId="16" fillId="6" borderId="10" xfId="3" applyNumberFormat="1" applyFont="1" applyFill="1" applyBorder="1" applyAlignment="1">
      <alignment horizontal="center" vertical="center"/>
    </xf>
    <xf numFmtId="166" fontId="6" fillId="6" borderId="11" xfId="3" applyNumberFormat="1" applyFont="1" applyFill="1" applyBorder="1" applyAlignment="1">
      <alignment horizontal="center" vertical="center"/>
    </xf>
    <xf numFmtId="0" fontId="4" fillId="3" borderId="7" xfId="4" applyFont="1" applyBorder="1" applyAlignment="1">
      <alignment horizontal="center" vertical="center" wrapText="1"/>
    </xf>
    <xf numFmtId="0" fontId="16" fillId="7" borderId="9" xfId="4" applyFont="1" applyFill="1" applyBorder="1" applyAlignment="1">
      <alignment horizontal="center" vertical="center"/>
    </xf>
    <xf numFmtId="166" fontId="16" fillId="8" borderId="10" xfId="3" applyNumberFormat="1" applyFont="1" applyFill="1" applyBorder="1" applyAlignment="1">
      <alignment horizontal="center" vertical="center"/>
    </xf>
    <xf numFmtId="166" fontId="6" fillId="8" borderId="10" xfId="3" applyNumberFormat="1" applyFont="1" applyFill="1" applyBorder="1" applyAlignment="1">
      <alignment horizontal="center" vertical="center"/>
    </xf>
    <xf numFmtId="166" fontId="6" fillId="8" borderId="11" xfId="3" applyNumberFormat="1" applyFont="1" applyFill="1" applyBorder="1" applyAlignment="1">
      <alignment horizontal="center" vertical="center"/>
    </xf>
    <xf numFmtId="3" fontId="7" fillId="2" borderId="7" xfId="3" applyNumberFormat="1" applyFont="1" applyFill="1" applyBorder="1" applyAlignment="1">
      <alignment horizontal="center" vertical="center" wrapText="1"/>
    </xf>
    <xf numFmtId="3" fontId="15" fillId="3" borderId="0" xfId="4" applyNumberFormat="1" applyFont="1" applyAlignment="1">
      <alignment horizontal="center" vertical="center"/>
    </xf>
    <xf numFmtId="3" fontId="7" fillId="2" borderId="4" xfId="3" applyNumberFormat="1" applyFont="1" applyFill="1" applyBorder="1" applyAlignment="1">
      <alignment horizontal="center" vertical="center" wrapText="1"/>
    </xf>
    <xf numFmtId="0" fontId="6" fillId="8" borderId="9" xfId="3" applyFont="1" applyFill="1" applyBorder="1" applyAlignment="1">
      <alignment horizontal="center" vertical="center"/>
    </xf>
    <xf numFmtId="0" fontId="6" fillId="2" borderId="1" xfId="3" applyFont="1" applyFill="1" applyBorder="1" applyAlignment="1">
      <alignment horizontal="left" vertical="center"/>
    </xf>
    <xf numFmtId="10" fontId="6" fillId="2" borderId="2" xfId="3" applyNumberFormat="1" applyFont="1" applyFill="1" applyBorder="1" applyAlignment="1">
      <alignment horizontal="center" vertical="center"/>
    </xf>
    <xf numFmtId="10" fontId="16" fillId="2" borderId="2" xfId="3" applyNumberFormat="1" applyFont="1" applyFill="1" applyBorder="1" applyAlignment="1">
      <alignment horizontal="center" vertical="center"/>
    </xf>
    <xf numFmtId="10" fontId="6" fillId="2" borderId="3" xfId="3" applyNumberFormat="1" applyFont="1" applyFill="1" applyBorder="1" applyAlignment="1">
      <alignment horizontal="center" vertical="center"/>
    </xf>
    <xf numFmtId="0" fontId="21" fillId="0" borderId="0" xfId="0" applyFont="1" applyAlignment="1">
      <alignment vertical="center"/>
    </xf>
    <xf numFmtId="0" fontId="22" fillId="0" borderId="0" xfId="0" applyFont="1" applyAlignment="1">
      <alignment vertical="center"/>
    </xf>
    <xf numFmtId="0" fontId="4" fillId="3" borderId="5" xfId="0" applyFont="1" applyFill="1" applyBorder="1" applyAlignment="1">
      <alignment vertical="center"/>
    </xf>
    <xf numFmtId="10" fontId="22" fillId="0" borderId="0" xfId="0" applyNumberFormat="1" applyFont="1" applyAlignment="1">
      <alignment horizontal="center" vertical="center"/>
    </xf>
    <xf numFmtId="0" fontId="22" fillId="0" borderId="0" xfId="0" applyFont="1" applyAlignment="1">
      <alignment horizontal="center" vertical="center"/>
    </xf>
    <xf numFmtId="0" fontId="26" fillId="3" borderId="0" xfId="0" applyFont="1" applyFill="1" applyAlignment="1">
      <alignment horizontal="left" vertical="center"/>
    </xf>
    <xf numFmtId="168" fontId="4" fillId="3" borderId="0" xfId="5" applyNumberFormat="1" applyFont="1" applyFill="1" applyAlignment="1">
      <alignment horizontal="center" vertical="center"/>
    </xf>
    <xf numFmtId="10" fontId="4" fillId="3" borderId="0" xfId="2" applyNumberFormat="1" applyFont="1" applyFill="1" applyAlignment="1">
      <alignment horizontal="center" vertical="center"/>
    </xf>
    <xf numFmtId="0" fontId="10" fillId="3" borderId="0" xfId="4" applyFont="1" applyAlignment="1">
      <alignment horizontal="left" vertical="center"/>
    </xf>
    <xf numFmtId="168" fontId="27" fillId="3" borderId="0" xfId="5" applyNumberFormat="1" applyFont="1" applyFill="1" applyAlignment="1">
      <alignment horizontal="center" vertical="center"/>
    </xf>
    <xf numFmtId="10" fontId="27" fillId="3" borderId="0" xfId="2" applyNumberFormat="1" applyFont="1" applyFill="1" applyAlignment="1">
      <alignment horizontal="center" vertical="center"/>
    </xf>
    <xf numFmtId="0" fontId="4" fillId="3" borderId="0" xfId="4" applyFont="1" applyAlignment="1">
      <alignment horizontal="left" vertical="center"/>
    </xf>
    <xf numFmtId="0" fontId="11" fillId="4" borderId="12" xfId="4" applyFont="1" applyFill="1" applyBorder="1" applyAlignment="1">
      <alignment horizontal="left" vertical="center" wrapText="1"/>
    </xf>
    <xf numFmtId="0" fontId="22" fillId="4" borderId="12" xfId="0" applyFont="1" applyFill="1" applyBorder="1" applyAlignment="1">
      <alignment vertical="center"/>
    </xf>
    <xf numFmtId="0" fontId="4" fillId="0" borderId="14" xfId="4" applyFont="1" applyFill="1" applyBorder="1" applyAlignment="1">
      <alignment horizontal="left" vertical="center"/>
    </xf>
    <xf numFmtId="0" fontId="15" fillId="0" borderId="15" xfId="4" applyFont="1" applyFill="1" applyBorder="1" applyAlignment="1">
      <alignment horizontal="left" vertical="center"/>
    </xf>
    <xf numFmtId="0" fontId="28" fillId="4" borderId="12" xfId="0" applyFont="1" applyFill="1" applyBorder="1" applyAlignment="1">
      <alignment vertical="center"/>
    </xf>
    <xf numFmtId="0" fontId="4" fillId="0" borderId="15" xfId="4" applyFont="1" applyFill="1" applyBorder="1" applyAlignment="1">
      <alignment horizontal="left" vertical="center"/>
    </xf>
    <xf numFmtId="0" fontId="4" fillId="0" borderId="13" xfId="4" applyFont="1" applyFill="1" applyBorder="1" applyAlignment="1">
      <alignment horizontal="left" vertical="center"/>
    </xf>
    <xf numFmtId="0" fontId="28" fillId="9" borderId="12" xfId="0" applyFont="1" applyFill="1" applyBorder="1" applyAlignment="1">
      <alignment vertical="center"/>
    </xf>
    <xf numFmtId="0" fontId="5" fillId="2" borderId="0" xfId="3" applyFont="1" applyFill="1" applyAlignment="1">
      <alignment vertical="center"/>
    </xf>
    <xf numFmtId="0" fontId="29" fillId="3" borderId="0" xfId="0" applyFont="1" applyFill="1" applyAlignment="1">
      <alignment horizontal="left" vertical="center"/>
    </xf>
    <xf numFmtId="166" fontId="15" fillId="3" borderId="0" xfId="2" applyNumberFormat="1" applyFont="1" applyFill="1" applyAlignment="1">
      <alignment horizontal="center" vertical="center"/>
    </xf>
    <xf numFmtId="0" fontId="30" fillId="3" borderId="0" xfId="4" applyFont="1" applyAlignment="1">
      <alignment horizontal="left" vertical="center"/>
    </xf>
    <xf numFmtId="168" fontId="15" fillId="3" borderId="0" xfId="5" applyNumberFormat="1" applyFont="1" applyFill="1" applyAlignment="1">
      <alignment horizontal="center" vertical="center"/>
    </xf>
    <xf numFmtId="0" fontId="9" fillId="3" borderId="0" xfId="4" applyFont="1" applyAlignment="1">
      <alignment horizontal="left" vertical="center"/>
    </xf>
    <xf numFmtId="0" fontId="11" fillId="4" borderId="9" xfId="4" applyFont="1" applyFill="1" applyBorder="1" applyAlignment="1">
      <alignment horizontal="left" vertical="center" wrapText="1"/>
    </xf>
    <xf numFmtId="0" fontId="16" fillId="4" borderId="12" xfId="4" applyFont="1" applyFill="1" applyBorder="1" applyAlignment="1">
      <alignment horizontal="left" vertical="center"/>
    </xf>
    <xf numFmtId="0" fontId="15" fillId="3" borderId="14" xfId="4" applyFont="1" applyBorder="1" applyAlignment="1">
      <alignment horizontal="left" vertical="center"/>
    </xf>
    <xf numFmtId="0" fontId="15" fillId="0" borderId="14" xfId="5" applyNumberFormat="1" applyFont="1" applyFill="1" applyBorder="1" applyAlignment="1">
      <alignment horizontal="left" vertical="center"/>
    </xf>
    <xf numFmtId="0" fontId="15" fillId="0" borderId="14" xfId="4" applyFont="1" applyFill="1" applyBorder="1" applyAlignment="1">
      <alignment horizontal="left" vertical="center"/>
    </xf>
    <xf numFmtId="0" fontId="15" fillId="3" borderId="13" xfId="4" applyFont="1" applyBorder="1" applyAlignment="1">
      <alignment horizontal="left" vertical="center"/>
    </xf>
    <xf numFmtId="0" fontId="15" fillId="0" borderId="12" xfId="4" applyFont="1" applyFill="1" applyBorder="1" applyAlignment="1">
      <alignment horizontal="left" vertical="center"/>
    </xf>
    <xf numFmtId="0" fontId="4" fillId="0" borderId="9" xfId="4" applyFont="1" applyFill="1" applyBorder="1" applyAlignment="1">
      <alignment horizontal="left" vertical="center"/>
    </xf>
    <xf numFmtId="168" fontId="22" fillId="0" borderId="0" xfId="0" applyNumberFormat="1" applyFont="1" applyAlignment="1">
      <alignment vertical="center"/>
    </xf>
    <xf numFmtId="166" fontId="22" fillId="0" borderId="0" xfId="0" applyNumberFormat="1" applyFont="1" applyAlignment="1">
      <alignment horizontal="center" vertical="center"/>
    </xf>
    <xf numFmtId="0" fontId="11" fillId="4" borderId="10" xfId="5" applyNumberFormat="1" applyFont="1" applyFill="1" applyBorder="1" applyAlignment="1">
      <alignment horizontal="center" vertical="center"/>
    </xf>
    <xf numFmtId="0" fontId="11" fillId="4" borderId="9" xfId="5" applyNumberFormat="1" applyFont="1" applyFill="1" applyBorder="1" applyAlignment="1">
      <alignment horizontal="center" vertical="center"/>
    </xf>
    <xf numFmtId="3" fontId="11" fillId="4" borderId="10" xfId="5" applyNumberFormat="1" applyFont="1" applyFill="1" applyBorder="1" applyAlignment="1">
      <alignment horizontal="center" vertical="center"/>
    </xf>
    <xf numFmtId="3" fontId="4" fillId="3" borderId="1" xfId="5" applyNumberFormat="1" applyFont="1" applyFill="1" applyBorder="1" applyAlignment="1">
      <alignment horizontal="center" vertical="center"/>
    </xf>
    <xf numFmtId="3" fontId="4" fillId="3" borderId="2" xfId="5" applyNumberFormat="1" applyFont="1" applyFill="1" applyBorder="1" applyAlignment="1">
      <alignment horizontal="center" vertical="center"/>
    </xf>
    <xf numFmtId="3" fontId="4" fillId="3" borderId="7" xfId="5" applyNumberFormat="1" applyFont="1" applyFill="1" applyBorder="1" applyAlignment="1">
      <alignment horizontal="center" vertical="center"/>
    </xf>
    <xf numFmtId="3" fontId="4" fillId="3" borderId="0" xfId="5" applyNumberFormat="1" applyFont="1" applyFill="1" applyBorder="1" applyAlignment="1">
      <alignment horizontal="center" vertical="center"/>
    </xf>
    <xf numFmtId="3" fontId="4" fillId="0" borderId="7" xfId="5" applyNumberFormat="1" applyFont="1" applyFill="1" applyBorder="1" applyAlignment="1">
      <alignment horizontal="center" vertical="center"/>
    </xf>
    <xf numFmtId="3" fontId="4" fillId="0" borderId="0" xfId="5" applyNumberFormat="1" applyFont="1" applyFill="1" applyBorder="1" applyAlignment="1">
      <alignment horizontal="center" vertical="center"/>
    </xf>
    <xf numFmtId="3" fontId="4" fillId="0" borderId="4" xfId="5" applyNumberFormat="1" applyFont="1" applyFill="1" applyBorder="1" applyAlignment="1">
      <alignment horizontal="center" vertical="center"/>
    </xf>
    <xf numFmtId="3" fontId="4" fillId="0" borderId="5" xfId="5" applyNumberFormat="1" applyFont="1" applyFill="1" applyBorder="1" applyAlignment="1">
      <alignment horizontal="center" vertical="center"/>
    </xf>
    <xf numFmtId="3" fontId="11" fillId="4" borderId="9" xfId="5" applyNumberFormat="1" applyFont="1" applyFill="1" applyBorder="1" applyAlignment="1">
      <alignment horizontal="center" vertical="center"/>
    </xf>
    <xf numFmtId="166" fontId="11" fillId="4" borderId="11" xfId="2" applyNumberFormat="1" applyFont="1" applyFill="1" applyBorder="1" applyAlignment="1">
      <alignment horizontal="center" vertical="center"/>
    </xf>
    <xf numFmtId="166" fontId="11" fillId="4" borderId="12" xfId="2" applyNumberFormat="1" applyFont="1" applyFill="1" applyBorder="1" applyAlignment="1">
      <alignment horizontal="center" vertical="center"/>
    </xf>
    <xf numFmtId="166" fontId="4" fillId="3" borderId="3" xfId="2" applyNumberFormat="1" applyFont="1" applyFill="1" applyBorder="1" applyAlignment="1">
      <alignment horizontal="center" vertical="center"/>
    </xf>
    <xf numFmtId="166" fontId="4" fillId="3" borderId="0" xfId="2" applyNumberFormat="1" applyFont="1" applyFill="1" applyBorder="1" applyAlignment="1">
      <alignment horizontal="center" vertical="center"/>
    </xf>
    <xf numFmtId="166" fontId="4" fillId="3" borderId="13" xfId="2" applyNumberFormat="1" applyFont="1" applyFill="1" applyBorder="1" applyAlignment="1">
      <alignment horizontal="center" vertical="center"/>
    </xf>
    <xf numFmtId="166" fontId="4" fillId="3" borderId="8" xfId="2" applyNumberFormat="1" applyFont="1" applyFill="1" applyBorder="1" applyAlignment="1">
      <alignment horizontal="center" vertical="center"/>
    </xf>
    <xf numFmtId="166" fontId="4" fillId="3" borderId="14" xfId="2" applyNumberFormat="1" applyFont="1" applyFill="1" applyBorder="1" applyAlignment="1">
      <alignment horizontal="center" vertical="center"/>
    </xf>
    <xf numFmtId="166" fontId="4" fillId="3" borderId="6" xfId="2" applyNumberFormat="1" applyFont="1" applyFill="1" applyBorder="1" applyAlignment="1">
      <alignment horizontal="center" vertical="center"/>
    </xf>
    <xf numFmtId="166" fontId="4" fillId="3" borderId="15" xfId="2" applyNumberFormat="1" applyFont="1" applyFill="1" applyBorder="1" applyAlignment="1">
      <alignment horizontal="center" vertical="center"/>
    </xf>
    <xf numFmtId="166" fontId="4" fillId="0" borderId="6" xfId="2" applyNumberFormat="1" applyFont="1" applyFill="1" applyBorder="1" applyAlignment="1">
      <alignment horizontal="center" vertical="center"/>
    </xf>
    <xf numFmtId="3" fontId="4" fillId="0" borderId="1" xfId="5" applyNumberFormat="1" applyFont="1" applyFill="1" applyBorder="1" applyAlignment="1">
      <alignment horizontal="center" vertical="center"/>
    </xf>
    <xf numFmtId="3" fontId="4" fillId="0" borderId="2" xfId="5" applyNumberFormat="1" applyFont="1" applyFill="1" applyBorder="1" applyAlignment="1">
      <alignment horizontal="center" vertical="center"/>
    </xf>
    <xf numFmtId="166" fontId="4" fillId="0" borderId="3" xfId="2" applyNumberFormat="1" applyFont="1" applyFill="1" applyBorder="1" applyAlignment="1">
      <alignment horizontal="center" vertical="center"/>
    </xf>
    <xf numFmtId="166" fontId="4" fillId="0" borderId="13" xfId="2" applyNumberFormat="1" applyFont="1" applyFill="1" applyBorder="1" applyAlignment="1">
      <alignment horizontal="center" vertical="center"/>
    </xf>
    <xf numFmtId="166" fontId="4" fillId="0" borderId="8" xfId="2" applyNumberFormat="1" applyFont="1" applyFill="1" applyBorder="1" applyAlignment="1">
      <alignment horizontal="center" vertical="center"/>
    </xf>
    <xf numFmtId="166" fontId="4" fillId="0" borderId="14" xfId="2" applyNumberFormat="1" applyFont="1" applyFill="1" applyBorder="1" applyAlignment="1">
      <alignment horizontal="center" vertical="center"/>
    </xf>
    <xf numFmtId="166" fontId="4" fillId="0" borderId="15" xfId="2" applyNumberFormat="1" applyFont="1" applyFill="1" applyBorder="1" applyAlignment="1">
      <alignment horizontal="center" vertical="center"/>
    </xf>
    <xf numFmtId="3" fontId="4" fillId="3" borderId="4" xfId="5" applyNumberFormat="1" applyFont="1" applyFill="1" applyBorder="1" applyAlignment="1">
      <alignment horizontal="center" vertical="center"/>
    </xf>
    <xf numFmtId="3" fontId="4" fillId="3" borderId="5" xfId="5" applyNumberFormat="1" applyFont="1" applyFill="1" applyBorder="1" applyAlignment="1">
      <alignment horizontal="center" vertical="center"/>
    </xf>
    <xf numFmtId="3" fontId="4" fillId="3" borderId="10" xfId="5" applyNumberFormat="1" applyFont="1" applyFill="1" applyBorder="1" applyAlignment="1">
      <alignment horizontal="center" vertical="center"/>
    </xf>
    <xf numFmtId="166" fontId="4" fillId="3" borderId="11" xfId="2" applyNumberFormat="1" applyFont="1" applyFill="1" applyBorder="1" applyAlignment="1">
      <alignment horizontal="center" vertical="center"/>
    </xf>
    <xf numFmtId="3" fontId="4" fillId="0" borderId="7" xfId="5" applyNumberFormat="1" applyFont="1" applyBorder="1" applyAlignment="1">
      <alignment horizontal="center" vertical="center"/>
    </xf>
    <xf numFmtId="3" fontId="4" fillId="0" borderId="0" xfId="5" applyNumberFormat="1" applyFont="1" applyBorder="1" applyAlignment="1">
      <alignment horizontal="center" vertical="center"/>
    </xf>
    <xf numFmtId="3" fontId="15" fillId="0" borderId="7" xfId="5" applyNumberFormat="1" applyFont="1" applyFill="1" applyBorder="1" applyAlignment="1">
      <alignment horizontal="center" vertical="center"/>
    </xf>
    <xf numFmtId="3" fontId="4" fillId="3" borderId="1" xfId="2" applyNumberFormat="1" applyFont="1" applyFill="1" applyBorder="1" applyAlignment="1">
      <alignment horizontal="center" vertical="center"/>
    </xf>
    <xf numFmtId="3" fontId="4" fillId="3" borderId="0" xfId="2" applyNumberFormat="1" applyFont="1" applyFill="1" applyBorder="1" applyAlignment="1">
      <alignment horizontal="center" vertical="center"/>
    </xf>
    <xf numFmtId="166" fontId="4" fillId="3" borderId="2" xfId="2" applyNumberFormat="1" applyFont="1" applyFill="1" applyBorder="1" applyAlignment="1">
      <alignment horizontal="center" vertical="center"/>
    </xf>
    <xf numFmtId="3" fontId="4" fillId="3" borderId="7" xfId="2" applyNumberFormat="1" applyFont="1" applyFill="1" applyBorder="1" applyAlignment="1">
      <alignment horizontal="center" vertical="center"/>
    </xf>
    <xf numFmtId="164" fontId="4" fillId="3" borderId="0" xfId="2" applyNumberFormat="1" applyFont="1" applyFill="1" applyBorder="1" applyAlignment="1">
      <alignment horizontal="center" vertical="center"/>
    </xf>
    <xf numFmtId="166" fontId="4" fillId="3" borderId="5" xfId="2" applyNumberFormat="1" applyFont="1" applyFill="1" applyBorder="1" applyAlignment="1">
      <alignment horizontal="center" vertical="center"/>
    </xf>
    <xf numFmtId="3" fontId="4" fillId="3" borderId="2" xfId="2" applyNumberFormat="1" applyFont="1" applyFill="1" applyBorder="1" applyAlignment="1">
      <alignment horizontal="center" vertical="center"/>
    </xf>
    <xf numFmtId="10" fontId="11" fillId="4" borderId="11" xfId="2" applyNumberFormat="1" applyFont="1" applyFill="1" applyBorder="1" applyAlignment="1">
      <alignment horizontal="center" vertical="center"/>
    </xf>
    <xf numFmtId="10" fontId="11" fillId="4" borderId="12" xfId="2" applyNumberFormat="1" applyFont="1" applyFill="1" applyBorder="1" applyAlignment="1">
      <alignment horizontal="center" vertical="center"/>
    </xf>
    <xf numFmtId="3" fontId="4" fillId="3" borderId="7" xfId="1" applyNumberFormat="1" applyFont="1" applyFill="1" applyBorder="1" applyAlignment="1">
      <alignment horizontal="center" vertical="center"/>
    </xf>
    <xf numFmtId="3" fontId="4" fillId="3" borderId="0" xfId="1" applyNumberFormat="1" applyFont="1" applyFill="1" applyBorder="1" applyAlignment="1">
      <alignment horizontal="center" vertical="center"/>
    </xf>
    <xf numFmtId="3" fontId="16" fillId="4" borderId="10" xfId="5" applyNumberFormat="1" applyFont="1" applyFill="1" applyBorder="1" applyAlignment="1">
      <alignment horizontal="center" vertical="center"/>
    </xf>
    <xf numFmtId="3" fontId="15" fillId="3" borderId="0" xfId="5" applyNumberFormat="1" applyFont="1" applyFill="1" applyBorder="1" applyAlignment="1">
      <alignment horizontal="center" vertical="center"/>
    </xf>
    <xf numFmtId="3" fontId="15" fillId="0" borderId="0" xfId="5" applyNumberFormat="1" applyFont="1" applyFill="1" applyBorder="1" applyAlignment="1">
      <alignment horizontal="center" vertical="center"/>
    </xf>
    <xf numFmtId="3" fontId="15" fillId="0" borderId="5" xfId="5" applyNumberFormat="1" applyFont="1" applyFill="1" applyBorder="1" applyAlignment="1">
      <alignment horizontal="center" vertical="center"/>
    </xf>
    <xf numFmtId="3" fontId="16" fillId="4" borderId="9" xfId="5" applyNumberFormat="1" applyFont="1" applyFill="1" applyBorder="1" applyAlignment="1">
      <alignment horizontal="center" vertical="center"/>
    </xf>
    <xf numFmtId="3" fontId="15" fillId="3" borderId="0" xfId="5" applyNumberFormat="1" applyFont="1" applyFill="1" applyAlignment="1">
      <alignment horizontal="center" vertical="center"/>
    </xf>
    <xf numFmtId="3" fontId="15" fillId="0" borderId="0" xfId="5" applyNumberFormat="1" applyFont="1" applyFill="1" applyAlignment="1">
      <alignment horizontal="center" vertical="center"/>
    </xf>
    <xf numFmtId="3" fontId="15" fillId="0" borderId="0" xfId="1" applyNumberFormat="1" applyFont="1" applyFill="1" applyBorder="1" applyAlignment="1">
      <alignment horizontal="center" vertical="center"/>
    </xf>
    <xf numFmtId="3" fontId="15" fillId="3" borderId="1" xfId="5" applyNumberFormat="1" applyFont="1" applyFill="1" applyBorder="1" applyAlignment="1">
      <alignment horizontal="center" vertical="center"/>
    </xf>
    <xf numFmtId="3" fontId="15" fillId="3" borderId="2" xfId="5" applyNumberFormat="1" applyFont="1" applyFill="1" applyBorder="1" applyAlignment="1">
      <alignment horizontal="center" vertical="center"/>
    </xf>
    <xf numFmtId="3" fontId="15" fillId="3" borderId="7" xfId="5" applyNumberFormat="1" applyFont="1" applyFill="1" applyBorder="1" applyAlignment="1">
      <alignment horizontal="center" vertical="center"/>
    </xf>
    <xf numFmtId="3" fontId="15" fillId="0" borderId="7" xfId="1" applyNumberFormat="1" applyFont="1" applyFill="1" applyBorder="1" applyAlignment="1">
      <alignment horizontal="center" vertical="center"/>
    </xf>
    <xf numFmtId="3" fontId="15" fillId="0" borderId="0" xfId="1" applyNumberFormat="1" applyFont="1" applyFill="1" applyAlignment="1">
      <alignment horizontal="center" vertical="center"/>
    </xf>
    <xf numFmtId="3" fontId="15" fillId="0" borderId="9" xfId="5" applyNumberFormat="1" applyFont="1" applyFill="1" applyBorder="1" applyAlignment="1">
      <alignment horizontal="center" vertical="center"/>
    </xf>
    <xf numFmtId="3" fontId="15" fillId="0" borderId="10" xfId="5" applyNumberFormat="1" applyFont="1" applyFill="1" applyBorder="1" applyAlignment="1">
      <alignment horizontal="center" vertical="center"/>
    </xf>
    <xf numFmtId="3" fontId="15" fillId="3" borderId="4" xfId="5" applyNumberFormat="1" applyFont="1" applyFill="1" applyBorder="1" applyAlignment="1">
      <alignment horizontal="center" vertical="center"/>
    </xf>
    <xf numFmtId="3" fontId="15" fillId="3" borderId="5" xfId="5" applyNumberFormat="1" applyFont="1" applyFill="1" applyBorder="1" applyAlignment="1">
      <alignment horizontal="center" vertical="center"/>
    </xf>
    <xf numFmtId="3" fontId="15" fillId="3" borderId="4" xfId="1" applyNumberFormat="1" applyFont="1" applyFill="1" applyBorder="1" applyAlignment="1">
      <alignment horizontal="center" vertical="center"/>
    </xf>
    <xf numFmtId="3" fontId="15" fillId="3" borderId="0" xfId="1" applyNumberFormat="1" applyFont="1" applyFill="1" applyBorder="1" applyAlignment="1">
      <alignment horizontal="center" vertical="center"/>
    </xf>
    <xf numFmtId="3" fontId="15" fillId="3" borderId="9" xfId="5" applyNumberFormat="1" applyFont="1" applyFill="1" applyBorder="1" applyAlignment="1">
      <alignment horizontal="center" vertical="center"/>
    </xf>
    <xf numFmtId="3" fontId="15" fillId="3" borderId="10" xfId="5" applyNumberFormat="1" applyFont="1" applyFill="1" applyBorder="1" applyAlignment="1">
      <alignment horizontal="center" vertical="center"/>
    </xf>
    <xf numFmtId="10" fontId="11" fillId="4" borderId="10" xfId="2" applyNumberFormat="1" applyFont="1" applyFill="1" applyBorder="1" applyAlignment="1">
      <alignment horizontal="center" vertical="center"/>
    </xf>
    <xf numFmtId="166" fontId="16" fillId="4" borderId="10" xfId="2" applyNumberFormat="1" applyFont="1" applyFill="1" applyBorder="1" applyAlignment="1">
      <alignment horizontal="center" vertical="center"/>
    </xf>
    <xf numFmtId="166" fontId="15" fillId="3" borderId="0" xfId="2" applyNumberFormat="1" applyFont="1" applyFill="1" applyBorder="1" applyAlignment="1">
      <alignment horizontal="center" vertical="center"/>
    </xf>
    <xf numFmtId="166" fontId="15" fillId="3" borderId="5" xfId="2" applyNumberFormat="1" applyFont="1" applyFill="1" applyBorder="1" applyAlignment="1">
      <alignment horizontal="center" vertical="center"/>
    </xf>
    <xf numFmtId="166" fontId="16" fillId="4" borderId="11" xfId="2" applyNumberFormat="1" applyFont="1" applyFill="1" applyBorder="1" applyAlignment="1">
      <alignment horizontal="center" vertical="center"/>
    </xf>
    <xf numFmtId="166" fontId="15" fillId="3" borderId="3" xfId="2" applyNumberFormat="1" applyFont="1" applyFill="1" applyBorder="1" applyAlignment="1">
      <alignment horizontal="center" vertical="center"/>
    </xf>
    <xf numFmtId="166" fontId="15" fillId="3" borderId="8" xfId="2" applyNumberFormat="1" applyFont="1" applyFill="1" applyBorder="1" applyAlignment="1">
      <alignment horizontal="center" vertical="center"/>
    </xf>
    <xf numFmtId="166" fontId="15" fillId="3" borderId="6" xfId="2" applyNumberFormat="1" applyFont="1" applyFill="1" applyBorder="1" applyAlignment="1">
      <alignment horizontal="center" vertical="center"/>
    </xf>
    <xf numFmtId="166" fontId="15" fillId="3" borderId="11" xfId="2" applyNumberFormat="1" applyFont="1" applyFill="1" applyBorder="1" applyAlignment="1">
      <alignment horizontal="center" vertical="center"/>
    </xf>
    <xf numFmtId="166" fontId="4" fillId="3" borderId="10" xfId="2" applyNumberFormat="1" applyFont="1" applyFill="1" applyBorder="1" applyAlignment="1">
      <alignment horizontal="center" vertical="center"/>
    </xf>
    <xf numFmtId="168" fontId="22" fillId="0" borderId="0" xfId="0" applyNumberFormat="1" applyFont="1" applyAlignment="1">
      <alignment horizontal="center" vertical="center"/>
    </xf>
    <xf numFmtId="166" fontId="16" fillId="4" borderId="0" xfId="2" applyNumberFormat="1" applyFont="1" applyFill="1" applyBorder="1" applyAlignment="1">
      <alignment horizontal="center" vertical="center"/>
    </xf>
    <xf numFmtId="10" fontId="15" fillId="3" borderId="8" xfId="2" applyNumberFormat="1" applyFont="1" applyFill="1" applyBorder="1" applyAlignment="1">
      <alignment horizontal="center" vertical="center"/>
    </xf>
    <xf numFmtId="166" fontId="16" fillId="4" borderId="12" xfId="2" applyNumberFormat="1" applyFont="1" applyFill="1" applyBorder="1" applyAlignment="1">
      <alignment horizontal="center" vertical="center"/>
    </xf>
    <xf numFmtId="166" fontId="15" fillId="3" borderId="13" xfId="2" applyNumberFormat="1" applyFont="1" applyFill="1" applyBorder="1" applyAlignment="1">
      <alignment horizontal="center" vertical="center"/>
    </xf>
    <xf numFmtId="166" fontId="15" fillId="3" borderId="14" xfId="2" applyNumberFormat="1" applyFont="1" applyFill="1" applyBorder="1" applyAlignment="1">
      <alignment horizontal="center" vertical="center"/>
    </xf>
    <xf numFmtId="10" fontId="15" fillId="3" borderId="14" xfId="2" applyNumberFormat="1" applyFont="1" applyFill="1" applyBorder="1" applyAlignment="1">
      <alignment horizontal="center" vertical="center"/>
    </xf>
    <xf numFmtId="166" fontId="15" fillId="3" borderId="12" xfId="2" applyNumberFormat="1" applyFont="1" applyFill="1" applyBorder="1" applyAlignment="1">
      <alignment horizontal="center" vertical="center"/>
    </xf>
    <xf numFmtId="164" fontId="4" fillId="0" borderId="5" xfId="5" applyNumberFormat="1" applyFont="1" applyFill="1" applyBorder="1" applyAlignment="1">
      <alignment horizontal="center" vertical="center"/>
    </xf>
    <xf numFmtId="164" fontId="4" fillId="0" borderId="4" xfId="5" applyNumberFormat="1" applyFont="1" applyFill="1" applyBorder="1" applyAlignment="1">
      <alignment horizontal="center" vertical="center"/>
    </xf>
    <xf numFmtId="164" fontId="4" fillId="3" borderId="4" xfId="5" applyNumberFormat="1" applyFont="1" applyFill="1" applyBorder="1" applyAlignment="1">
      <alignment horizontal="center" vertical="center"/>
    </xf>
    <xf numFmtId="164" fontId="4" fillId="3" borderId="5" xfId="5" applyNumberFormat="1" applyFont="1" applyFill="1" applyBorder="1" applyAlignment="1">
      <alignment horizontal="center" vertical="center"/>
    </xf>
    <xf numFmtId="164" fontId="4" fillId="3" borderId="7" xfId="2" applyNumberFormat="1" applyFont="1" applyFill="1" applyBorder="1" applyAlignment="1">
      <alignment horizontal="center" vertical="center"/>
    </xf>
    <xf numFmtId="164" fontId="4" fillId="3" borderId="5" xfId="2" applyNumberFormat="1" applyFont="1" applyFill="1" applyBorder="1" applyAlignment="1">
      <alignment horizontal="center" vertical="center"/>
    </xf>
    <xf numFmtId="0" fontId="22" fillId="4" borderId="11" xfId="0" applyFont="1" applyFill="1" applyBorder="1" applyAlignment="1">
      <alignment vertical="center"/>
    </xf>
    <xf numFmtId="0" fontId="22" fillId="0" borderId="8" xfId="0" applyFont="1" applyBorder="1" applyAlignment="1">
      <alignment vertical="center"/>
    </xf>
    <xf numFmtId="166" fontId="11" fillId="4" borderId="6" xfId="2" applyNumberFormat="1" applyFont="1" applyFill="1" applyBorder="1" applyAlignment="1">
      <alignment horizontal="center" vertical="center"/>
    </xf>
    <xf numFmtId="0" fontId="28" fillId="4" borderId="11" xfId="0" applyFont="1" applyFill="1" applyBorder="1" applyAlignment="1">
      <alignment vertical="center"/>
    </xf>
    <xf numFmtId="3" fontId="11" fillId="4" borderId="2" xfId="5" applyNumberFormat="1" applyFont="1" applyFill="1" applyBorder="1" applyAlignment="1">
      <alignment horizontal="center" vertical="center"/>
    </xf>
    <xf numFmtId="169" fontId="15" fillId="3" borderId="14" xfId="2" applyNumberFormat="1" applyFont="1" applyFill="1" applyBorder="1" applyAlignment="1">
      <alignment horizontal="center" vertical="center"/>
    </xf>
    <xf numFmtId="3" fontId="16" fillId="4" borderId="0" xfId="5" applyNumberFormat="1" applyFont="1" applyFill="1" applyBorder="1" applyAlignment="1">
      <alignment horizontal="center" vertical="center"/>
    </xf>
    <xf numFmtId="3" fontId="4" fillId="3" borderId="9" xfId="5" applyNumberFormat="1" applyFont="1" applyFill="1" applyBorder="1" applyAlignment="1">
      <alignment horizontal="center" vertical="center"/>
    </xf>
    <xf numFmtId="3" fontId="15" fillId="0" borderId="4" xfId="5" applyNumberFormat="1" applyFont="1" applyFill="1" applyBorder="1" applyAlignment="1">
      <alignment horizontal="center" vertical="center"/>
    </xf>
    <xf numFmtId="0" fontId="15" fillId="0" borderId="13" xfId="4" applyFont="1" applyFill="1" applyBorder="1" applyAlignment="1">
      <alignment horizontal="left" vertical="center"/>
    </xf>
    <xf numFmtId="3" fontId="15" fillId="0" borderId="1" xfId="5" applyNumberFormat="1" applyFont="1" applyFill="1" applyBorder="1" applyAlignment="1">
      <alignment horizontal="center" vertical="center"/>
    </xf>
    <xf numFmtId="3" fontId="15" fillId="0" borderId="2" xfId="5" applyNumberFormat="1" applyFont="1" applyFill="1" applyBorder="1" applyAlignment="1">
      <alignment horizontal="center" vertical="center"/>
    </xf>
    <xf numFmtId="10" fontId="4" fillId="3" borderId="14" xfId="2" applyNumberFormat="1" applyFont="1" applyFill="1" applyBorder="1" applyAlignment="1">
      <alignment horizontal="center" vertical="center"/>
    </xf>
    <xf numFmtId="10" fontId="15" fillId="0" borderId="6" xfId="2" applyNumberFormat="1" applyFont="1" applyFill="1" applyBorder="1" applyAlignment="1">
      <alignment horizontal="center" vertical="center"/>
    </xf>
    <xf numFmtId="166" fontId="15" fillId="0" borderId="15" xfId="2" applyNumberFormat="1" applyFont="1" applyFill="1" applyBorder="1" applyAlignment="1">
      <alignment horizontal="center" vertical="center"/>
    </xf>
    <xf numFmtId="166" fontId="15" fillId="0" borderId="14" xfId="2" applyNumberFormat="1" applyFont="1" applyFill="1" applyBorder="1" applyAlignment="1">
      <alignment horizontal="center" vertical="center"/>
    </xf>
    <xf numFmtId="10" fontId="15" fillId="0" borderId="14" xfId="2" applyNumberFormat="1" applyFont="1" applyFill="1" applyBorder="1" applyAlignment="1">
      <alignment horizontal="center" vertical="center"/>
    </xf>
    <xf numFmtId="0" fontId="4" fillId="3" borderId="4" xfId="0" applyFont="1" applyFill="1" applyBorder="1" applyAlignment="1">
      <alignment horizontal="center" vertical="center"/>
    </xf>
    <xf numFmtId="3" fontId="7" fillId="0" borderId="6" xfId="3" applyNumberFormat="1" applyFont="1" applyBorder="1" applyAlignment="1">
      <alignment horizontal="center" vertical="center"/>
    </xf>
    <xf numFmtId="3" fontId="6" fillId="4" borderId="11" xfId="3" applyNumberFormat="1" applyFont="1" applyFill="1" applyBorder="1" applyAlignment="1">
      <alignment horizontal="center" vertical="center"/>
    </xf>
    <xf numFmtId="3" fontId="7" fillId="0" borderId="3" xfId="3" applyNumberFormat="1" applyFont="1" applyBorder="1" applyAlignment="1">
      <alignment horizontal="center" vertical="center"/>
    </xf>
    <xf numFmtId="164" fontId="7" fillId="0" borderId="0" xfId="3" applyNumberFormat="1" applyFont="1" applyAlignment="1">
      <alignment horizontal="center" vertical="center"/>
    </xf>
    <xf numFmtId="4" fontId="7" fillId="0" borderId="8" xfId="3" applyNumberFormat="1" applyFont="1" applyBorder="1" applyAlignment="1">
      <alignment horizontal="center" vertical="center"/>
    </xf>
    <xf numFmtId="4" fontId="7" fillId="0" borderId="3" xfId="3" applyNumberFormat="1" applyFont="1" applyBorder="1" applyAlignment="1">
      <alignment horizontal="center" vertical="center"/>
    </xf>
    <xf numFmtId="4" fontId="7" fillId="0" borderId="6" xfId="3" applyNumberFormat="1" applyFont="1" applyBorder="1" applyAlignment="1">
      <alignment horizontal="center" vertical="center"/>
    </xf>
    <xf numFmtId="2" fontId="7" fillId="0" borderId="4" xfId="3" applyNumberFormat="1" applyFont="1" applyBorder="1" applyAlignment="1">
      <alignment horizontal="center" vertical="center"/>
    </xf>
    <xf numFmtId="3" fontId="7" fillId="0" borderId="5" xfId="3" applyNumberFormat="1" applyFont="1" applyBorder="1" applyAlignment="1">
      <alignment horizontal="center" vertical="center"/>
    </xf>
    <xf numFmtId="164" fontId="7" fillId="0" borderId="5" xfId="3" applyNumberFormat="1" applyFont="1" applyBorder="1" applyAlignment="1">
      <alignment horizontal="center" vertical="center"/>
    </xf>
    <xf numFmtId="10" fontId="4" fillId="3" borderId="8" xfId="2" applyNumberFormat="1" applyFont="1" applyFill="1" applyBorder="1" applyAlignment="1">
      <alignment horizontal="center" vertical="center"/>
    </xf>
    <xf numFmtId="164" fontId="4" fillId="3" borderId="0" xfId="1" applyNumberFormat="1" applyFont="1" applyFill="1" applyBorder="1" applyAlignment="1">
      <alignment horizontal="center" vertical="center"/>
    </xf>
    <xf numFmtId="4" fontId="4" fillId="3" borderId="0" xfId="2" applyNumberFormat="1" applyFont="1" applyFill="1" applyBorder="1" applyAlignment="1">
      <alignment horizontal="center" vertical="center"/>
    </xf>
    <xf numFmtId="4" fontId="4" fillId="0" borderId="5" xfId="5" applyNumberFormat="1" applyFont="1" applyFill="1" applyBorder="1" applyAlignment="1">
      <alignment horizontal="center" vertical="center"/>
    </xf>
    <xf numFmtId="3" fontId="4" fillId="0" borderId="7" xfId="1" applyNumberFormat="1" applyFont="1" applyFill="1" applyBorder="1" applyAlignment="1">
      <alignment horizontal="center" vertical="center"/>
    </xf>
    <xf numFmtId="3" fontId="4" fillId="0" borderId="9" xfId="5" applyNumberFormat="1" applyFont="1" applyFill="1" applyBorder="1" applyAlignment="1">
      <alignment horizontal="center" vertical="center"/>
    </xf>
    <xf numFmtId="3" fontId="4" fillId="0" borderId="10" xfId="5" applyNumberFormat="1" applyFont="1" applyFill="1" applyBorder="1" applyAlignment="1">
      <alignment horizontal="center" vertical="center"/>
    </xf>
    <xf numFmtId="0" fontId="4" fillId="0" borderId="13" xfId="4" applyFont="1" applyFill="1" applyBorder="1" applyAlignment="1">
      <alignment horizontal="left" vertical="center" indent="1"/>
    </xf>
    <xf numFmtId="37" fontId="4" fillId="3" borderId="0" xfId="5" applyNumberFormat="1" applyFont="1" applyFill="1" applyBorder="1" applyAlignment="1">
      <alignment horizontal="center" vertical="center"/>
    </xf>
    <xf numFmtId="0" fontId="4" fillId="0" borderId="14" xfId="4" applyFont="1" applyFill="1" applyBorder="1" applyAlignment="1">
      <alignment horizontal="left" vertical="center" indent="1"/>
    </xf>
    <xf numFmtId="0" fontId="15" fillId="0" borderId="15" xfId="4" applyFont="1" applyFill="1" applyBorder="1" applyAlignment="1">
      <alignment horizontal="left" indent="1"/>
    </xf>
    <xf numFmtId="0" fontId="4" fillId="0" borderId="3" xfId="4" applyFont="1" applyFill="1" applyBorder="1" applyAlignment="1">
      <alignment horizontal="left" vertical="center" indent="1"/>
    </xf>
    <xf numFmtId="0" fontId="4" fillId="0" borderId="8" xfId="4" applyFont="1" applyFill="1" applyBorder="1" applyAlignment="1">
      <alignment horizontal="left" vertical="center" indent="1"/>
    </xf>
    <xf numFmtId="0" fontId="15" fillId="0" borderId="6" xfId="4" applyFont="1" applyFill="1" applyBorder="1" applyAlignment="1">
      <alignment horizontal="left" indent="1"/>
    </xf>
    <xf numFmtId="0" fontId="15" fillId="0" borderId="8" xfId="4" applyFont="1" applyFill="1" applyBorder="1" applyAlignment="1">
      <alignment horizontal="left" indent="1"/>
    </xf>
    <xf numFmtId="37" fontId="4" fillId="3" borderId="5" xfId="5" applyNumberFormat="1" applyFont="1" applyFill="1" applyBorder="1" applyAlignment="1">
      <alignment horizontal="center" vertical="center"/>
    </xf>
    <xf numFmtId="0" fontId="4" fillId="3" borderId="8" xfId="4" applyFont="1" applyBorder="1" applyAlignment="1">
      <alignment horizontal="left" vertical="center" indent="1"/>
    </xf>
    <xf numFmtId="37" fontId="4" fillId="3" borderId="2" xfId="5" applyNumberFormat="1" applyFont="1" applyFill="1" applyBorder="1" applyAlignment="1">
      <alignment horizontal="center" vertical="center"/>
    </xf>
    <xf numFmtId="37" fontId="4" fillId="3" borderId="1" xfId="5" applyNumberFormat="1" applyFont="1" applyFill="1" applyBorder="1" applyAlignment="1">
      <alignment horizontal="center" vertical="center"/>
    </xf>
    <xf numFmtId="0" fontId="22" fillId="0" borderId="0" xfId="0" applyFont="1" applyAlignment="1">
      <alignment horizontal="right" vertical="center"/>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3" fillId="2" borderId="0" xfId="3" applyFont="1" applyFill="1" applyAlignment="1">
      <alignment horizontal="center" vertical="center"/>
    </xf>
    <xf numFmtId="0" fontId="5" fillId="2" borderId="0" xfId="3" applyFont="1" applyFill="1" applyAlignment="1">
      <alignment horizontal="center" vertical="center"/>
    </xf>
    <xf numFmtId="0" fontId="3" fillId="2" borderId="0" xfId="3" applyFont="1" applyFill="1" applyAlignment="1">
      <alignment horizontal="left" vertical="center" wrapText="1"/>
    </xf>
    <xf numFmtId="0" fontId="7" fillId="0" borderId="7" xfId="3" applyFont="1" applyBorder="1" applyAlignment="1">
      <alignment horizontal="left" vertical="center" wrapText="1"/>
    </xf>
    <xf numFmtId="0" fontId="7" fillId="0" borderId="0" xfId="3" applyFont="1" applyAlignment="1">
      <alignment horizontal="left" vertical="center" wrapText="1"/>
    </xf>
    <xf numFmtId="0" fontId="7" fillId="0" borderId="8" xfId="3" applyFont="1" applyBorder="1" applyAlignment="1">
      <alignment horizontal="left" vertical="center" wrapText="1"/>
    </xf>
    <xf numFmtId="0" fontId="7" fillId="0" borderId="4" xfId="3" applyFont="1" applyBorder="1" applyAlignment="1">
      <alignment horizontal="left" vertical="center" wrapText="1"/>
    </xf>
    <xf numFmtId="0" fontId="7" fillId="0" borderId="5" xfId="3" applyFont="1" applyBorder="1" applyAlignment="1">
      <alignment horizontal="left" vertical="center" wrapText="1"/>
    </xf>
    <xf numFmtId="0" fontId="7" fillId="0" borderId="6" xfId="3" applyFont="1" applyBorder="1" applyAlignment="1">
      <alignment horizontal="left" vertical="center" wrapText="1"/>
    </xf>
    <xf numFmtId="0" fontId="23" fillId="0" borderId="0" xfId="0" applyFont="1" applyAlignment="1">
      <alignment horizontal="center" vertical="center" wrapText="1"/>
    </xf>
    <xf numFmtId="0" fontId="14" fillId="2" borderId="0" xfId="3" applyFont="1" applyFill="1" applyAlignment="1">
      <alignment horizontal="center" vertical="center"/>
    </xf>
    <xf numFmtId="3" fontId="11" fillId="4" borderId="9" xfId="4" applyNumberFormat="1" applyFont="1" applyFill="1" applyBorder="1" applyAlignment="1">
      <alignment horizontal="center" vertical="center" wrapText="1"/>
    </xf>
    <xf numFmtId="3" fontId="11" fillId="4" borderId="10" xfId="4" applyNumberFormat="1" applyFont="1" applyFill="1" applyBorder="1" applyAlignment="1">
      <alignment horizontal="center" vertical="center"/>
    </xf>
    <xf numFmtId="3" fontId="11" fillId="4" borderId="11" xfId="4" applyNumberFormat="1" applyFont="1" applyFill="1" applyBorder="1" applyAlignment="1">
      <alignment horizontal="center" vertical="center"/>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3" fontId="11" fillId="4" borderId="1" xfId="4" applyNumberFormat="1" applyFont="1" applyFill="1" applyBorder="1" applyAlignment="1">
      <alignment horizontal="center" vertical="center" wrapText="1"/>
    </xf>
    <xf numFmtId="3" fontId="11" fillId="4" borderId="2" xfId="4" applyNumberFormat="1" applyFont="1" applyFill="1" applyBorder="1" applyAlignment="1">
      <alignment horizontal="center" vertical="center"/>
    </xf>
  </cellXfs>
  <cellStyles count="6">
    <cellStyle name="Millares" xfId="1" builtinId="3"/>
    <cellStyle name="Millares 2 3" xfId="5" xr:uid="{91F79B58-C3C6-403F-A8E9-4300BB98F3CB}"/>
    <cellStyle name="Normal" xfId="0" builtinId="0"/>
    <cellStyle name="Normal 4 3" xfId="3" xr:uid="{D267B31E-527F-4464-A87D-B67EB82B966C}"/>
    <cellStyle name="Porcentaje" xfId="2" builtinId="5"/>
    <cellStyle name="TEXTO NORMAL" xfId="4" xr:uid="{EDAE4161-A78A-4A5B-A559-60E5C027FF5D}"/>
  </cellStyles>
  <dxfs count="1">
    <dxf>
      <fill>
        <patternFill patternType="none"/>
      </fill>
    </dxf>
  </dxfs>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C00000">
                <a:alpha val="30196"/>
              </a:srgbClr>
            </a:solidFill>
          </c:spPr>
          <c:invertIfNegative val="0"/>
          <c:dPt>
            <c:idx val="7"/>
            <c:invertIfNegative val="0"/>
            <c:bubble3D val="0"/>
            <c:extLst>
              <c:ext xmlns:c16="http://schemas.microsoft.com/office/drawing/2014/chart" uri="{C3380CC4-5D6E-409C-BE32-E72D297353CC}">
                <c16:uniqueId val="{00000000-9898-4371-A9E4-B533EE1B1C1E}"/>
              </c:ext>
            </c:extLst>
          </c:dPt>
          <c:dPt>
            <c:idx val="10"/>
            <c:invertIfNegative val="0"/>
            <c:bubble3D val="0"/>
            <c:spPr>
              <a:solidFill>
                <a:srgbClr val="C00000"/>
              </a:solidFill>
            </c:spPr>
            <c:extLst>
              <c:ext xmlns:c16="http://schemas.microsoft.com/office/drawing/2014/chart" uri="{C3380CC4-5D6E-409C-BE32-E72D297353CC}">
                <c16:uniqueId val="{00000002-045B-4CAF-9900-496C0291835D}"/>
              </c:ext>
            </c:extLst>
          </c:dPt>
          <c:dLbls>
            <c:dLbl>
              <c:idx val="10"/>
              <c:spPr>
                <a:noFill/>
                <a:ln>
                  <a:noFill/>
                </a:ln>
                <a:effectLst/>
              </c:spPr>
              <c:txPr>
                <a:bodyPr/>
                <a:lstStyle/>
                <a:p>
                  <a:pPr>
                    <a:defRPr sz="1100" b="1"/>
                  </a:pPr>
                  <a:endParaRPr lang="es-PE"/>
                </a:p>
              </c:txPr>
              <c:dLblPos val="outEnd"/>
              <c:showLegendKey val="0"/>
              <c:showVal val="1"/>
              <c:showCatName val="0"/>
              <c:showSerName val="0"/>
              <c:showPercent val="0"/>
              <c:showBubbleSize val="0"/>
              <c:extLst>
                <c:ext xmlns:c16="http://schemas.microsoft.com/office/drawing/2014/chart" uri="{C3380CC4-5D6E-409C-BE32-E72D297353CC}">
                  <c16:uniqueId val="{00000002-045B-4CAF-9900-496C0291835D}"/>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'S01.C01'!$C$27:$C$37</c:f>
              <c:strCache>
                <c:ptCount val="11"/>
                <c:pt idx="0">
                  <c:v>2016</c:v>
                </c:pt>
                <c:pt idx="1">
                  <c:v>2017</c:v>
                </c:pt>
                <c:pt idx="2">
                  <c:v>2018</c:v>
                </c:pt>
                <c:pt idx="3">
                  <c:v>2019</c:v>
                </c:pt>
                <c:pt idx="4">
                  <c:v>2020</c:v>
                </c:pt>
                <c:pt idx="5">
                  <c:v>2021</c:v>
                </c:pt>
                <c:pt idx="6">
                  <c:v>2022</c:v>
                </c:pt>
                <c:pt idx="7">
                  <c:v>2023</c:v>
                </c:pt>
                <c:pt idx="8">
                  <c:v>2024</c:v>
                </c:pt>
                <c:pt idx="9">
                  <c:v>2025</c:v>
                </c:pt>
                <c:pt idx="10">
                  <c:v>2026
(Ene-Feb)
(Jan-Feb.)</c:v>
                </c:pt>
              </c:strCache>
            </c:strRef>
          </c:cat>
          <c:val>
            <c:numRef>
              <c:f>'S01.C01'!$Q$27:$Q$37</c:f>
              <c:numCache>
                <c:formatCode>#,##0</c:formatCode>
                <c:ptCount val="11"/>
                <c:pt idx="0">
                  <c:v>2352.9595047380653</c:v>
                </c:pt>
                <c:pt idx="1">
                  <c:v>2440.1811105834286</c:v>
                </c:pt>
                <c:pt idx="2">
                  <c:v>2416.8811002070697</c:v>
                </c:pt>
                <c:pt idx="3">
                  <c:v>2437.9253739027731</c:v>
                </c:pt>
                <c:pt idx="4">
                  <c:v>2150.1259121219628</c:v>
                </c:pt>
                <c:pt idx="5">
                  <c:v>2326.0353089323735</c:v>
                </c:pt>
                <c:pt idx="6">
                  <c:v>2445.2708303173977</c:v>
                </c:pt>
                <c:pt idx="7">
                  <c:v>2755.2443167853276</c:v>
                </c:pt>
                <c:pt idx="8">
                  <c:v>2736.2371072517244</c:v>
                </c:pt>
                <c:pt idx="9">
                  <c:v>2769.7937213370205</c:v>
                </c:pt>
                <c:pt idx="10">
                  <c:v>449.51862585200001</c:v>
                </c:pt>
              </c:numCache>
            </c:numRef>
          </c:val>
          <c:extLst>
            <c:ext xmlns:c16="http://schemas.microsoft.com/office/drawing/2014/chart" uri="{C3380CC4-5D6E-409C-BE32-E72D297353CC}">
              <c16:uniqueId val="{00000003-9898-4371-A9E4-B533EE1B1C1E}"/>
            </c:ext>
          </c:extLst>
        </c:ser>
        <c:dLbls>
          <c:dLblPos val="outEnd"/>
          <c:showLegendKey val="0"/>
          <c:showVal val="1"/>
          <c:showCatName val="0"/>
          <c:showSerName val="0"/>
          <c:showPercent val="0"/>
          <c:showBubbleSize val="0"/>
        </c:dLbls>
        <c:gapWidth val="150"/>
        <c:axId val="173291776"/>
        <c:axId val="173301760"/>
      </c:barChart>
      <c:catAx>
        <c:axId val="173291776"/>
        <c:scaling>
          <c:orientation val="minMax"/>
        </c:scaling>
        <c:delete val="0"/>
        <c:axPos val="b"/>
        <c:numFmt formatCode="General" sourceLinked="0"/>
        <c:majorTickMark val="out"/>
        <c:minorTickMark val="none"/>
        <c:tickLblPos val="nextTo"/>
        <c:crossAx val="173301760"/>
        <c:crosses val="autoZero"/>
        <c:auto val="1"/>
        <c:lblAlgn val="ctr"/>
        <c:lblOffset val="100"/>
        <c:noMultiLvlLbl val="0"/>
      </c:catAx>
      <c:valAx>
        <c:axId val="173301760"/>
        <c:scaling>
          <c:orientation val="minMax"/>
        </c:scaling>
        <c:delete val="0"/>
        <c:axPos val="l"/>
        <c:numFmt formatCode="#,##0" sourceLinked="1"/>
        <c:majorTickMark val="out"/>
        <c:minorTickMark val="none"/>
        <c:tickLblPos val="nextTo"/>
        <c:crossAx val="173291776"/>
        <c:crosses val="autoZero"/>
        <c:crossBetween val="between"/>
        <c:majorUnit val="1000"/>
      </c:valAx>
    </c:plotArea>
    <c:plotVisOnly val="1"/>
    <c:dispBlanksAs val="gap"/>
    <c:showDLblsOverMax val="0"/>
  </c:chart>
  <c:spPr>
    <a:ln>
      <a:noFill/>
    </a:ln>
  </c:spPr>
  <c:txPr>
    <a:bodyPr/>
    <a:lstStyle/>
    <a:p>
      <a:pPr>
        <a:defRPr>
          <a:latin typeface="+mj-lt"/>
        </a:defRPr>
      </a:pPr>
      <a:endParaRPr lang="es-PE"/>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63207</xdr:colOff>
      <xdr:row>59</xdr:row>
      <xdr:rowOff>19050</xdr:rowOff>
    </xdr:from>
    <xdr:to>
      <xdr:col>15</xdr:col>
      <xdr:colOff>542924</xdr:colOff>
      <xdr:row>66</xdr:row>
      <xdr:rowOff>1</xdr:rowOff>
    </xdr:to>
    <xdr:graphicFrame macro="">
      <xdr:nvGraphicFramePr>
        <xdr:cNvPr id="2" name="2 Gráfico">
          <a:extLst>
            <a:ext uri="{FF2B5EF4-FFF2-40B4-BE49-F238E27FC236}">
              <a16:creationId xmlns:a16="http://schemas.microsoft.com/office/drawing/2014/main" id="{7A05BD03-B28A-43AA-BB20-4FA32B326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D1A5-1E2C-4C4B-962C-18DF0D6A85A6}">
  <sheetPr>
    <tabColor rgb="FFC00000"/>
    <pageSetUpPr fitToPage="1"/>
  </sheetPr>
  <dimension ref="C3:AJ68"/>
  <sheetViews>
    <sheetView showGridLines="0" view="pageBreakPreview" zoomScaleNormal="100" zoomScaleSheetLayoutView="100" workbookViewId="0"/>
  </sheetViews>
  <sheetFormatPr baseColWidth="10" defaultColWidth="11.42578125" defaultRowHeight="12.75" x14ac:dyDescent="0.25"/>
  <cols>
    <col min="1" max="2" width="2.7109375" style="2" customWidth="1"/>
    <col min="3" max="3" width="12.85546875" style="38" customWidth="1"/>
    <col min="4" max="4" width="12.42578125" style="2" customWidth="1"/>
    <col min="5" max="5" width="13.28515625" style="2" bestFit="1" customWidth="1"/>
    <col min="6" max="16" width="12.42578125" style="2" customWidth="1"/>
    <col min="17" max="17" width="2.42578125" style="8" customWidth="1"/>
    <col min="18" max="18" width="11.42578125" style="2"/>
    <col min="19" max="19" width="12.42578125" style="2" bestFit="1" customWidth="1"/>
    <col min="20" max="20" width="14.42578125" style="2" bestFit="1" customWidth="1"/>
    <col min="21" max="22" width="12.42578125" style="2" bestFit="1" customWidth="1"/>
    <col min="23" max="23" width="11.5703125" style="2" bestFit="1" customWidth="1"/>
    <col min="24" max="24" width="13.42578125" style="2" bestFit="1" customWidth="1"/>
    <col min="25" max="26" width="11.5703125" style="2" bestFit="1" customWidth="1"/>
    <col min="27" max="27" width="11.42578125" style="2"/>
    <col min="28" max="28" width="11.5703125" style="2" bestFit="1" customWidth="1"/>
    <col min="29" max="29" width="13.42578125" style="2" bestFit="1" customWidth="1"/>
    <col min="30" max="32" width="11.5703125" style="2" bestFit="1" customWidth="1"/>
    <col min="33" max="33" width="12.42578125" style="2" bestFit="1" customWidth="1"/>
    <col min="34" max="35" width="11.5703125" style="2" bestFit="1" customWidth="1"/>
    <col min="36" max="16384" width="11.42578125" style="2"/>
  </cols>
  <sheetData>
    <row r="3" spans="3:17" ht="15.75" customHeight="1" x14ac:dyDescent="0.25">
      <c r="C3" s="238" t="s">
        <v>0</v>
      </c>
      <c r="D3" s="238"/>
      <c r="E3" s="238"/>
      <c r="F3" s="238"/>
      <c r="G3" s="238"/>
      <c r="H3" s="238"/>
      <c r="I3" s="238"/>
      <c r="J3" s="238"/>
      <c r="K3" s="238"/>
      <c r="L3" s="238"/>
      <c r="M3" s="238"/>
      <c r="N3" s="238"/>
      <c r="O3" s="238"/>
      <c r="P3" s="238"/>
      <c r="Q3" s="1"/>
    </row>
    <row r="4" spans="3:17" ht="14.25" customHeight="1" x14ac:dyDescent="0.25">
      <c r="C4" s="239" t="s">
        <v>1</v>
      </c>
      <c r="D4" s="239"/>
      <c r="E4" s="239"/>
      <c r="F4" s="239"/>
      <c r="G4" s="239"/>
      <c r="H4" s="239"/>
      <c r="I4" s="239"/>
      <c r="J4" s="239"/>
      <c r="K4" s="239"/>
      <c r="L4" s="239"/>
      <c r="M4" s="239"/>
      <c r="N4" s="239"/>
      <c r="O4" s="239"/>
      <c r="P4" s="239"/>
      <c r="Q4" s="3"/>
    </row>
    <row r="5" spans="3:17" ht="9" customHeight="1" x14ac:dyDescent="0.25">
      <c r="C5" s="4"/>
      <c r="D5" s="5"/>
      <c r="E5" s="5"/>
      <c r="F5" s="5"/>
      <c r="G5" s="5"/>
      <c r="H5" s="6"/>
      <c r="I5" s="7"/>
      <c r="J5" s="6"/>
      <c r="K5" s="5"/>
      <c r="L5" s="5"/>
      <c r="M5" s="5"/>
      <c r="N5" s="5"/>
      <c r="O5" s="5"/>
      <c r="P5" s="5"/>
    </row>
    <row r="6" spans="3:17" ht="14.45" customHeight="1" x14ac:dyDescent="0.25">
      <c r="C6" s="240" t="s">
        <v>2</v>
      </c>
      <c r="D6" s="240"/>
      <c r="E6" s="240"/>
      <c r="F6" s="240"/>
      <c r="G6" s="240"/>
      <c r="H6" s="240"/>
      <c r="I6" s="240"/>
      <c r="J6" s="240"/>
      <c r="K6" s="240"/>
      <c r="L6" s="9"/>
      <c r="M6" s="9"/>
      <c r="N6" s="9"/>
      <c r="O6" s="9"/>
      <c r="P6" s="9"/>
    </row>
    <row r="7" spans="3:17" ht="14.45" customHeight="1" x14ac:dyDescent="0.25">
      <c r="C7" s="10" t="s">
        <v>3</v>
      </c>
      <c r="D7" s="9"/>
      <c r="E7" s="9"/>
      <c r="F7" s="9"/>
      <c r="G7" s="9"/>
      <c r="H7" s="9"/>
      <c r="I7" s="9"/>
      <c r="J7" s="9"/>
      <c r="K7" s="9"/>
      <c r="L7" s="9"/>
      <c r="M7" s="9"/>
      <c r="N7" s="9"/>
      <c r="O7" s="9"/>
      <c r="P7" s="9"/>
    </row>
    <row r="8" spans="3:17" x14ac:dyDescent="0.25">
      <c r="C8" s="5"/>
      <c r="D8" s="5"/>
      <c r="E8" s="5"/>
      <c r="F8" s="5"/>
      <c r="G8" s="5"/>
      <c r="H8" s="5"/>
      <c r="I8" s="5"/>
      <c r="J8" s="5"/>
      <c r="K8" s="5"/>
      <c r="L8" s="5"/>
      <c r="M8" s="5"/>
      <c r="N8" s="5"/>
      <c r="O8" s="5"/>
      <c r="P8" s="5"/>
    </row>
    <row r="9" spans="3:17" s="15" customFormat="1" ht="29.25" customHeight="1" x14ac:dyDescent="0.25">
      <c r="C9" s="11" t="s">
        <v>4</v>
      </c>
      <c r="D9" s="12" t="s">
        <v>5</v>
      </c>
      <c r="E9" s="12" t="s">
        <v>6</v>
      </c>
      <c r="F9" s="12" t="s">
        <v>7</v>
      </c>
      <c r="G9" s="12" t="s">
        <v>8</v>
      </c>
      <c r="H9" s="12" t="s">
        <v>9</v>
      </c>
      <c r="I9" s="12" t="s">
        <v>10</v>
      </c>
      <c r="J9" s="12" t="s">
        <v>11</v>
      </c>
      <c r="K9" s="12" t="s">
        <v>12</v>
      </c>
      <c r="L9" s="12" t="s">
        <v>13</v>
      </c>
      <c r="M9" s="12" t="s">
        <v>14</v>
      </c>
      <c r="N9" s="12" t="s">
        <v>15</v>
      </c>
      <c r="O9" s="12" t="s">
        <v>16</v>
      </c>
      <c r="P9" s="13" t="s">
        <v>17</v>
      </c>
      <c r="Q9" s="14"/>
    </row>
    <row r="10" spans="3:17" ht="24" x14ac:dyDescent="0.25">
      <c r="C10" s="16"/>
      <c r="D10" s="17" t="s">
        <v>18</v>
      </c>
      <c r="E10" s="17" t="s">
        <v>19</v>
      </c>
      <c r="F10" s="17" t="s">
        <v>18</v>
      </c>
      <c r="G10" s="17" t="s">
        <v>20</v>
      </c>
      <c r="H10" s="17" t="s">
        <v>18</v>
      </c>
      <c r="I10" s="17" t="s">
        <v>18</v>
      </c>
      <c r="J10" s="17" t="s">
        <v>18</v>
      </c>
      <c r="K10" s="17" t="s">
        <v>18</v>
      </c>
      <c r="L10" s="17" t="s">
        <v>18</v>
      </c>
      <c r="M10" s="17" t="s">
        <v>18</v>
      </c>
      <c r="N10" s="17" t="s">
        <v>18</v>
      </c>
      <c r="O10" s="17" t="s">
        <v>18</v>
      </c>
      <c r="P10" s="18" t="s">
        <v>18</v>
      </c>
    </row>
    <row r="11" spans="3:17" x14ac:dyDescent="0.25">
      <c r="C11" s="19">
        <v>2000</v>
      </c>
      <c r="D11" s="20">
        <v>553924</v>
      </c>
      <c r="E11" s="20">
        <v>132585078.00000001</v>
      </c>
      <c r="F11" s="20">
        <v>910303</v>
      </c>
      <c r="G11" s="20">
        <v>2437706</v>
      </c>
      <c r="H11" s="20">
        <v>270576</v>
      </c>
      <c r="I11" s="20">
        <v>2812784.7804642497</v>
      </c>
      <c r="J11" s="20">
        <v>37410</v>
      </c>
      <c r="K11" s="20">
        <v>7193</v>
      </c>
      <c r="L11" s="20" t="s">
        <v>21</v>
      </c>
      <c r="M11" s="20" t="s">
        <v>21</v>
      </c>
      <c r="N11" s="20" t="s">
        <v>21</v>
      </c>
      <c r="O11" s="20" t="s">
        <v>21</v>
      </c>
      <c r="P11" s="21" t="s">
        <v>21</v>
      </c>
    </row>
    <row r="12" spans="3:17" x14ac:dyDescent="0.25">
      <c r="C12" s="19">
        <v>2001</v>
      </c>
      <c r="D12" s="20">
        <v>722355.34555900015</v>
      </c>
      <c r="E12" s="20">
        <v>138522109.261338</v>
      </c>
      <c r="F12" s="20">
        <v>1056629.375614</v>
      </c>
      <c r="G12" s="20">
        <v>2571113.7884550001</v>
      </c>
      <c r="H12" s="20">
        <v>289546.06610700005</v>
      </c>
      <c r="I12" s="20">
        <v>3038401.494655</v>
      </c>
      <c r="J12" s="20">
        <v>38182.076774000001</v>
      </c>
      <c r="K12" s="20">
        <v>9499.2289039999996</v>
      </c>
      <c r="L12" s="20" t="s">
        <v>21</v>
      </c>
      <c r="M12" s="20" t="s">
        <v>21</v>
      </c>
      <c r="N12" s="20" t="s">
        <v>21</v>
      </c>
      <c r="O12" s="20" t="s">
        <v>21</v>
      </c>
      <c r="P12" s="21" t="s">
        <v>21</v>
      </c>
    </row>
    <row r="13" spans="3:17" x14ac:dyDescent="0.25">
      <c r="C13" s="19">
        <v>2002</v>
      </c>
      <c r="D13" s="20">
        <v>844552.87496099994</v>
      </c>
      <c r="E13" s="20">
        <v>157529918.53579301</v>
      </c>
      <c r="F13" s="20">
        <v>1232996.9204689998</v>
      </c>
      <c r="G13" s="20">
        <v>2869638.9847490001</v>
      </c>
      <c r="H13" s="20">
        <v>305650.71951300005</v>
      </c>
      <c r="I13" s="20">
        <v>3056055.2522</v>
      </c>
      <c r="J13" s="20">
        <v>38815.044966000001</v>
      </c>
      <c r="K13" s="20">
        <v>8612.8507310000005</v>
      </c>
      <c r="L13" s="20" t="s">
        <v>21</v>
      </c>
      <c r="M13" s="20" t="s">
        <v>21</v>
      </c>
      <c r="N13" s="20" t="s">
        <v>21</v>
      </c>
      <c r="O13" s="20" t="s">
        <v>21</v>
      </c>
      <c r="P13" s="21" t="s">
        <v>21</v>
      </c>
    </row>
    <row r="14" spans="3:17" x14ac:dyDescent="0.25">
      <c r="C14" s="19">
        <v>2003</v>
      </c>
      <c r="D14" s="20">
        <v>842605.07863000024</v>
      </c>
      <c r="E14" s="20">
        <v>172624629.84419996</v>
      </c>
      <c r="F14" s="20">
        <v>1373792.267121</v>
      </c>
      <c r="G14" s="20">
        <v>2923686.4022500003</v>
      </c>
      <c r="H14" s="20">
        <v>309163.88219000009</v>
      </c>
      <c r="I14" s="20">
        <v>3484900.3702520002</v>
      </c>
      <c r="J14" s="20">
        <v>40202.178839999993</v>
      </c>
      <c r="K14" s="20">
        <v>9589.5781260000003</v>
      </c>
      <c r="L14" s="20" t="s">
        <v>21</v>
      </c>
      <c r="M14" s="20" t="s">
        <v>21</v>
      </c>
      <c r="N14" s="20" t="s">
        <v>21</v>
      </c>
      <c r="O14" s="20" t="s">
        <v>21</v>
      </c>
      <c r="P14" s="21" t="s">
        <v>21</v>
      </c>
    </row>
    <row r="15" spans="3:17" x14ac:dyDescent="0.25">
      <c r="C15" s="19">
        <v>2004</v>
      </c>
      <c r="D15" s="20">
        <v>1035574.04973</v>
      </c>
      <c r="E15" s="20">
        <v>173223817.38585296</v>
      </c>
      <c r="F15" s="20">
        <v>1209005.7091610003</v>
      </c>
      <c r="G15" s="20">
        <v>3059961.8968920005</v>
      </c>
      <c r="H15" s="20">
        <v>306210.77793799998</v>
      </c>
      <c r="I15" s="20">
        <v>4247173.7726000007</v>
      </c>
      <c r="J15" s="20">
        <v>41613.363517999998</v>
      </c>
      <c r="K15" s="20">
        <v>14246.326868</v>
      </c>
      <c r="L15" s="20" t="s">
        <v>21</v>
      </c>
      <c r="M15" s="20" t="s">
        <v>21</v>
      </c>
      <c r="N15" s="20" t="s">
        <v>21</v>
      </c>
      <c r="O15" s="20" t="s">
        <v>21</v>
      </c>
      <c r="P15" s="21" t="s">
        <v>21</v>
      </c>
    </row>
    <row r="16" spans="3:17" x14ac:dyDescent="0.25">
      <c r="C16" s="19">
        <v>2005</v>
      </c>
      <c r="D16" s="20">
        <v>1009897.918423</v>
      </c>
      <c r="E16" s="20">
        <v>208001717.81876829</v>
      </c>
      <c r="F16" s="20">
        <v>1201670.9143999997</v>
      </c>
      <c r="G16" s="20">
        <v>3193145.5305729993</v>
      </c>
      <c r="H16" s="20">
        <v>319344.80289899989</v>
      </c>
      <c r="I16" s="20">
        <v>4564989.1370999999</v>
      </c>
      <c r="J16" s="20">
        <v>42144.586211000002</v>
      </c>
      <c r="K16" s="20">
        <v>17325.373315000004</v>
      </c>
      <c r="L16" s="20" t="s">
        <v>21</v>
      </c>
      <c r="M16" s="20" t="s">
        <v>21</v>
      </c>
      <c r="N16" s="20" t="s">
        <v>21</v>
      </c>
      <c r="O16" s="20" t="s">
        <v>21</v>
      </c>
      <c r="P16" s="21" t="s">
        <v>21</v>
      </c>
    </row>
    <row r="17" spans="3:36" x14ac:dyDescent="0.25">
      <c r="C17" s="19">
        <v>2006</v>
      </c>
      <c r="D17" s="20">
        <v>1048472.4635900002</v>
      </c>
      <c r="E17" s="20">
        <v>202825998.65453294</v>
      </c>
      <c r="F17" s="20">
        <v>1203364.0679980002</v>
      </c>
      <c r="G17" s="20">
        <v>3470661.2430209992</v>
      </c>
      <c r="H17" s="20">
        <v>313332.28608800005</v>
      </c>
      <c r="I17" s="20">
        <v>4784600.5820000004</v>
      </c>
      <c r="J17" s="20">
        <v>38469.547186000011</v>
      </c>
      <c r="K17" s="20">
        <v>17209.346067999999</v>
      </c>
      <c r="L17" s="20" t="s">
        <v>21</v>
      </c>
      <c r="M17" s="20" t="s">
        <v>21</v>
      </c>
      <c r="N17" s="20" t="s">
        <v>21</v>
      </c>
      <c r="O17" s="20" t="s">
        <v>21</v>
      </c>
      <c r="P17" s="21" t="s">
        <v>21</v>
      </c>
    </row>
    <row r="18" spans="3:36" x14ac:dyDescent="0.25">
      <c r="C18" s="19">
        <v>2007</v>
      </c>
      <c r="D18" s="20">
        <v>1190273.6039159999</v>
      </c>
      <c r="E18" s="20">
        <v>170127538.95581597</v>
      </c>
      <c r="F18" s="20">
        <v>1444361.4378260002</v>
      </c>
      <c r="G18" s="20">
        <v>3501461.9256330007</v>
      </c>
      <c r="H18" s="20">
        <v>329164.77903499996</v>
      </c>
      <c r="I18" s="20">
        <v>5103597.2635999992</v>
      </c>
      <c r="J18" s="20">
        <v>39018.915689000001</v>
      </c>
      <c r="K18" s="20">
        <v>16786.886077000003</v>
      </c>
      <c r="L18" s="20" t="s">
        <v>21</v>
      </c>
      <c r="M18" s="20" t="s">
        <v>21</v>
      </c>
      <c r="N18" s="20" t="s">
        <v>21</v>
      </c>
      <c r="O18" s="20" t="s">
        <v>21</v>
      </c>
      <c r="P18" s="21" t="s">
        <v>21</v>
      </c>
    </row>
    <row r="19" spans="3:36" x14ac:dyDescent="0.25">
      <c r="C19" s="19">
        <v>2008</v>
      </c>
      <c r="D19" s="20">
        <v>1267866.5800789997</v>
      </c>
      <c r="E19" s="20">
        <v>179870472.99560794</v>
      </c>
      <c r="F19" s="20">
        <v>1602597.0080210003</v>
      </c>
      <c r="G19" s="20">
        <v>3685931.0012759985</v>
      </c>
      <c r="H19" s="20">
        <v>345109.27027199999</v>
      </c>
      <c r="I19" s="20">
        <v>5160707.0164000001</v>
      </c>
      <c r="J19" s="20">
        <v>39037.065935000006</v>
      </c>
      <c r="K19" s="20">
        <v>16720.528117000002</v>
      </c>
      <c r="L19" s="20" t="s">
        <v>21</v>
      </c>
      <c r="M19" s="20" t="s">
        <v>21</v>
      </c>
      <c r="N19" s="20" t="s">
        <v>21</v>
      </c>
      <c r="O19" s="20" t="s">
        <v>21</v>
      </c>
      <c r="P19" s="21" t="s">
        <v>21</v>
      </c>
    </row>
    <row r="20" spans="3:36" x14ac:dyDescent="0.25">
      <c r="C20" s="19">
        <v>2009</v>
      </c>
      <c r="D20" s="20">
        <v>1276249.2028349997</v>
      </c>
      <c r="E20" s="20">
        <v>183994691.50778204</v>
      </c>
      <c r="F20" s="20">
        <v>1512931.0674320005</v>
      </c>
      <c r="G20" s="20">
        <v>3922708.3963299985</v>
      </c>
      <c r="H20" s="20">
        <v>302459.11290999997</v>
      </c>
      <c r="I20" s="20">
        <v>4418768.325600001</v>
      </c>
      <c r="J20" s="20">
        <v>37502.627191</v>
      </c>
      <c r="K20" s="20">
        <v>12297.103142</v>
      </c>
      <c r="L20" s="20" t="s">
        <v>21</v>
      </c>
      <c r="M20" s="20" t="s">
        <v>21</v>
      </c>
      <c r="N20" s="20" t="s">
        <v>21</v>
      </c>
      <c r="O20" s="20" t="s">
        <v>21</v>
      </c>
      <c r="P20" s="21" t="s">
        <v>21</v>
      </c>
    </row>
    <row r="21" spans="3:36" x14ac:dyDescent="0.25">
      <c r="C21" s="19">
        <v>2010</v>
      </c>
      <c r="D21" s="20">
        <v>1247184.0293920001</v>
      </c>
      <c r="E21" s="20">
        <v>164084388.90122896</v>
      </c>
      <c r="F21" s="20">
        <v>1470449.7064990005</v>
      </c>
      <c r="G21" s="20">
        <v>3640465.4641499999</v>
      </c>
      <c r="H21" s="20">
        <v>261989.60579399997</v>
      </c>
      <c r="I21" s="20">
        <v>6042644.2223000005</v>
      </c>
      <c r="J21" s="20">
        <v>33847.813441999999</v>
      </c>
      <c r="K21" s="20">
        <v>16963.268973000002</v>
      </c>
      <c r="L21" s="20" t="s">
        <v>21</v>
      </c>
      <c r="M21" s="20" t="s">
        <v>21</v>
      </c>
      <c r="N21" s="20" t="s">
        <v>21</v>
      </c>
      <c r="O21" s="20" t="s">
        <v>21</v>
      </c>
      <c r="P21" s="21" t="s">
        <v>21</v>
      </c>
    </row>
    <row r="22" spans="3:36" x14ac:dyDescent="0.25">
      <c r="C22" s="19">
        <v>2011</v>
      </c>
      <c r="D22" s="20">
        <v>1235345.068018001</v>
      </c>
      <c r="E22" s="20">
        <v>166186716.98165271</v>
      </c>
      <c r="F22" s="20">
        <v>1256382.6002109998</v>
      </c>
      <c r="G22" s="20">
        <v>3418862.1174220056</v>
      </c>
      <c r="H22" s="20">
        <v>230199.08238500016</v>
      </c>
      <c r="I22" s="20">
        <v>7010937.8915999997</v>
      </c>
      <c r="J22" s="20">
        <v>28881.790965999993</v>
      </c>
      <c r="K22" s="20">
        <v>19141.078052000001</v>
      </c>
      <c r="L22" s="20" t="s">
        <v>21</v>
      </c>
      <c r="M22" s="20" t="s">
        <v>21</v>
      </c>
      <c r="N22" s="20" t="s">
        <v>21</v>
      </c>
      <c r="O22" s="20" t="s">
        <v>21</v>
      </c>
      <c r="P22" s="21" t="s">
        <v>21</v>
      </c>
      <c r="Q22" s="22">
        <f t="shared" ref="Q22:Q37" si="0">D22/1000</f>
        <v>1235.345068018001</v>
      </c>
      <c r="AB22" s="23"/>
      <c r="AC22" s="23"/>
      <c r="AD22" s="23"/>
      <c r="AE22" s="23"/>
      <c r="AF22" s="23"/>
      <c r="AG22" s="23"/>
      <c r="AH22" s="23"/>
      <c r="AI22" s="23"/>
      <c r="AJ22" s="24"/>
    </row>
    <row r="23" spans="3:36" x14ac:dyDescent="0.25">
      <c r="C23" s="19">
        <v>2012</v>
      </c>
      <c r="D23" s="20">
        <v>1289916.9346156276</v>
      </c>
      <c r="E23" s="20">
        <v>153780960.26084191</v>
      </c>
      <c r="F23" s="20">
        <v>1281282.431485241</v>
      </c>
      <c r="G23" s="20">
        <v>3452004.3609873233</v>
      </c>
      <c r="H23" s="20">
        <v>249236.15747171015</v>
      </c>
      <c r="I23" s="20">
        <v>6684539.3918000003</v>
      </c>
      <c r="J23" s="20">
        <v>26104.854505400006</v>
      </c>
      <c r="K23" s="20">
        <v>16790.374244900002</v>
      </c>
      <c r="L23" s="20" t="s">
        <v>21</v>
      </c>
      <c r="M23" s="20" t="s">
        <v>21</v>
      </c>
      <c r="N23" s="20" t="s">
        <v>21</v>
      </c>
      <c r="O23" s="20" t="s">
        <v>21</v>
      </c>
      <c r="P23" s="21" t="s">
        <v>21</v>
      </c>
      <c r="Q23" s="22">
        <f t="shared" si="0"/>
        <v>1289.9169346156277</v>
      </c>
      <c r="R23" s="24"/>
      <c r="AB23" s="23"/>
      <c r="AC23" s="23"/>
      <c r="AD23" s="23"/>
      <c r="AE23" s="23"/>
      <c r="AF23" s="23"/>
      <c r="AG23" s="23"/>
      <c r="AH23" s="23"/>
      <c r="AI23" s="23"/>
    </row>
    <row r="24" spans="3:36" x14ac:dyDescent="0.25">
      <c r="C24" s="19">
        <v>2013</v>
      </c>
      <c r="D24" s="20">
        <v>1363452.9126998207</v>
      </c>
      <c r="E24" s="20">
        <v>143716837.41998193</v>
      </c>
      <c r="F24" s="20">
        <v>1351048.7423302194</v>
      </c>
      <c r="G24" s="20">
        <v>3648503.3400407191</v>
      </c>
      <c r="H24" s="20">
        <v>266312.71547875</v>
      </c>
      <c r="I24" s="20">
        <v>6680658.79</v>
      </c>
      <c r="J24" s="20">
        <v>23667.787451500008</v>
      </c>
      <c r="K24" s="20">
        <v>18139.597244000001</v>
      </c>
      <c r="L24" s="20" t="s">
        <v>21</v>
      </c>
      <c r="M24" s="20" t="s">
        <v>21</v>
      </c>
      <c r="N24" s="20" t="s">
        <v>21</v>
      </c>
      <c r="O24" s="20" t="s">
        <v>21</v>
      </c>
      <c r="P24" s="21" t="s">
        <v>21</v>
      </c>
      <c r="Q24" s="22">
        <f t="shared" si="0"/>
        <v>1363.4529126998207</v>
      </c>
      <c r="R24" s="24"/>
      <c r="AB24" s="23"/>
      <c r="AC24" s="23"/>
      <c r="AD24" s="23"/>
      <c r="AE24" s="23"/>
      <c r="AF24" s="23"/>
      <c r="AG24" s="23"/>
      <c r="AH24" s="23"/>
      <c r="AI24" s="23"/>
    </row>
    <row r="25" spans="3:36" x14ac:dyDescent="0.25">
      <c r="C25" s="19">
        <v>2014</v>
      </c>
      <c r="D25" s="20">
        <v>1377373.7760182077</v>
      </c>
      <c r="E25" s="20">
        <v>129946243.44281495</v>
      </c>
      <c r="F25" s="20">
        <v>1315221.0230463955</v>
      </c>
      <c r="G25" s="20">
        <v>3738279.9180184668</v>
      </c>
      <c r="H25" s="20">
        <v>277116.52714844397</v>
      </c>
      <c r="I25" s="20">
        <v>7192591.9308000002</v>
      </c>
      <c r="J25" s="20">
        <v>23105.261867800007</v>
      </c>
      <c r="K25" s="20">
        <v>17017.692464999996</v>
      </c>
      <c r="L25" s="20" t="s">
        <v>21</v>
      </c>
      <c r="M25" s="20" t="s">
        <v>21</v>
      </c>
      <c r="N25" s="20" t="s">
        <v>21</v>
      </c>
      <c r="O25" s="20" t="s">
        <v>21</v>
      </c>
      <c r="P25" s="21" t="s">
        <v>21</v>
      </c>
      <c r="Q25" s="22">
        <f t="shared" si="0"/>
        <v>1377.3737760182078</v>
      </c>
      <c r="R25" s="24"/>
      <c r="AB25" s="23"/>
      <c r="AC25" s="23"/>
      <c r="AD25" s="23"/>
      <c r="AE25" s="23"/>
      <c r="AF25" s="23"/>
      <c r="AG25" s="23"/>
      <c r="AH25" s="23"/>
      <c r="AI25" s="23"/>
    </row>
    <row r="26" spans="3:36" x14ac:dyDescent="0.25">
      <c r="C26" s="19">
        <v>2015</v>
      </c>
      <c r="D26" s="20">
        <v>1699939.7432781935</v>
      </c>
      <c r="E26" s="20">
        <v>137378305.7952458</v>
      </c>
      <c r="F26" s="20">
        <v>1415823.5863843861</v>
      </c>
      <c r="G26" s="20">
        <v>4071094.9244271382</v>
      </c>
      <c r="H26" s="20">
        <v>314011.10750861233</v>
      </c>
      <c r="I26" s="20">
        <v>7320806.8477000007</v>
      </c>
      <c r="J26" s="20">
        <v>19510.729779199999</v>
      </c>
      <c r="K26" s="20">
        <v>20153.237616000009</v>
      </c>
      <c r="L26" s="20" t="s">
        <v>21</v>
      </c>
      <c r="M26" s="20" t="s">
        <v>21</v>
      </c>
      <c r="N26" s="20" t="s">
        <v>21</v>
      </c>
      <c r="O26" s="20" t="s">
        <v>21</v>
      </c>
      <c r="P26" s="21" t="s">
        <v>21</v>
      </c>
      <c r="Q26" s="22">
        <f t="shared" si="0"/>
        <v>1699.9397432781934</v>
      </c>
      <c r="R26" s="24"/>
      <c r="AB26" s="23"/>
      <c r="AC26" s="23"/>
      <c r="AD26" s="23"/>
      <c r="AE26" s="23"/>
      <c r="AF26" s="23"/>
      <c r="AG26" s="23"/>
      <c r="AH26" s="23"/>
      <c r="AI26" s="23"/>
    </row>
    <row r="27" spans="3:36" x14ac:dyDescent="0.25">
      <c r="C27" s="19">
        <v>2016</v>
      </c>
      <c r="D27" s="20">
        <v>2352959.5047380654</v>
      </c>
      <c r="E27" s="20">
        <v>142230636.69316867</v>
      </c>
      <c r="F27" s="20">
        <v>1329178.0227656392</v>
      </c>
      <c r="G27" s="20">
        <v>4329179.7629066529</v>
      </c>
      <c r="H27" s="20">
        <v>312806.40109176951</v>
      </c>
      <c r="I27" s="20">
        <v>7663123.9877000004</v>
      </c>
      <c r="J27" s="20">
        <v>18789.0047614</v>
      </c>
      <c r="K27" s="20">
        <v>25756.505005499999</v>
      </c>
      <c r="L27" s="20">
        <v>23251.82108854</v>
      </c>
      <c r="M27" s="20">
        <v>187.59719447999996</v>
      </c>
      <c r="N27" s="20" t="s">
        <v>21</v>
      </c>
      <c r="O27" s="20">
        <v>1194.0643193499998</v>
      </c>
      <c r="P27" s="21" t="s">
        <v>21</v>
      </c>
      <c r="Q27" s="22">
        <f t="shared" si="0"/>
        <v>2352.9595047380653</v>
      </c>
      <c r="R27" s="24"/>
      <c r="AB27" s="23"/>
      <c r="AC27" s="23"/>
      <c r="AD27" s="23"/>
      <c r="AE27" s="23"/>
      <c r="AF27" s="23"/>
      <c r="AG27" s="23"/>
      <c r="AH27" s="23"/>
      <c r="AI27" s="23"/>
    </row>
    <row r="28" spans="3:36" x14ac:dyDescent="0.25">
      <c r="C28" s="19">
        <v>2017</v>
      </c>
      <c r="D28" s="20">
        <v>2440181.1105834288</v>
      </c>
      <c r="E28" s="20">
        <v>138425832.76156646</v>
      </c>
      <c r="F28" s="20">
        <v>1466521.468671351</v>
      </c>
      <c r="G28" s="20">
        <v>4318324.2784375055</v>
      </c>
      <c r="H28" s="20">
        <v>305279.59941443987</v>
      </c>
      <c r="I28" s="20">
        <v>8668091.618999999</v>
      </c>
      <c r="J28" s="20">
        <v>17790.363566100001</v>
      </c>
      <c r="K28" s="20">
        <v>28141.125214199987</v>
      </c>
      <c r="L28" s="20">
        <v>22403.407244680002</v>
      </c>
      <c r="M28" s="20">
        <v>123.17674860000001</v>
      </c>
      <c r="N28" s="20" t="s">
        <v>21</v>
      </c>
      <c r="O28" s="20">
        <v>1133.2781170000001</v>
      </c>
      <c r="P28" s="21" t="s">
        <v>21</v>
      </c>
      <c r="Q28" s="22">
        <f t="shared" si="0"/>
        <v>2440.1811105834286</v>
      </c>
      <c r="R28" s="24"/>
      <c r="AB28" s="23"/>
      <c r="AC28" s="23"/>
      <c r="AD28" s="23"/>
      <c r="AE28" s="23"/>
      <c r="AF28" s="23"/>
      <c r="AG28" s="23"/>
      <c r="AH28" s="23"/>
      <c r="AI28" s="23"/>
    </row>
    <row r="29" spans="3:36" ht="12" customHeight="1" x14ac:dyDescent="0.25">
      <c r="C29" s="19">
        <v>2018</v>
      </c>
      <c r="D29" s="20">
        <v>2416881.1002070699</v>
      </c>
      <c r="E29" s="20">
        <v>125933914.4370804</v>
      </c>
      <c r="F29" s="20">
        <v>1471845.936649523</v>
      </c>
      <c r="G29" s="20">
        <v>3999990.1319625694</v>
      </c>
      <c r="H29" s="20">
        <v>288796.22529555805</v>
      </c>
      <c r="I29" s="20">
        <v>9096993.8719999995</v>
      </c>
      <c r="J29" s="20">
        <v>18601.344508400005</v>
      </c>
      <c r="K29" s="20">
        <v>27604.218841510006</v>
      </c>
      <c r="L29" s="20">
        <v>20407.598393799999</v>
      </c>
      <c r="M29" s="20">
        <v>145.236144</v>
      </c>
      <c r="N29" s="20" t="s">
        <v>21</v>
      </c>
      <c r="O29" s="20">
        <v>20879.636489500001</v>
      </c>
      <c r="P29" s="21" t="s">
        <v>21</v>
      </c>
      <c r="Q29" s="22">
        <f t="shared" si="0"/>
        <v>2416.8811002070697</v>
      </c>
      <c r="R29" s="24"/>
      <c r="AB29" s="23"/>
      <c r="AC29" s="23"/>
      <c r="AD29" s="23"/>
      <c r="AE29" s="23"/>
      <c r="AF29" s="23"/>
      <c r="AG29" s="23"/>
      <c r="AH29" s="23"/>
      <c r="AI29" s="23"/>
    </row>
    <row r="30" spans="3:36" x14ac:dyDescent="0.25">
      <c r="C30" s="19">
        <v>2019</v>
      </c>
      <c r="D30" s="20">
        <v>2437925.373902773</v>
      </c>
      <c r="E30" s="20">
        <v>113586028.97131993</v>
      </c>
      <c r="F30" s="20">
        <v>1382753.4838439696</v>
      </c>
      <c r="G30" s="20">
        <v>3706760.2491151234</v>
      </c>
      <c r="H30" s="20">
        <v>307020.88310454384</v>
      </c>
      <c r="I30" s="20">
        <v>9666411.8718999997</v>
      </c>
      <c r="J30" s="20">
        <v>19853.168399999995</v>
      </c>
      <c r="K30" s="20">
        <v>30441.359039579998</v>
      </c>
      <c r="L30" s="20">
        <v>24914.734069159997</v>
      </c>
      <c r="M30" s="20">
        <v>72.514848099999995</v>
      </c>
      <c r="N30" s="20" t="s">
        <v>21</v>
      </c>
      <c r="O30" s="20">
        <v>18814.2028421</v>
      </c>
      <c r="P30" s="21" t="s">
        <v>21</v>
      </c>
      <c r="Q30" s="22">
        <f t="shared" si="0"/>
        <v>2437.9253739027731</v>
      </c>
      <c r="R30" s="24"/>
      <c r="AB30" s="23"/>
      <c r="AC30" s="23"/>
      <c r="AD30" s="23"/>
      <c r="AE30" s="23"/>
      <c r="AF30" s="23"/>
      <c r="AG30" s="23"/>
      <c r="AH30" s="23"/>
      <c r="AI30" s="23"/>
    </row>
    <row r="31" spans="3:36" x14ac:dyDescent="0.25">
      <c r="C31" s="19">
        <v>2020</v>
      </c>
      <c r="D31" s="20">
        <v>2150125.9121219628</v>
      </c>
      <c r="E31" s="20">
        <v>85368457.367976174</v>
      </c>
      <c r="F31" s="20">
        <v>1334570.4777680759</v>
      </c>
      <c r="G31" s="20">
        <v>2721461.1368655483</v>
      </c>
      <c r="H31" s="20">
        <v>241547.91303967001</v>
      </c>
      <c r="I31" s="20">
        <v>8893971.5276180003</v>
      </c>
      <c r="J31" s="20">
        <v>20646.581029499997</v>
      </c>
      <c r="K31" s="20">
        <v>32184.625879069805</v>
      </c>
      <c r="L31" s="20">
        <v>19013.894022044497</v>
      </c>
      <c r="M31" s="20">
        <v>73.906293489500015</v>
      </c>
      <c r="N31" s="20">
        <v>235.52044689999997</v>
      </c>
      <c r="O31" s="20">
        <v>10119.873510295998</v>
      </c>
      <c r="P31" s="21" t="s">
        <v>21</v>
      </c>
      <c r="Q31" s="22">
        <f t="shared" si="0"/>
        <v>2150.1259121219628</v>
      </c>
      <c r="R31" s="24"/>
      <c r="AB31" s="23"/>
      <c r="AC31" s="23"/>
      <c r="AD31" s="23"/>
      <c r="AE31" s="23"/>
      <c r="AF31" s="23"/>
      <c r="AG31" s="23"/>
      <c r="AH31" s="23"/>
      <c r="AI31" s="23"/>
    </row>
    <row r="32" spans="3:36" x14ac:dyDescent="0.25">
      <c r="C32" s="19">
        <v>2021</v>
      </c>
      <c r="D32" s="20">
        <v>2326035.3089323733</v>
      </c>
      <c r="E32" s="20">
        <v>97492951.121057257</v>
      </c>
      <c r="F32" s="20">
        <v>1533134.9989912319</v>
      </c>
      <c r="G32" s="20">
        <v>3333632.4494976597</v>
      </c>
      <c r="H32" s="20">
        <v>264426.50705023162</v>
      </c>
      <c r="I32" s="20">
        <v>12149273.526027001</v>
      </c>
      <c r="J32" s="20">
        <v>26995.267701000004</v>
      </c>
      <c r="K32" s="20">
        <v>34148.029036760017</v>
      </c>
      <c r="L32" s="20">
        <v>21876.501141209999</v>
      </c>
      <c r="M32" s="20">
        <v>247.486251065</v>
      </c>
      <c r="N32" s="20">
        <v>278.81457949999998</v>
      </c>
      <c r="O32" s="20">
        <v>11390.682832689996</v>
      </c>
      <c r="P32" s="21" t="s">
        <v>21</v>
      </c>
      <c r="Q32" s="22">
        <f t="shared" si="0"/>
        <v>2326.0353089323735</v>
      </c>
      <c r="R32" s="24"/>
      <c r="AB32" s="23"/>
      <c r="AC32" s="23"/>
      <c r="AD32" s="23"/>
      <c r="AE32" s="23"/>
      <c r="AF32" s="23"/>
      <c r="AG32" s="23"/>
      <c r="AH32" s="23"/>
      <c r="AI32" s="23"/>
    </row>
    <row r="33" spans="3:35" x14ac:dyDescent="0.25">
      <c r="C33" s="19">
        <v>2022</v>
      </c>
      <c r="D33" s="20">
        <v>2445270.8303173976</v>
      </c>
      <c r="E33" s="20">
        <v>96965977.163885579</v>
      </c>
      <c r="F33" s="20">
        <v>1369649.1117797941</v>
      </c>
      <c r="G33" s="20">
        <v>3084038.7076613051</v>
      </c>
      <c r="H33" s="20">
        <v>255442.99715858512</v>
      </c>
      <c r="I33" s="20">
        <v>12936826.381839</v>
      </c>
      <c r="J33" s="20">
        <v>28231.359913</v>
      </c>
      <c r="K33" s="20">
        <v>31587.568951759989</v>
      </c>
      <c r="L33" s="20">
        <v>25378.500620530005</v>
      </c>
      <c r="M33" s="20">
        <v>251.24793746000006</v>
      </c>
      <c r="N33" s="20">
        <v>263.99886950000001</v>
      </c>
      <c r="O33" s="20">
        <v>1169.1241914</v>
      </c>
      <c r="P33" s="21" t="s">
        <v>21</v>
      </c>
      <c r="Q33" s="22">
        <f t="shared" si="0"/>
        <v>2445.2708303173977</v>
      </c>
      <c r="R33" s="24"/>
      <c r="AB33" s="23"/>
      <c r="AC33" s="23"/>
      <c r="AD33" s="23"/>
      <c r="AE33" s="23"/>
      <c r="AF33" s="23"/>
      <c r="AG33" s="23"/>
      <c r="AH33" s="23"/>
      <c r="AI33" s="23"/>
    </row>
    <row r="34" spans="3:35" x14ac:dyDescent="0.25">
      <c r="C34" s="19">
        <v>2023</v>
      </c>
      <c r="D34" s="20">
        <v>2755244.3167853276</v>
      </c>
      <c r="E34" s="20">
        <v>100985631.43873213</v>
      </c>
      <c r="F34" s="20">
        <v>1469127.1631768667</v>
      </c>
      <c r="G34" s="20">
        <v>3041393.6459926581</v>
      </c>
      <c r="H34" s="20">
        <v>273335.49825696991</v>
      </c>
      <c r="I34" s="20">
        <v>12986023.244491</v>
      </c>
      <c r="J34" s="20">
        <v>26230.046980000003</v>
      </c>
      <c r="K34" s="20">
        <v>33475.6190292315</v>
      </c>
      <c r="L34" s="20">
        <v>31161.763995300007</v>
      </c>
      <c r="M34" s="20">
        <v>303.74941249999995</v>
      </c>
      <c r="N34" s="20">
        <v>331.35815600000001</v>
      </c>
      <c r="O34" s="20">
        <v>1326.7171017999999</v>
      </c>
      <c r="P34" s="21">
        <v>22.705695600000002</v>
      </c>
      <c r="Q34" s="22">
        <f t="shared" si="0"/>
        <v>2755.2443167853276</v>
      </c>
      <c r="R34" s="24"/>
      <c r="AB34" s="23"/>
      <c r="AC34" s="23"/>
      <c r="AD34" s="23"/>
      <c r="AE34" s="23"/>
      <c r="AF34" s="23"/>
      <c r="AG34" s="23"/>
      <c r="AH34" s="23"/>
      <c r="AI34" s="23"/>
    </row>
    <row r="35" spans="3:35" x14ac:dyDescent="0.25">
      <c r="C35" s="19">
        <v>2024</v>
      </c>
      <c r="D35" s="20">
        <v>2736237.1072517242</v>
      </c>
      <c r="E35" s="20">
        <v>109624691.96159829</v>
      </c>
      <c r="F35" s="20">
        <v>1270646.954794979</v>
      </c>
      <c r="G35" s="20">
        <v>3512301.3933015401</v>
      </c>
      <c r="H35" s="20">
        <v>291319.62661629292</v>
      </c>
      <c r="I35" s="20">
        <v>13309265.480335999</v>
      </c>
      <c r="J35" s="20">
        <v>32317.234399999998</v>
      </c>
      <c r="K35" s="20">
        <v>41941.797900007798</v>
      </c>
      <c r="L35" s="20">
        <v>32027.784417279996</v>
      </c>
      <c r="M35" s="20">
        <v>265.34277630000003</v>
      </c>
      <c r="N35" s="20">
        <v>317.31784800000003</v>
      </c>
      <c r="O35" s="20">
        <v>24159.249493900003</v>
      </c>
      <c r="P35" s="21">
        <v>40.573911600000002</v>
      </c>
      <c r="Q35" s="22">
        <f t="shared" si="0"/>
        <v>2736.2371072517244</v>
      </c>
      <c r="R35" s="24"/>
      <c r="AB35" s="23"/>
      <c r="AC35" s="23"/>
      <c r="AD35" s="23"/>
      <c r="AE35" s="23"/>
      <c r="AF35" s="23"/>
      <c r="AG35" s="23"/>
      <c r="AH35" s="23"/>
      <c r="AI35" s="23"/>
    </row>
    <row r="36" spans="3:35" x14ac:dyDescent="0.25">
      <c r="C36" s="204">
        <v>2025</v>
      </c>
      <c r="D36" s="20">
        <v>2769793.7213370204</v>
      </c>
      <c r="E36" s="20">
        <v>108906740.08143118</v>
      </c>
      <c r="F36" s="20">
        <v>1506412.8563966351</v>
      </c>
      <c r="G36" s="20">
        <v>3762107.6960177491</v>
      </c>
      <c r="H36" s="20">
        <v>312222.99845976051</v>
      </c>
      <c r="I36" s="20">
        <v>11892474.643507</v>
      </c>
      <c r="J36" s="20">
        <v>33816.185040000004</v>
      </c>
      <c r="K36" s="20">
        <v>38009.426725496101</v>
      </c>
      <c r="L36" s="20">
        <v>28040.647535969994</v>
      </c>
      <c r="M36" s="20">
        <v>283.76478187999999</v>
      </c>
      <c r="N36" s="20">
        <v>311.762111</v>
      </c>
      <c r="O36" s="20">
        <v>37327.145479799998</v>
      </c>
      <c r="P36" s="205">
        <v>35.532075999999996</v>
      </c>
      <c r="Q36" s="22">
        <f t="shared" si="0"/>
        <v>2769.7937213370205</v>
      </c>
      <c r="R36" s="24"/>
      <c r="AB36" s="23"/>
      <c r="AC36" s="23"/>
      <c r="AD36" s="23"/>
      <c r="AE36" s="23"/>
      <c r="AF36" s="23"/>
      <c r="AG36" s="23"/>
      <c r="AH36" s="23"/>
      <c r="AI36" s="23"/>
    </row>
    <row r="37" spans="3:35" ht="38.25" x14ac:dyDescent="0.25">
      <c r="C37" s="25" t="s">
        <v>121</v>
      </c>
      <c r="D37" s="26">
        <f t="shared" ref="D37:P37" si="1">SUM(D38:D39)</f>
        <v>449518.62585200003</v>
      </c>
      <c r="E37" s="26">
        <f t="shared" si="1"/>
        <v>16233138.670785997</v>
      </c>
      <c r="F37" s="26">
        <f t="shared" si="1"/>
        <v>213652.33742199998</v>
      </c>
      <c r="G37" s="26">
        <f t="shared" si="1"/>
        <v>575669.87838799995</v>
      </c>
      <c r="H37" s="26">
        <f t="shared" si="1"/>
        <v>43513.603313000007</v>
      </c>
      <c r="I37" s="26">
        <f t="shared" si="1"/>
        <v>2314431.3361980002</v>
      </c>
      <c r="J37" s="26">
        <f t="shared" si="1"/>
        <v>5249.1033420000003</v>
      </c>
      <c r="K37" s="26">
        <f t="shared" si="1"/>
        <v>6216.3383640000002</v>
      </c>
      <c r="L37" s="26">
        <f t="shared" si="1"/>
        <v>3775.8962240000001</v>
      </c>
      <c r="M37" s="26">
        <f t="shared" si="1"/>
        <v>36.294599000000005</v>
      </c>
      <c r="N37" s="26">
        <f t="shared" si="1"/>
        <v>48.980727999999999</v>
      </c>
      <c r="O37" s="26">
        <f t="shared" si="1"/>
        <v>6798.3217179999992</v>
      </c>
      <c r="P37" s="206">
        <f t="shared" si="1"/>
        <v>8.037942000000001</v>
      </c>
      <c r="Q37" s="22">
        <f t="shared" si="0"/>
        <v>449.51862585200001</v>
      </c>
      <c r="R37" s="24"/>
      <c r="AB37" s="23"/>
      <c r="AC37" s="23"/>
      <c r="AD37" s="23"/>
      <c r="AE37" s="23"/>
      <c r="AF37" s="23"/>
      <c r="AG37" s="23"/>
      <c r="AH37" s="23"/>
      <c r="AI37" s="23"/>
    </row>
    <row r="38" spans="3:35" x14ac:dyDescent="0.25">
      <c r="C38" s="27" t="s">
        <v>22</v>
      </c>
      <c r="D38" s="20">
        <v>226255.88869400002</v>
      </c>
      <c r="E38" s="20">
        <v>8811985.4445309974</v>
      </c>
      <c r="F38" s="20">
        <v>105347.62395800001</v>
      </c>
      <c r="G38" s="20">
        <v>285998.06845599995</v>
      </c>
      <c r="H38" s="20">
        <v>22073.809587</v>
      </c>
      <c r="I38" s="20">
        <v>1175604.6615900001</v>
      </c>
      <c r="J38" s="20">
        <v>2638.101392</v>
      </c>
      <c r="K38" s="20">
        <v>3100.230423</v>
      </c>
      <c r="L38" s="20">
        <v>1688.6074710000003</v>
      </c>
      <c r="M38" s="208">
        <v>17.800156000000001</v>
      </c>
      <c r="N38" s="20">
        <v>26.551486000000001</v>
      </c>
      <c r="O38" s="20">
        <v>3476.3602589999996</v>
      </c>
      <c r="P38" s="209">
        <v>3.9908700000000001</v>
      </c>
      <c r="Q38" s="28">
        <v>11138766.849174995</v>
      </c>
      <c r="T38" s="29"/>
      <c r="U38" s="29"/>
      <c r="V38" s="29"/>
      <c r="W38" s="29"/>
      <c r="X38" s="29"/>
      <c r="Y38" s="29"/>
      <c r="Z38" s="29"/>
      <c r="AA38" s="29"/>
      <c r="AB38" s="23"/>
      <c r="AC38" s="23"/>
      <c r="AD38" s="23"/>
      <c r="AE38" s="23"/>
      <c r="AF38" s="23"/>
      <c r="AG38" s="23"/>
      <c r="AH38" s="23"/>
      <c r="AI38" s="23"/>
    </row>
    <row r="39" spans="3:35" x14ac:dyDescent="0.25">
      <c r="C39" s="212" t="s">
        <v>23</v>
      </c>
      <c r="D39" s="213">
        <v>223262.737158</v>
      </c>
      <c r="E39" s="213">
        <v>7421153.2262549996</v>
      </c>
      <c r="F39" s="213">
        <v>108304.71346399997</v>
      </c>
      <c r="G39" s="213">
        <v>289671.809932</v>
      </c>
      <c r="H39" s="213">
        <v>21439.793726000007</v>
      </c>
      <c r="I39" s="213">
        <v>1138826.6746080001</v>
      </c>
      <c r="J39" s="213">
        <v>2611.0019499999999</v>
      </c>
      <c r="K39" s="213">
        <v>3116.1079410000002</v>
      </c>
      <c r="L39" s="213">
        <v>2087.2887529999998</v>
      </c>
      <c r="M39" s="214">
        <v>18.494443</v>
      </c>
      <c r="N39" s="213">
        <v>22.429242000000002</v>
      </c>
      <c r="O39" s="213">
        <v>3321.9614590000001</v>
      </c>
      <c r="P39" s="211">
        <v>4.047072</v>
      </c>
      <c r="Q39" s="28"/>
      <c r="T39" s="29"/>
      <c r="U39" s="29"/>
      <c r="V39" s="29"/>
      <c r="W39" s="29"/>
      <c r="X39" s="29"/>
      <c r="Y39" s="29"/>
      <c r="Z39" s="29"/>
      <c r="AA39" s="29"/>
      <c r="AB39" s="23"/>
      <c r="AC39" s="23"/>
      <c r="AD39" s="23"/>
      <c r="AE39" s="23"/>
      <c r="AF39" s="23"/>
      <c r="AG39" s="23"/>
      <c r="AH39" s="23"/>
      <c r="AI39" s="23"/>
    </row>
    <row r="40" spans="3:35" x14ac:dyDescent="0.25">
      <c r="C40" s="30"/>
      <c r="D40" s="20"/>
      <c r="E40" s="20"/>
      <c r="F40" s="20"/>
      <c r="G40" s="20"/>
      <c r="H40" s="20"/>
      <c r="I40" s="20"/>
      <c r="J40" s="20"/>
      <c r="K40" s="20"/>
      <c r="L40" s="20"/>
      <c r="M40" s="208"/>
      <c r="N40" s="20"/>
      <c r="O40" s="20"/>
      <c r="P40" s="209"/>
      <c r="Q40" s="28"/>
      <c r="T40" s="29"/>
      <c r="U40" s="29"/>
      <c r="V40" s="29"/>
      <c r="W40" s="29"/>
      <c r="X40" s="29"/>
      <c r="Y40" s="29"/>
      <c r="Z40" s="29"/>
      <c r="AA40" s="29"/>
      <c r="AB40" s="23"/>
      <c r="AC40" s="23"/>
      <c r="AD40" s="23"/>
      <c r="AE40" s="23"/>
      <c r="AF40" s="23"/>
      <c r="AG40" s="23"/>
      <c r="AH40" s="23"/>
      <c r="AI40" s="23"/>
    </row>
    <row r="41" spans="3:35" x14ac:dyDescent="0.25">
      <c r="C41" s="34" t="s">
        <v>144</v>
      </c>
      <c r="D41" s="35"/>
      <c r="E41" s="35"/>
      <c r="F41" s="36"/>
      <c r="G41" s="35"/>
      <c r="H41" s="35"/>
      <c r="I41" s="35"/>
      <c r="J41" s="35"/>
      <c r="K41" s="35"/>
      <c r="L41" s="35"/>
      <c r="M41" s="35"/>
      <c r="N41" s="35"/>
      <c r="O41" s="35"/>
      <c r="P41" s="37"/>
      <c r="R41" s="24"/>
      <c r="S41" s="38"/>
    </row>
    <row r="42" spans="3:35" ht="25.5" x14ac:dyDescent="0.25">
      <c r="C42" s="39" t="s">
        <v>118</v>
      </c>
      <c r="D42" s="20">
        <v>217002.48869369697</v>
      </c>
      <c r="E42" s="20">
        <v>8071657.8982516732</v>
      </c>
      <c r="F42" s="20">
        <v>109459.79120289112</v>
      </c>
      <c r="G42" s="20">
        <v>297567.20122953266</v>
      </c>
      <c r="H42" s="20">
        <v>23230.586675680905</v>
      </c>
      <c r="I42" s="20">
        <v>1122169.9234620002</v>
      </c>
      <c r="J42" s="20">
        <v>2597.7712999999999</v>
      </c>
      <c r="K42" s="20">
        <v>3448.2970789000001</v>
      </c>
      <c r="L42" s="20">
        <v>2295.3407548999994</v>
      </c>
      <c r="M42" s="20">
        <v>16.554153000000003</v>
      </c>
      <c r="N42" s="20">
        <v>26.565791999999998</v>
      </c>
      <c r="O42" s="20">
        <v>3577.7138660000001</v>
      </c>
      <c r="P42" s="21">
        <v>2.8617279999999998</v>
      </c>
      <c r="R42" s="24"/>
      <c r="S42" s="38"/>
    </row>
    <row r="43" spans="3:35" ht="24" x14ac:dyDescent="0.25">
      <c r="C43" s="40" t="s">
        <v>119</v>
      </c>
      <c r="D43" s="20">
        <v>223262.737158</v>
      </c>
      <c r="E43" s="20">
        <v>7421153.2262549996</v>
      </c>
      <c r="F43" s="20">
        <v>108304.71346399997</v>
      </c>
      <c r="G43" s="20">
        <v>289671.809932</v>
      </c>
      <c r="H43" s="20">
        <v>21439.793726000007</v>
      </c>
      <c r="I43" s="20">
        <v>1138826.6746080001</v>
      </c>
      <c r="J43" s="20">
        <v>2611.0019499999999</v>
      </c>
      <c r="K43" s="20">
        <v>3116.1079410000002</v>
      </c>
      <c r="L43" s="20">
        <v>2087.2887529999998</v>
      </c>
      <c r="M43" s="20">
        <v>18.494443</v>
      </c>
      <c r="N43" s="20">
        <v>22.429242000000002</v>
      </c>
      <c r="O43" s="20">
        <v>3321.9614590000001</v>
      </c>
      <c r="P43" s="205">
        <v>4.047072</v>
      </c>
      <c r="Q43" s="41"/>
      <c r="R43" s="24"/>
      <c r="S43" s="23"/>
      <c r="T43" s="23"/>
      <c r="U43" s="23"/>
      <c r="V43" s="23"/>
      <c r="W43" s="23"/>
      <c r="X43" s="23"/>
      <c r="Y43" s="23"/>
      <c r="Z43" s="23"/>
    </row>
    <row r="44" spans="3:35" x14ac:dyDescent="0.25">
      <c r="C44" s="42" t="s">
        <v>24</v>
      </c>
      <c r="D44" s="43">
        <f t="shared" ref="D44:P44" si="2">+D43/D42-1</f>
        <v>2.8848740408408347E-2</v>
      </c>
      <c r="E44" s="43">
        <f>+E43/E42-1</f>
        <v>-8.0591209414062726E-2</v>
      </c>
      <c r="F44" s="44">
        <f>+F43/F42-1</f>
        <v>-1.0552530077004629E-2</v>
      </c>
      <c r="G44" s="44">
        <f>+G43/G42-1</f>
        <v>-2.6533136934814405E-2</v>
      </c>
      <c r="H44" s="44">
        <f t="shared" si="2"/>
        <v>-7.7087719508849073E-2</v>
      </c>
      <c r="I44" s="43">
        <f t="shared" si="2"/>
        <v>1.4843341278130362E-2</v>
      </c>
      <c r="J44" s="43">
        <f t="shared" si="2"/>
        <v>5.0930772851327522E-3</v>
      </c>
      <c r="K44" s="43">
        <f t="shared" si="2"/>
        <v>-9.6334257257778777E-2</v>
      </c>
      <c r="L44" s="43">
        <f t="shared" si="2"/>
        <v>-9.0641008946431456E-2</v>
      </c>
      <c r="M44" s="43">
        <f t="shared" si="2"/>
        <v>0.1172086545291684</v>
      </c>
      <c r="N44" s="43">
        <f t="shared" si="2"/>
        <v>-0.15570964343920168</v>
      </c>
      <c r="O44" s="43">
        <f t="shared" si="2"/>
        <v>-7.1484868991476769E-2</v>
      </c>
      <c r="P44" s="45">
        <f t="shared" si="2"/>
        <v>0.41420568272037039</v>
      </c>
      <c r="R44" s="24"/>
      <c r="S44" s="23"/>
      <c r="T44" s="23"/>
      <c r="U44" s="23"/>
      <c r="V44" s="23"/>
      <c r="W44" s="23"/>
      <c r="X44" s="23"/>
      <c r="Y44" s="23"/>
      <c r="Z44" s="23"/>
    </row>
    <row r="45" spans="3:35" x14ac:dyDescent="0.25">
      <c r="C45" s="33"/>
      <c r="D45" s="31"/>
      <c r="E45" s="31"/>
      <c r="F45" s="31"/>
      <c r="G45" s="31"/>
      <c r="H45" s="31"/>
      <c r="I45" s="31"/>
      <c r="J45" s="31"/>
      <c r="K45" s="31"/>
      <c r="L45" s="31"/>
      <c r="M45" s="31"/>
      <c r="N45" s="31"/>
      <c r="O45" s="31"/>
      <c r="P45" s="32"/>
      <c r="Q45" s="28"/>
      <c r="T45" s="29"/>
      <c r="U45" s="29"/>
      <c r="V45" s="29"/>
      <c r="W45" s="29"/>
      <c r="X45" s="29"/>
      <c r="Y45" s="29"/>
      <c r="Z45" s="29"/>
      <c r="AA45" s="29"/>
      <c r="AB45" s="23"/>
      <c r="AC45" s="23"/>
      <c r="AD45" s="23"/>
      <c r="AE45" s="23"/>
      <c r="AF45" s="23"/>
      <c r="AG45" s="23"/>
      <c r="AH45" s="23"/>
      <c r="AI45" s="23"/>
    </row>
    <row r="46" spans="3:35" x14ac:dyDescent="0.25">
      <c r="C46" s="34" t="s">
        <v>134</v>
      </c>
      <c r="D46" s="35"/>
      <c r="E46" s="35"/>
      <c r="F46" s="36"/>
      <c r="G46" s="35"/>
      <c r="H46" s="35"/>
      <c r="I46" s="35"/>
      <c r="J46" s="35"/>
      <c r="K46" s="35"/>
      <c r="L46" s="35"/>
      <c r="M46" s="35"/>
      <c r="N46" s="35"/>
      <c r="O46" s="35"/>
      <c r="P46" s="37"/>
      <c r="R46" s="24"/>
      <c r="S46" s="23"/>
      <c r="T46" s="23"/>
      <c r="U46" s="23"/>
      <c r="V46" s="23"/>
      <c r="W46" s="23"/>
      <c r="X46" s="23"/>
      <c r="Y46" s="23"/>
      <c r="Z46" s="23"/>
    </row>
    <row r="47" spans="3:35" ht="24" x14ac:dyDescent="0.25">
      <c r="C47" s="46" t="s">
        <v>130</v>
      </c>
      <c r="D47" s="20">
        <v>436673.64709236642</v>
      </c>
      <c r="E47" s="20">
        <v>16563579.351943677</v>
      </c>
      <c r="F47" s="20">
        <v>201315.4853678231</v>
      </c>
      <c r="G47" s="20">
        <v>571260.76621928159</v>
      </c>
      <c r="H47" s="20">
        <v>44799.386977572809</v>
      </c>
      <c r="I47" s="20">
        <v>2283548.7290559998</v>
      </c>
      <c r="J47" s="20">
        <v>5135.0240400000002</v>
      </c>
      <c r="K47" s="20">
        <v>6679.6905037973002</v>
      </c>
      <c r="L47" s="20">
        <v>4634.2308122999993</v>
      </c>
      <c r="M47" s="20">
        <v>36.565685799999997</v>
      </c>
      <c r="N47" s="20">
        <v>56.659902000000002</v>
      </c>
      <c r="O47" s="20">
        <v>6159.6974158000003</v>
      </c>
      <c r="P47" s="207">
        <v>5.0973880000000005</v>
      </c>
      <c r="R47" s="24"/>
      <c r="S47" s="23"/>
      <c r="T47" s="23"/>
      <c r="U47" s="23"/>
      <c r="V47" s="23"/>
      <c r="W47" s="23"/>
      <c r="X47" s="23"/>
      <c r="Y47" s="23"/>
      <c r="Z47" s="23"/>
    </row>
    <row r="48" spans="3:35" ht="24" x14ac:dyDescent="0.25">
      <c r="C48" s="46" t="s">
        <v>131</v>
      </c>
      <c r="D48" s="20">
        <v>449518.62585200003</v>
      </c>
      <c r="E48" s="20">
        <v>16233138.670785997</v>
      </c>
      <c r="F48" s="20">
        <v>213652.33742199998</v>
      </c>
      <c r="G48" s="20">
        <v>575669.87838799995</v>
      </c>
      <c r="H48" s="20">
        <v>43513.603313000007</v>
      </c>
      <c r="I48" s="20">
        <v>2314431.3361980002</v>
      </c>
      <c r="J48" s="20">
        <v>5249.1033420000003</v>
      </c>
      <c r="K48" s="20">
        <v>6216.3383640000002</v>
      </c>
      <c r="L48" s="20">
        <v>3775.8962240000001</v>
      </c>
      <c r="M48" s="20">
        <v>36.294599000000005</v>
      </c>
      <c r="N48" s="20">
        <v>48.980727999999999</v>
      </c>
      <c r="O48" s="20">
        <v>6798.3217179999992</v>
      </c>
      <c r="P48" s="205">
        <v>8.037942000000001</v>
      </c>
      <c r="R48" s="24"/>
      <c r="S48" s="23"/>
      <c r="T48" s="23"/>
      <c r="U48" s="23"/>
      <c r="V48" s="23"/>
      <c r="W48" s="23"/>
      <c r="X48" s="23"/>
      <c r="Y48" s="23"/>
      <c r="Z48" s="23"/>
    </row>
    <row r="49" spans="3:36" x14ac:dyDescent="0.25">
      <c r="C49" s="47" t="s">
        <v>24</v>
      </c>
      <c r="D49" s="48">
        <f t="shared" ref="D49:P49" si="3">+D48/D47-1</f>
        <v>2.9415511664519167E-2</v>
      </c>
      <c r="E49" s="49">
        <f t="shared" si="3"/>
        <v>-1.9949835366889102E-2</v>
      </c>
      <c r="F49" s="48">
        <f t="shared" si="3"/>
        <v>6.1281187741897947E-2</v>
      </c>
      <c r="G49" s="48">
        <f t="shared" si="3"/>
        <v>7.7182128188126864E-3</v>
      </c>
      <c r="H49" s="48">
        <f t="shared" si="3"/>
        <v>-2.870092095716581E-2</v>
      </c>
      <c r="I49" s="49">
        <f t="shared" si="3"/>
        <v>1.3523953638058472E-2</v>
      </c>
      <c r="J49" s="49">
        <f t="shared" si="3"/>
        <v>2.2215923647360469E-2</v>
      </c>
      <c r="K49" s="49">
        <f t="shared" si="3"/>
        <v>-6.9367306693909114E-2</v>
      </c>
      <c r="L49" s="49">
        <f t="shared" si="3"/>
        <v>-0.18521619294875002</v>
      </c>
      <c r="M49" s="49">
        <f>+M48/M47-1</f>
        <v>-7.4136938517366247E-3</v>
      </c>
      <c r="N49" s="48">
        <f>+N48/N47-1</f>
        <v>-0.13553101450828497</v>
      </c>
      <c r="O49" s="48">
        <f>+O48/O47-1</f>
        <v>0.10367786907225152</v>
      </c>
      <c r="P49" s="50">
        <f t="shared" si="3"/>
        <v>0.57687466600541293</v>
      </c>
      <c r="R49" s="24"/>
      <c r="S49" s="23"/>
      <c r="T49" s="23"/>
      <c r="U49" s="23"/>
      <c r="V49" s="23"/>
      <c r="W49" s="23"/>
      <c r="X49" s="23"/>
      <c r="Y49" s="23"/>
      <c r="Z49" s="23"/>
    </row>
    <row r="50" spans="3:36" x14ac:dyDescent="0.25">
      <c r="C50" s="33"/>
      <c r="D50" s="31"/>
      <c r="E50" s="31"/>
      <c r="F50" s="31"/>
      <c r="G50" s="31"/>
      <c r="H50" s="31"/>
      <c r="I50" s="31"/>
      <c r="J50" s="31"/>
      <c r="K50" s="31"/>
      <c r="L50" s="31"/>
      <c r="M50" s="31"/>
      <c r="N50" s="31"/>
      <c r="O50" s="31"/>
      <c r="P50" s="32"/>
      <c r="Q50" s="28"/>
      <c r="T50" s="29"/>
      <c r="U50" s="29"/>
      <c r="V50" s="29"/>
      <c r="W50" s="29"/>
      <c r="X50" s="29"/>
      <c r="Y50" s="29"/>
      <c r="Z50" s="29"/>
      <c r="AA50" s="29"/>
      <c r="AB50" s="23"/>
      <c r="AC50" s="23"/>
      <c r="AD50" s="23"/>
      <c r="AE50" s="23"/>
      <c r="AF50" s="23"/>
      <c r="AG50" s="23"/>
      <c r="AH50" s="23"/>
      <c r="AI50" s="23"/>
    </row>
    <row r="51" spans="3:36" x14ac:dyDescent="0.25">
      <c r="C51" s="34" t="s">
        <v>25</v>
      </c>
      <c r="D51" s="35"/>
      <c r="E51" s="35"/>
      <c r="F51" s="36"/>
      <c r="G51" s="35"/>
      <c r="H51" s="35"/>
      <c r="I51" s="35"/>
      <c r="J51" s="35"/>
      <c r="K51" s="35"/>
      <c r="L51" s="35"/>
      <c r="M51" s="35"/>
      <c r="N51" s="35"/>
      <c r="O51" s="35"/>
      <c r="P51" s="37"/>
      <c r="Q51" s="28"/>
      <c r="T51" s="29"/>
      <c r="U51" s="29"/>
      <c r="V51" s="29"/>
      <c r="W51" s="29"/>
      <c r="X51" s="29"/>
      <c r="Y51" s="29"/>
      <c r="Z51" s="29"/>
      <c r="AA51" s="29"/>
      <c r="AB51" s="23"/>
      <c r="AC51" s="23"/>
      <c r="AD51" s="23"/>
      <c r="AE51" s="23"/>
      <c r="AF51" s="23"/>
      <c r="AG51" s="23"/>
      <c r="AH51" s="23"/>
      <c r="AI51" s="23"/>
    </row>
    <row r="52" spans="3:36" ht="24" x14ac:dyDescent="0.25">
      <c r="C52" s="51" t="s">
        <v>132</v>
      </c>
      <c r="D52" s="20">
        <v>226255.88869400002</v>
      </c>
      <c r="E52" s="20">
        <v>8811985.4445309974</v>
      </c>
      <c r="F52" s="20">
        <v>105347.62395800001</v>
      </c>
      <c r="G52" s="20">
        <v>285998.06845599995</v>
      </c>
      <c r="H52" s="20">
        <v>22073.809587</v>
      </c>
      <c r="I52" s="20">
        <v>1175604.6615900001</v>
      </c>
      <c r="J52" s="20">
        <v>2638.101392</v>
      </c>
      <c r="K52" s="20">
        <v>3100.230423</v>
      </c>
      <c r="L52" s="20">
        <v>1688.6074710000003</v>
      </c>
      <c r="M52" s="208">
        <v>17.800156000000001</v>
      </c>
      <c r="N52" s="20">
        <v>26.551486000000001</v>
      </c>
      <c r="O52" s="20">
        <v>3476.3602589999996</v>
      </c>
      <c r="P52" s="210">
        <v>3.9908700000000001</v>
      </c>
      <c r="Q52" s="28"/>
      <c r="T52" s="29"/>
      <c r="U52" s="29"/>
      <c r="V52" s="29"/>
      <c r="W52" s="29"/>
      <c r="X52" s="29"/>
      <c r="Y52" s="29"/>
      <c r="Z52" s="29"/>
      <c r="AA52" s="29"/>
      <c r="AB52" s="23"/>
      <c r="AC52" s="23"/>
      <c r="AD52" s="23"/>
      <c r="AE52" s="23"/>
      <c r="AF52" s="23"/>
      <c r="AG52" s="23"/>
      <c r="AH52" s="23"/>
      <c r="AI52" s="23"/>
    </row>
    <row r="53" spans="3:36" ht="24" x14ac:dyDescent="0.25">
      <c r="C53" s="53" t="s">
        <v>119</v>
      </c>
      <c r="D53" s="20">
        <v>223262.737158</v>
      </c>
      <c r="E53" s="20">
        <v>7421153.2262549996</v>
      </c>
      <c r="F53" s="20">
        <v>108304.71346399997</v>
      </c>
      <c r="G53" s="20">
        <v>289671.809932</v>
      </c>
      <c r="H53" s="20">
        <v>21439.793726000007</v>
      </c>
      <c r="I53" s="20">
        <v>1138826.6746080001</v>
      </c>
      <c r="J53" s="20">
        <v>2611.0019499999999</v>
      </c>
      <c r="K53" s="20">
        <v>3116.1079410000002</v>
      </c>
      <c r="L53" s="20">
        <v>2087.2887529999998</v>
      </c>
      <c r="M53" s="208">
        <v>18.494443</v>
      </c>
      <c r="N53" s="20">
        <v>22.429242000000002</v>
      </c>
      <c r="O53" s="20">
        <v>3321.9614590000001</v>
      </c>
      <c r="P53" s="211">
        <v>4.047072</v>
      </c>
      <c r="Q53" s="28"/>
      <c r="T53" s="29"/>
      <c r="U53" s="29"/>
      <c r="V53" s="29"/>
      <c r="W53" s="29"/>
      <c r="X53" s="29"/>
      <c r="Y53" s="29"/>
      <c r="Z53" s="29"/>
      <c r="AA53" s="29"/>
      <c r="AB53" s="23"/>
      <c r="AC53" s="23"/>
      <c r="AD53" s="23"/>
      <c r="AE53" s="23"/>
      <c r="AF53" s="23"/>
      <c r="AG53" s="23"/>
      <c r="AH53" s="23"/>
      <c r="AI53" s="23"/>
    </row>
    <row r="54" spans="3:36" x14ac:dyDescent="0.25">
      <c r="C54" s="54" t="s">
        <v>24</v>
      </c>
      <c r="D54" s="49">
        <f t="shared" ref="D54:M54" si="4">+D53/D52-1</f>
        <v>-1.3229054736551449E-2</v>
      </c>
      <c r="E54" s="49">
        <f t="shared" si="4"/>
        <v>-0.15783414839151755</v>
      </c>
      <c r="F54" s="49">
        <f t="shared" si="4"/>
        <v>2.8069826303618317E-2</v>
      </c>
      <c r="G54" s="49">
        <f t="shared" si="4"/>
        <v>1.2845336668996676E-2</v>
      </c>
      <c r="H54" s="49">
        <f t="shared" si="4"/>
        <v>-2.8722539192934993E-2</v>
      </c>
      <c r="I54" s="49">
        <f t="shared" si="4"/>
        <v>-3.1284315368618865E-2</v>
      </c>
      <c r="J54" s="49">
        <f t="shared" si="4"/>
        <v>-1.0272327698313211E-2</v>
      </c>
      <c r="K54" s="49">
        <f t="shared" si="4"/>
        <v>5.1213993263881097E-3</v>
      </c>
      <c r="L54" s="49">
        <f t="shared" si="4"/>
        <v>0.23610062660915432</v>
      </c>
      <c r="M54" s="49">
        <f t="shared" si="4"/>
        <v>3.9004545802856949E-2</v>
      </c>
      <c r="N54" s="49">
        <f>+N53/N52-1</f>
        <v>-0.15525473790807787</v>
      </c>
      <c r="O54" s="49">
        <f>+O53/O52-1</f>
        <v>-4.4413923902240637E-2</v>
      </c>
      <c r="P54" s="50">
        <f>+P53/P52-1</f>
        <v>1.4082643634094838E-2</v>
      </c>
      <c r="Q54" s="28"/>
      <c r="T54" s="29"/>
      <c r="U54" s="29"/>
      <c r="V54" s="29"/>
      <c r="W54" s="29"/>
      <c r="X54" s="29"/>
      <c r="Y54" s="29"/>
      <c r="Z54" s="29"/>
      <c r="AA54" s="29"/>
      <c r="AB54" s="23"/>
      <c r="AC54" s="23"/>
      <c r="AD54" s="23"/>
      <c r="AE54" s="23"/>
      <c r="AF54" s="23"/>
      <c r="AG54" s="23"/>
      <c r="AH54" s="23"/>
      <c r="AI54" s="23"/>
    </row>
    <row r="55" spans="3:36" x14ac:dyDescent="0.25">
      <c r="C55" s="55"/>
      <c r="D55" s="56"/>
      <c r="E55" s="57"/>
      <c r="F55" s="56"/>
      <c r="G55" s="56"/>
      <c r="H55" s="56"/>
      <c r="I55" s="56"/>
      <c r="J55" s="56"/>
      <c r="K55" s="56"/>
      <c r="L55" s="56"/>
      <c r="M55" s="56"/>
      <c r="N55" s="56"/>
      <c r="O55" s="56"/>
      <c r="P55" s="58"/>
      <c r="R55" s="24"/>
      <c r="S55" s="23"/>
      <c r="T55" s="23"/>
      <c r="U55" s="23"/>
      <c r="V55" s="23"/>
      <c r="W55" s="23"/>
      <c r="X55" s="23"/>
      <c r="Y55" s="23"/>
      <c r="Z55" s="23"/>
    </row>
    <row r="56" spans="3:36" s="60" customFormat="1" ht="77.25" customHeight="1" x14ac:dyDescent="0.25">
      <c r="C56" s="241" t="s">
        <v>133</v>
      </c>
      <c r="D56" s="242"/>
      <c r="E56" s="242"/>
      <c r="F56" s="242"/>
      <c r="G56" s="242"/>
      <c r="H56" s="242"/>
      <c r="I56" s="242"/>
      <c r="J56" s="242"/>
      <c r="K56" s="242"/>
      <c r="L56" s="242"/>
      <c r="M56" s="242"/>
      <c r="N56" s="242"/>
      <c r="O56" s="242"/>
      <c r="P56" s="243"/>
      <c r="Q56" s="59"/>
    </row>
    <row r="57" spans="3:36" s="60" customFormat="1" ht="41.25" customHeight="1" x14ac:dyDescent="0.25">
      <c r="C57" s="244"/>
      <c r="D57" s="245"/>
      <c r="E57" s="245"/>
      <c r="F57" s="245"/>
      <c r="G57" s="245"/>
      <c r="H57" s="245"/>
      <c r="I57" s="245"/>
      <c r="J57" s="245"/>
      <c r="K57" s="245"/>
      <c r="L57" s="245"/>
      <c r="M57" s="245"/>
      <c r="N57" s="245"/>
      <c r="O57" s="245"/>
      <c r="P57" s="246"/>
      <c r="Q57" s="59"/>
    </row>
    <row r="58" spans="3:36" s="60" customFormat="1" ht="15" x14ac:dyDescent="0.25">
      <c r="Q58" s="59"/>
    </row>
    <row r="59" spans="3:36" ht="36.6" customHeight="1" x14ac:dyDescent="0.25">
      <c r="C59" s="247" t="s">
        <v>26</v>
      </c>
      <c r="D59" s="247"/>
      <c r="E59" s="247"/>
      <c r="F59" s="247"/>
      <c r="G59" s="247"/>
      <c r="H59" s="247"/>
      <c r="I59" s="247"/>
      <c r="J59" s="247"/>
      <c r="K59" s="247"/>
      <c r="L59" s="247"/>
      <c r="M59" s="247"/>
      <c r="N59" s="247"/>
      <c r="O59" s="247"/>
      <c r="P59" s="247"/>
    </row>
    <row r="60" spans="3:36" ht="36.75" customHeight="1" x14ac:dyDescent="0.25"/>
    <row r="61" spans="3:36" ht="36.75" customHeight="1" x14ac:dyDescent="0.25"/>
    <row r="62" spans="3:36" ht="36.75" customHeight="1" x14ac:dyDescent="0.25"/>
    <row r="63" spans="3:36" s="8" customFormat="1" ht="36.75" customHeight="1" x14ac:dyDescent="0.25">
      <c r="C63" s="38"/>
      <c r="D63" s="2"/>
      <c r="E63" s="2"/>
      <c r="F63" s="2"/>
      <c r="G63" s="2"/>
      <c r="H63" s="2"/>
      <c r="I63" s="2"/>
      <c r="J63" s="2"/>
      <c r="K63" s="2"/>
      <c r="L63" s="2"/>
      <c r="M63" s="2"/>
      <c r="N63" s="2"/>
      <c r="O63" s="2"/>
      <c r="P63" s="2"/>
      <c r="R63" s="2"/>
      <c r="S63" s="2"/>
      <c r="T63" s="2"/>
      <c r="U63" s="2"/>
      <c r="V63" s="2"/>
      <c r="W63" s="2"/>
      <c r="X63" s="2"/>
      <c r="Y63" s="2"/>
      <c r="Z63" s="2"/>
      <c r="AA63" s="2"/>
      <c r="AB63" s="2"/>
      <c r="AC63" s="2"/>
      <c r="AD63" s="2"/>
      <c r="AE63" s="2"/>
      <c r="AF63" s="2"/>
      <c r="AG63" s="2"/>
      <c r="AH63" s="2"/>
      <c r="AI63" s="2"/>
      <c r="AJ63" s="2"/>
    </row>
    <row r="64" spans="3:36" s="8" customFormat="1" ht="36.75" customHeight="1" x14ac:dyDescent="0.25">
      <c r="C64" s="38"/>
      <c r="D64" s="2"/>
      <c r="E64" s="2"/>
      <c r="F64" s="2"/>
      <c r="G64" s="2"/>
      <c r="H64" s="2"/>
      <c r="I64" s="2"/>
      <c r="J64" s="2"/>
      <c r="K64" s="2"/>
      <c r="L64" s="2"/>
      <c r="M64" s="2"/>
      <c r="N64" s="2"/>
      <c r="O64" s="2"/>
      <c r="P64" s="2"/>
      <c r="R64" s="2"/>
      <c r="S64" s="2"/>
      <c r="T64" s="2"/>
      <c r="U64" s="2"/>
      <c r="V64" s="2"/>
      <c r="W64" s="2"/>
      <c r="X64" s="2"/>
      <c r="Y64" s="2"/>
      <c r="Z64" s="2"/>
      <c r="AA64" s="2"/>
      <c r="AB64" s="2"/>
      <c r="AC64" s="2"/>
      <c r="AD64" s="2"/>
      <c r="AE64" s="2"/>
      <c r="AF64" s="2"/>
      <c r="AG64" s="2"/>
      <c r="AH64" s="2"/>
      <c r="AI64" s="2"/>
      <c r="AJ64" s="2"/>
    </row>
    <row r="65" spans="3:36" ht="36.75" customHeight="1" x14ac:dyDescent="0.25"/>
    <row r="66" spans="3:36" s="8" customFormat="1" ht="36.75" customHeight="1" x14ac:dyDescent="0.25">
      <c r="C66" s="2"/>
      <c r="D66" s="2"/>
      <c r="E66" s="2"/>
      <c r="F66" s="2"/>
      <c r="G66" s="2"/>
      <c r="H66" s="2"/>
      <c r="I66" s="2"/>
      <c r="J66" s="2"/>
      <c r="K66" s="2"/>
      <c r="L66" s="2"/>
      <c r="M66" s="2"/>
      <c r="N66" s="2"/>
      <c r="O66" s="2"/>
      <c r="P66" s="2"/>
      <c r="R66" s="2"/>
      <c r="S66" s="2"/>
      <c r="T66" s="2"/>
      <c r="U66" s="2"/>
      <c r="V66" s="2"/>
      <c r="W66" s="2"/>
      <c r="X66" s="2"/>
      <c r="Y66" s="2"/>
      <c r="Z66" s="2"/>
      <c r="AA66" s="2"/>
      <c r="AB66" s="2"/>
      <c r="AC66" s="2"/>
      <c r="AD66" s="2"/>
      <c r="AE66" s="2"/>
      <c r="AF66" s="2"/>
      <c r="AG66" s="2"/>
      <c r="AH66" s="2"/>
      <c r="AI66" s="2"/>
      <c r="AJ66" s="2"/>
    </row>
    <row r="67" spans="3:36" s="8" customFormat="1" x14ac:dyDescent="0.25">
      <c r="C67" s="38"/>
      <c r="D67" s="2"/>
      <c r="E67" s="2"/>
      <c r="F67" s="2"/>
      <c r="G67" s="2"/>
      <c r="H67" s="2"/>
      <c r="I67" s="2"/>
      <c r="J67" s="2"/>
      <c r="K67" s="61"/>
      <c r="L67" s="61"/>
      <c r="M67" s="61"/>
      <c r="N67" s="61"/>
      <c r="O67" s="61"/>
      <c r="P67" s="61"/>
      <c r="R67" s="2"/>
      <c r="S67" s="2"/>
      <c r="T67" s="2"/>
      <c r="U67" s="2"/>
      <c r="V67" s="2"/>
      <c r="W67" s="2"/>
      <c r="X67" s="2"/>
      <c r="Y67" s="2"/>
      <c r="Z67" s="2"/>
      <c r="AA67" s="2"/>
      <c r="AB67" s="2"/>
      <c r="AC67" s="2"/>
      <c r="AD67" s="2"/>
      <c r="AE67" s="2"/>
      <c r="AF67" s="2"/>
      <c r="AG67" s="2"/>
      <c r="AH67" s="2"/>
      <c r="AI67" s="2"/>
      <c r="AJ67" s="2"/>
    </row>
    <row r="68" spans="3:36" s="8" customFormat="1" ht="67.5" customHeight="1" x14ac:dyDescent="0.25">
      <c r="C68" s="235" t="s">
        <v>120</v>
      </c>
      <c r="D68" s="236"/>
      <c r="E68" s="236"/>
      <c r="F68" s="236"/>
      <c r="G68" s="236"/>
      <c r="H68" s="236"/>
      <c r="I68" s="236"/>
      <c r="J68" s="236"/>
      <c r="K68" s="236"/>
      <c r="L68" s="236"/>
      <c r="M68" s="236"/>
      <c r="N68" s="236"/>
      <c r="O68" s="236"/>
      <c r="P68" s="237"/>
      <c r="R68" s="2"/>
      <c r="S68" s="2"/>
      <c r="T68" s="2"/>
      <c r="U68" s="2"/>
      <c r="V68" s="2"/>
      <c r="W68" s="2"/>
      <c r="X68" s="2"/>
      <c r="Y68" s="2"/>
      <c r="Z68" s="2"/>
      <c r="AA68" s="2"/>
      <c r="AB68" s="2"/>
      <c r="AC68" s="2"/>
      <c r="AD68" s="2"/>
      <c r="AE68" s="2"/>
      <c r="AF68" s="2"/>
      <c r="AG68" s="2"/>
      <c r="AH68" s="2"/>
      <c r="AI68" s="2"/>
      <c r="AJ68" s="2"/>
    </row>
  </sheetData>
  <mergeCells count="7">
    <mergeCell ref="C68:P68"/>
    <mergeCell ref="C3:P3"/>
    <mergeCell ref="C4:P4"/>
    <mergeCell ref="C6:K6"/>
    <mergeCell ref="C56:P56"/>
    <mergeCell ref="C57:P57"/>
    <mergeCell ref="C59:P59"/>
  </mergeCells>
  <conditionalFormatting sqref="M44 D49 F49:G49 O49 D55:P55">
    <cfRule type="cellIs" dxfId="0" priority="1" operator="lessThan">
      <formula>0</formula>
    </cfRule>
  </conditionalFormatting>
  <printOptions horizontalCentered="1" verticalCentered="1"/>
  <pageMargins left="0.25" right="0.25" top="0.75" bottom="0.75" header="0.3" footer="0.3"/>
  <pageSetup paperSize="8" scale="7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B6B2-9BC8-4C6D-A6E3-63F662DE15D2}">
  <sheetPr>
    <tabColor rgb="FFC00000"/>
  </sheetPr>
  <dimension ref="B1:Q107"/>
  <sheetViews>
    <sheetView showGridLines="0" view="pageBreakPreview" zoomScaleNormal="100" zoomScaleSheetLayoutView="100" workbookViewId="0"/>
  </sheetViews>
  <sheetFormatPr baseColWidth="10" defaultColWidth="11.5703125" defaultRowHeight="15" x14ac:dyDescent="0.25"/>
  <cols>
    <col min="1" max="2" width="3.7109375" style="60" customWidth="1"/>
    <col min="3" max="3" width="51.7109375" style="60" customWidth="1"/>
    <col min="4" max="4" width="14.42578125" style="60" customWidth="1"/>
    <col min="5" max="5" width="13.140625" style="60" customWidth="1"/>
    <col min="6" max="6" width="14" style="62" customWidth="1"/>
    <col min="7" max="8" width="12.42578125" style="60" customWidth="1"/>
    <col min="9" max="9" width="12" style="60" customWidth="1"/>
    <col min="10" max="10" width="10.85546875" style="63" customWidth="1"/>
    <col min="11" max="11" width="3.7109375" style="60" customWidth="1"/>
    <col min="12" max="16384" width="11.5703125" style="60"/>
  </cols>
  <sheetData>
    <row r="1" spans="2:17" ht="10.5" customHeight="1" x14ac:dyDescent="0.25"/>
    <row r="2" spans="2:17" ht="10.5" customHeight="1" x14ac:dyDescent="0.25"/>
    <row r="3" spans="2:17" ht="15.75" x14ac:dyDescent="0.25">
      <c r="C3" s="238" t="s">
        <v>0</v>
      </c>
      <c r="D3" s="238"/>
      <c r="E3" s="238"/>
      <c r="F3" s="238"/>
      <c r="G3" s="238"/>
      <c r="H3" s="238"/>
      <c r="I3" s="238"/>
      <c r="J3" s="238"/>
      <c r="K3" s="4"/>
      <c r="L3" s="4"/>
      <c r="M3" s="4"/>
      <c r="N3" s="4"/>
      <c r="O3" s="4"/>
      <c r="P3" s="4"/>
      <c r="Q3" s="4"/>
    </row>
    <row r="4" spans="2:17" x14ac:dyDescent="0.25">
      <c r="B4" s="239" t="s">
        <v>1</v>
      </c>
      <c r="C4" s="248"/>
      <c r="D4" s="248"/>
      <c r="E4" s="248"/>
      <c r="F4" s="248"/>
      <c r="G4" s="248"/>
      <c r="H4" s="248"/>
      <c r="I4" s="248"/>
      <c r="J4" s="248"/>
      <c r="K4" s="248"/>
      <c r="L4" s="4"/>
      <c r="M4" s="4"/>
      <c r="N4" s="4"/>
      <c r="O4" s="4"/>
      <c r="P4" s="4"/>
      <c r="Q4" s="4"/>
    </row>
    <row r="5" spans="2:17" x14ac:dyDescent="0.25">
      <c r="C5" s="4"/>
      <c r="D5" s="4"/>
      <c r="E5" s="4"/>
      <c r="F5" s="3"/>
      <c r="G5" s="4"/>
      <c r="H5" s="4"/>
      <c r="I5" s="4"/>
      <c r="J5" s="3"/>
      <c r="K5" s="4"/>
      <c r="L5" s="4"/>
      <c r="M5" s="4"/>
      <c r="N5" s="4"/>
      <c r="O5" s="4"/>
      <c r="P5" s="4"/>
      <c r="Q5" s="4"/>
    </row>
    <row r="6" spans="2:17" ht="15.75" x14ac:dyDescent="0.25">
      <c r="C6" s="64" t="s">
        <v>27</v>
      </c>
      <c r="D6" s="65"/>
      <c r="E6" s="65"/>
      <c r="F6" s="66"/>
    </row>
    <row r="7" spans="2:17" x14ac:dyDescent="0.25">
      <c r="C7" s="67" t="s">
        <v>28</v>
      </c>
      <c r="D7" s="68"/>
      <c r="E7" s="68"/>
      <c r="F7" s="69"/>
    </row>
    <row r="8" spans="2:17" ht="27" customHeight="1" x14ac:dyDescent="0.25">
      <c r="C8" s="70"/>
      <c r="D8" s="249" t="s">
        <v>123</v>
      </c>
      <c r="E8" s="250"/>
      <c r="F8" s="251"/>
      <c r="G8" s="249" t="s">
        <v>122</v>
      </c>
      <c r="H8" s="250"/>
      <c r="I8" s="250"/>
      <c r="J8" s="251"/>
    </row>
    <row r="9" spans="2:17" ht="25.5" customHeight="1" x14ac:dyDescent="0.25">
      <c r="C9" s="71" t="s">
        <v>29</v>
      </c>
      <c r="D9" s="96">
        <v>2025</v>
      </c>
      <c r="E9" s="95">
        <v>2026</v>
      </c>
      <c r="F9" s="138" t="s">
        <v>24</v>
      </c>
      <c r="G9" s="96">
        <v>2025</v>
      </c>
      <c r="H9" s="95">
        <v>2026</v>
      </c>
      <c r="I9" s="138" t="s">
        <v>24</v>
      </c>
      <c r="J9" s="139" t="s">
        <v>30</v>
      </c>
    </row>
    <row r="10" spans="2:17" ht="6.75" customHeight="1" x14ac:dyDescent="0.25">
      <c r="D10" s="63"/>
      <c r="E10" s="63"/>
      <c r="F10" s="63"/>
      <c r="G10" s="63"/>
      <c r="H10" s="63"/>
      <c r="I10" s="63"/>
    </row>
    <row r="11" spans="2:17" x14ac:dyDescent="0.25">
      <c r="C11" s="72" t="s">
        <v>31</v>
      </c>
      <c r="D11" s="106">
        <f>SUM(D12:D22)</f>
        <v>217002.488693697</v>
      </c>
      <c r="E11" s="97">
        <f>SUM(E12:E22)</f>
        <v>223262.737158</v>
      </c>
      <c r="F11" s="107">
        <f t="shared" ref="F11:F74" si="0">(E11-D11)/D11</f>
        <v>2.8848740408408218E-2</v>
      </c>
      <c r="G11" s="106">
        <f>SUM(G12:G22)</f>
        <v>436673.64709236642</v>
      </c>
      <c r="H11" s="97">
        <f>SUM(H12:H22)</f>
        <v>449518.62585200003</v>
      </c>
      <c r="I11" s="107">
        <f t="shared" ref="I11:I74" si="1">(H11-G11)/G11</f>
        <v>2.9415511664519119E-2</v>
      </c>
      <c r="J11" s="108">
        <f>SUM(J12:J22)</f>
        <v>0.99999999999999978</v>
      </c>
    </row>
    <row r="12" spans="2:17" x14ac:dyDescent="0.25">
      <c r="B12" s="188"/>
      <c r="C12" s="222" t="s">
        <v>34</v>
      </c>
      <c r="D12" s="223">
        <v>34280.946907040001</v>
      </c>
      <c r="E12" s="223">
        <v>47863.445073999996</v>
      </c>
      <c r="F12" s="109">
        <f t="shared" si="0"/>
        <v>0.39621128913946851</v>
      </c>
      <c r="G12" s="223">
        <v>64925.763753060004</v>
      </c>
      <c r="H12" s="223">
        <v>86012.385187999986</v>
      </c>
      <c r="I12" s="110">
        <f t="shared" si="1"/>
        <v>0.32478049107194601</v>
      </c>
      <c r="J12" s="111">
        <f>(H12/$H$11)</f>
        <v>0.19134331758773171</v>
      </c>
    </row>
    <row r="13" spans="2:17" x14ac:dyDescent="0.25">
      <c r="B13" s="188"/>
      <c r="C13" s="224" t="s">
        <v>33</v>
      </c>
      <c r="D13" s="223">
        <v>29383.62759</v>
      </c>
      <c r="E13" s="223">
        <v>30297.789359999999</v>
      </c>
      <c r="F13" s="112">
        <f t="shared" si="0"/>
        <v>3.1111263141352617E-2</v>
      </c>
      <c r="G13" s="223">
        <v>61571.537251999995</v>
      </c>
      <c r="H13" s="223">
        <v>67368.402459999998</v>
      </c>
      <c r="I13" s="110">
        <f t="shared" si="1"/>
        <v>9.4148456685019768E-2</v>
      </c>
      <c r="J13" s="113">
        <f t="shared" ref="J13:J22" si="2">(H13/$H$11)</f>
        <v>0.14986787773768565</v>
      </c>
    </row>
    <row r="14" spans="2:17" x14ac:dyDescent="0.25">
      <c r="B14" s="188"/>
      <c r="C14" s="224" t="s">
        <v>32</v>
      </c>
      <c r="D14" s="223">
        <v>32821.275355352001</v>
      </c>
      <c r="E14" s="223">
        <v>29947.460593</v>
      </c>
      <c r="F14" s="112">
        <f t="shared" si="0"/>
        <v>-8.7559509228010035E-2</v>
      </c>
      <c r="G14" s="223">
        <v>68344.504375352</v>
      </c>
      <c r="H14" s="223">
        <v>62051.094561000005</v>
      </c>
      <c r="I14" s="110">
        <f t="shared" si="1"/>
        <v>-9.2083626501821156E-2</v>
      </c>
      <c r="J14" s="113">
        <f t="shared" si="2"/>
        <v>0.13803898435440976</v>
      </c>
    </row>
    <row r="15" spans="2:17" x14ac:dyDescent="0.25">
      <c r="B15" s="188"/>
      <c r="C15" s="224" t="s">
        <v>72</v>
      </c>
      <c r="D15" s="223">
        <v>29357.124933899999</v>
      </c>
      <c r="E15" s="223">
        <v>29132.523203000001</v>
      </c>
      <c r="F15" s="112">
        <f t="shared" si="0"/>
        <v>-7.6506719035228246E-3</v>
      </c>
      <c r="G15" s="223">
        <v>63849.778045699997</v>
      </c>
      <c r="H15" s="223">
        <v>61650.864021000001</v>
      </c>
      <c r="I15" s="110">
        <f t="shared" si="1"/>
        <v>-3.4438867166086934E-2</v>
      </c>
      <c r="J15" s="113">
        <f t="shared" si="2"/>
        <v>0.1371486307250325</v>
      </c>
    </row>
    <row r="16" spans="2:17" x14ac:dyDescent="0.25">
      <c r="B16" s="188"/>
      <c r="C16" s="224" t="s">
        <v>35</v>
      </c>
      <c r="D16" s="223">
        <v>26335.939982600001</v>
      </c>
      <c r="E16" s="223">
        <v>25743.631853999999</v>
      </c>
      <c r="F16" s="112">
        <f t="shared" si="0"/>
        <v>-2.2490487485593298E-2</v>
      </c>
      <c r="G16" s="223">
        <v>51456.000258117405</v>
      </c>
      <c r="H16" s="223">
        <v>50848.480253999995</v>
      </c>
      <c r="I16" s="110">
        <f t="shared" si="1"/>
        <v>-1.180659206059397E-2</v>
      </c>
      <c r="J16" s="113">
        <f t="shared" si="2"/>
        <v>0.11311762701183688</v>
      </c>
    </row>
    <row r="17" spans="2:10" x14ac:dyDescent="0.25">
      <c r="B17" s="188"/>
      <c r="C17" s="224" t="s">
        <v>36</v>
      </c>
      <c r="D17" s="223">
        <v>22408.71128</v>
      </c>
      <c r="E17" s="223">
        <v>20932.670450000001</v>
      </c>
      <c r="F17" s="112">
        <f t="shared" si="0"/>
        <v>-6.5869063667100727E-2</v>
      </c>
      <c r="G17" s="223">
        <v>40925.023220000003</v>
      </c>
      <c r="H17" s="223">
        <v>39788.183801000006</v>
      </c>
      <c r="I17" s="110">
        <f t="shared" si="1"/>
        <v>-2.7778589468079384E-2</v>
      </c>
      <c r="J17" s="113">
        <f t="shared" si="2"/>
        <v>8.8512870241109667E-2</v>
      </c>
    </row>
    <row r="18" spans="2:10" x14ac:dyDescent="0.25">
      <c r="B18" s="188"/>
      <c r="C18" s="224" t="s">
        <v>61</v>
      </c>
      <c r="D18" s="223">
        <v>10549.879065929999</v>
      </c>
      <c r="E18" s="223">
        <v>8255.0606810000008</v>
      </c>
      <c r="F18" s="112">
        <f t="shared" si="0"/>
        <v>-0.21752082375436255</v>
      </c>
      <c r="G18" s="223">
        <v>21762.776169689998</v>
      </c>
      <c r="H18" s="223">
        <v>16366.606355</v>
      </c>
      <c r="I18" s="110">
        <f t="shared" si="1"/>
        <v>-0.24795411084572416</v>
      </c>
      <c r="J18" s="199">
        <f t="shared" si="2"/>
        <v>3.6409183988715427E-2</v>
      </c>
    </row>
    <row r="19" spans="2:10" x14ac:dyDescent="0.25">
      <c r="B19" s="188"/>
      <c r="C19" s="224" t="s">
        <v>37</v>
      </c>
      <c r="D19" s="223">
        <v>7073.1202999999996</v>
      </c>
      <c r="E19" s="223">
        <v>6465.0864760000004</v>
      </c>
      <c r="F19" s="112">
        <f t="shared" si="0"/>
        <v>-8.5964015626879581E-2</v>
      </c>
      <c r="G19" s="223">
        <v>14267.407139999999</v>
      </c>
      <c r="H19" s="223">
        <v>16297.910476000001</v>
      </c>
      <c r="I19" s="110">
        <f t="shared" si="1"/>
        <v>0.14231761357025391</v>
      </c>
      <c r="J19" s="199">
        <f t="shared" si="2"/>
        <v>3.6256363004112627E-2</v>
      </c>
    </row>
    <row r="20" spans="2:10" x14ac:dyDescent="0.25">
      <c r="B20" s="188"/>
      <c r="C20" s="224" t="s">
        <v>38</v>
      </c>
      <c r="D20" s="223">
        <v>6312.9559512799997</v>
      </c>
      <c r="E20" s="223">
        <v>6379.6837240000004</v>
      </c>
      <c r="F20" s="112">
        <f t="shared" si="0"/>
        <v>1.056997280433601E-2</v>
      </c>
      <c r="G20" s="223">
        <v>13517.27259809</v>
      </c>
      <c r="H20" s="223">
        <v>12861.859805</v>
      </c>
      <c r="I20" s="110">
        <f t="shared" si="1"/>
        <v>-4.848705893396052E-2</v>
      </c>
      <c r="J20" s="113">
        <f t="shared" si="2"/>
        <v>2.8612518070017974E-2</v>
      </c>
    </row>
    <row r="21" spans="2:10" x14ac:dyDescent="0.25">
      <c r="B21" s="188"/>
      <c r="C21" s="224" t="s">
        <v>54</v>
      </c>
      <c r="D21" s="223">
        <v>2503.1909759999999</v>
      </c>
      <c r="E21" s="223">
        <v>3264.893928</v>
      </c>
      <c r="F21" s="112">
        <f t="shared" si="0"/>
        <v>0.30429278441118834</v>
      </c>
      <c r="G21" s="223">
        <v>3484.329616</v>
      </c>
      <c r="H21" s="223">
        <v>7241.8681839999999</v>
      </c>
      <c r="I21" s="110">
        <f t="shared" si="1"/>
        <v>1.0784107653723194</v>
      </c>
      <c r="J21" s="113">
        <f t="shared" si="2"/>
        <v>1.6110273896379812E-2</v>
      </c>
    </row>
    <row r="22" spans="2:10" x14ac:dyDescent="0.2">
      <c r="B22" s="188"/>
      <c r="C22" s="225" t="s">
        <v>135</v>
      </c>
      <c r="D22" s="223">
        <v>15975.716351594998</v>
      </c>
      <c r="E22" s="223">
        <v>14980.491814999998</v>
      </c>
      <c r="F22" s="114">
        <f t="shared" si="0"/>
        <v>-6.2296082046777085E-2</v>
      </c>
      <c r="G22" s="223">
        <v>32569.254664357006</v>
      </c>
      <c r="H22" s="223">
        <v>29030.970747000007</v>
      </c>
      <c r="I22" s="110">
        <f t="shared" si="1"/>
        <v>-0.10863877463027148</v>
      </c>
      <c r="J22" s="123">
        <f t="shared" si="2"/>
        <v>6.458235338296793E-2</v>
      </c>
    </row>
    <row r="23" spans="2:10" x14ac:dyDescent="0.25">
      <c r="B23" s="188"/>
      <c r="C23" s="187" t="s">
        <v>40</v>
      </c>
      <c r="D23" s="106">
        <f>SUM(D24:D34)</f>
        <v>8071657.8982516695</v>
      </c>
      <c r="E23" s="97">
        <f>SUM(E24:E34)</f>
        <v>7421153.2262549996</v>
      </c>
      <c r="F23" s="107">
        <f t="shared" si="0"/>
        <v>-8.0591209414062254E-2</v>
      </c>
      <c r="G23" s="106">
        <f>SUM(G24:G34)</f>
        <v>16563579.351943685</v>
      </c>
      <c r="H23" s="97">
        <f>SUM(H24:H34)</f>
        <v>16233138.670785995</v>
      </c>
      <c r="I23" s="107">
        <f t="shared" si="1"/>
        <v>-1.9949835366889667E-2</v>
      </c>
      <c r="J23" s="108">
        <f>SUM(J24:J34)</f>
        <v>1</v>
      </c>
    </row>
    <row r="24" spans="2:10" x14ac:dyDescent="0.25">
      <c r="B24" s="188"/>
      <c r="C24" s="226" t="s">
        <v>41</v>
      </c>
      <c r="D24" s="223">
        <v>1054094.1099</v>
      </c>
      <c r="E24" s="223">
        <v>1193095.7149999999</v>
      </c>
      <c r="F24" s="109">
        <f t="shared" si="0"/>
        <v>0.13186830643915337</v>
      </c>
      <c r="G24" s="223">
        <v>2048724.5730999999</v>
      </c>
      <c r="H24" s="223">
        <v>3102361.0186999999</v>
      </c>
      <c r="I24" s="109">
        <f t="shared" si="1"/>
        <v>0.51428896760178178</v>
      </c>
      <c r="J24" s="111">
        <f>(H24/$H$23)</f>
        <v>0.19111282676856392</v>
      </c>
    </row>
    <row r="25" spans="2:10" x14ac:dyDescent="0.25">
      <c r="B25" s="188"/>
      <c r="C25" s="227" t="s">
        <v>42</v>
      </c>
      <c r="D25" s="223">
        <v>693185.55426</v>
      </c>
      <c r="E25" s="223">
        <v>685275.79639999999</v>
      </c>
      <c r="F25" s="112">
        <f t="shared" si="0"/>
        <v>-1.141073672321974E-2</v>
      </c>
      <c r="G25" s="223">
        <v>1403628.2959500002</v>
      </c>
      <c r="H25" s="223">
        <v>1272698.8885900001</v>
      </c>
      <c r="I25" s="112">
        <f t="shared" si="1"/>
        <v>-9.3279259001675191E-2</v>
      </c>
      <c r="J25" s="113">
        <f t="shared" ref="J25:J34" si="3">(H25/$H$23)</f>
        <v>7.8401282364476785E-2</v>
      </c>
    </row>
    <row r="26" spans="2:10" x14ac:dyDescent="0.25">
      <c r="B26" s="188"/>
      <c r="C26" s="227" t="s">
        <v>44</v>
      </c>
      <c r="D26" s="223">
        <v>438187.37400000001</v>
      </c>
      <c r="E26" s="223">
        <v>362077.56</v>
      </c>
      <c r="F26" s="112">
        <f t="shared" si="0"/>
        <v>-0.17369239397573333</v>
      </c>
      <c r="G26" s="223">
        <v>840704.45400000003</v>
      </c>
      <c r="H26" s="223">
        <v>738032.22900000005</v>
      </c>
      <c r="I26" s="112">
        <f t="shared" si="1"/>
        <v>-0.12212641970848886</v>
      </c>
      <c r="J26" s="113">
        <f t="shared" si="3"/>
        <v>4.5464542869223523E-2</v>
      </c>
    </row>
    <row r="27" spans="2:10" x14ac:dyDescent="0.25">
      <c r="B27" s="188"/>
      <c r="C27" s="227" t="s">
        <v>49</v>
      </c>
      <c r="D27" s="223">
        <v>232778.95872331</v>
      </c>
      <c r="E27" s="223">
        <v>321645.97661700001</v>
      </c>
      <c r="F27" s="112">
        <f t="shared" si="0"/>
        <v>0.38176568183433085</v>
      </c>
      <c r="G27" s="223">
        <v>556196.92041353195</v>
      </c>
      <c r="H27" s="223">
        <v>657533.15011200006</v>
      </c>
      <c r="I27" s="112">
        <f t="shared" si="1"/>
        <v>0.18219487735229586</v>
      </c>
      <c r="J27" s="113">
        <f t="shared" si="3"/>
        <v>4.050560790781213E-2</v>
      </c>
    </row>
    <row r="28" spans="2:10" x14ac:dyDescent="0.25">
      <c r="B28" s="188"/>
      <c r="C28" s="227" t="s">
        <v>45</v>
      </c>
      <c r="D28" s="223">
        <v>432102.58</v>
      </c>
      <c r="E28" s="223">
        <v>275606.43</v>
      </c>
      <c r="F28" s="112">
        <f t="shared" si="0"/>
        <v>-0.3621736070171116</v>
      </c>
      <c r="G28" s="223">
        <v>887204.96400000004</v>
      </c>
      <c r="H28" s="223">
        <v>646665.85499999998</v>
      </c>
      <c r="I28" s="112">
        <f t="shared" si="1"/>
        <v>-0.27112011176709339</v>
      </c>
      <c r="J28" s="199">
        <f t="shared" si="3"/>
        <v>3.9836156649346789E-2</v>
      </c>
    </row>
    <row r="29" spans="2:10" x14ac:dyDescent="0.25">
      <c r="B29" s="188"/>
      <c r="C29" s="227" t="s">
        <v>47</v>
      </c>
      <c r="D29" s="223">
        <v>287178.57768778998</v>
      </c>
      <c r="E29" s="223">
        <v>275462.411807</v>
      </c>
      <c r="F29" s="112">
        <f t="shared" si="0"/>
        <v>-4.0797492539737301E-2</v>
      </c>
      <c r="G29" s="223">
        <v>627192.91228745505</v>
      </c>
      <c r="H29" s="223">
        <v>642619.30495000002</v>
      </c>
      <c r="I29" s="112">
        <f t="shared" si="1"/>
        <v>2.4595929514386387E-2</v>
      </c>
      <c r="J29" s="199">
        <f t="shared" si="3"/>
        <v>3.9586879529741915E-2</v>
      </c>
    </row>
    <row r="30" spans="2:10" x14ac:dyDescent="0.25">
      <c r="B30" s="188"/>
      <c r="C30" s="227" t="s">
        <v>46</v>
      </c>
      <c r="D30" s="223">
        <v>343087.29</v>
      </c>
      <c r="E30" s="223">
        <v>321087.35999999999</v>
      </c>
      <c r="F30" s="112">
        <f t="shared" si="0"/>
        <v>-6.41234188535518E-2</v>
      </c>
      <c r="G30" s="223">
        <v>717636.69</v>
      </c>
      <c r="H30" s="223">
        <v>628526.90999999992</v>
      </c>
      <c r="I30" s="112">
        <f t="shared" si="1"/>
        <v>-0.12417115964346812</v>
      </c>
      <c r="J30" s="113">
        <f t="shared" si="3"/>
        <v>3.8718754440946766E-2</v>
      </c>
    </row>
    <row r="31" spans="2:10" x14ac:dyDescent="0.25">
      <c r="B31" s="188"/>
      <c r="C31" s="227" t="s">
        <v>48</v>
      </c>
      <c r="D31" s="223">
        <v>282802.596372</v>
      </c>
      <c r="E31" s="223">
        <v>287416.80686800001</v>
      </c>
      <c r="F31" s="112">
        <f t="shared" si="0"/>
        <v>1.6316011787708123E-2</v>
      </c>
      <c r="G31" s="223">
        <v>580022.71114400006</v>
      </c>
      <c r="H31" s="223">
        <v>579992.93272000004</v>
      </c>
      <c r="I31" s="215">
        <f t="shared" si="1"/>
        <v>-5.1340100013127418E-5</v>
      </c>
      <c r="J31" s="113">
        <f t="shared" si="3"/>
        <v>3.5728945860838711E-2</v>
      </c>
    </row>
    <row r="32" spans="2:10" x14ac:dyDescent="0.25">
      <c r="B32" s="188"/>
      <c r="C32" s="227" t="s">
        <v>33</v>
      </c>
      <c r="D32" s="223">
        <v>167054.12640000001</v>
      </c>
      <c r="E32" s="223">
        <v>233281.45800000001</v>
      </c>
      <c r="F32" s="112">
        <f t="shared" si="0"/>
        <v>0.39644235690067936</v>
      </c>
      <c r="G32" s="223">
        <v>336588.10560000001</v>
      </c>
      <c r="H32" s="223">
        <v>524796.49600000004</v>
      </c>
      <c r="I32" s="112">
        <f t="shared" si="1"/>
        <v>0.55916530402790332</v>
      </c>
      <c r="J32" s="113">
        <f t="shared" si="3"/>
        <v>3.2328713913129518E-2</v>
      </c>
    </row>
    <row r="33" spans="2:10" x14ac:dyDescent="0.25">
      <c r="B33" s="188"/>
      <c r="C33" s="227" t="s">
        <v>136</v>
      </c>
      <c r="D33" s="223">
        <v>152709.07</v>
      </c>
      <c r="E33" s="223">
        <v>261051.73120000001</v>
      </c>
      <c r="F33" s="112">
        <f t="shared" si="0"/>
        <v>0.70947103010973744</v>
      </c>
      <c r="G33" s="223">
        <v>268507.2316</v>
      </c>
      <c r="H33" s="223">
        <v>472019.9754</v>
      </c>
      <c r="I33" s="112">
        <f t="shared" si="1"/>
        <v>0.7579413879741479</v>
      </c>
      <c r="J33" s="113">
        <f t="shared" si="3"/>
        <v>2.9077554561242787E-2</v>
      </c>
    </row>
    <row r="34" spans="2:10" x14ac:dyDescent="0.2">
      <c r="B34" s="188"/>
      <c r="C34" s="228" t="s">
        <v>137</v>
      </c>
      <c r="D34" s="223">
        <v>3988477.66090857</v>
      </c>
      <c r="E34" s="223">
        <v>3205151.9803629997</v>
      </c>
      <c r="F34" s="116">
        <f t="shared" si="0"/>
        <v>-0.19639715880146857</v>
      </c>
      <c r="G34" s="223">
        <v>8297172.4938486973</v>
      </c>
      <c r="H34" s="223">
        <v>6967891.9103139937</v>
      </c>
      <c r="I34" s="116">
        <f t="shared" si="1"/>
        <v>-0.16020886446800967</v>
      </c>
      <c r="J34" s="123">
        <f t="shared" si="3"/>
        <v>0.42923873513467709</v>
      </c>
    </row>
    <row r="35" spans="2:10" x14ac:dyDescent="0.25">
      <c r="C35" s="75" t="s">
        <v>50</v>
      </c>
      <c r="D35" s="106">
        <f>SUM(D36:D46)</f>
        <v>109459.79120289111</v>
      </c>
      <c r="E35" s="97">
        <f>SUM(E36:E46)</f>
        <v>108304.713464</v>
      </c>
      <c r="F35" s="107">
        <f t="shared" si="0"/>
        <v>-1.0552530077004201E-2</v>
      </c>
      <c r="G35" s="106">
        <f>SUM(G36:G46)</f>
        <v>201315.48536782313</v>
      </c>
      <c r="H35" s="97">
        <f>SUM(H36:H46)</f>
        <v>213652.33742200007</v>
      </c>
      <c r="I35" s="107">
        <f t="shared" si="1"/>
        <v>6.1281187741898252E-2</v>
      </c>
      <c r="J35" s="108">
        <f>SUM(J36:J46)</f>
        <v>0.99999999999999978</v>
      </c>
    </row>
    <row r="36" spans="2:10" x14ac:dyDescent="0.25">
      <c r="B36" s="188"/>
      <c r="C36" s="226" t="s">
        <v>34</v>
      </c>
      <c r="D36" s="223">
        <v>37446.451412099996</v>
      </c>
      <c r="E36" s="223">
        <v>25004.115357999999</v>
      </c>
      <c r="F36" s="109">
        <f t="shared" si="0"/>
        <v>-0.33227009729630963</v>
      </c>
      <c r="G36" s="223">
        <v>61624.200978249995</v>
      </c>
      <c r="H36" s="223">
        <v>50385.027631000004</v>
      </c>
      <c r="I36" s="119">
        <f t="shared" si="1"/>
        <v>-0.18238245963167637</v>
      </c>
      <c r="J36" s="120">
        <f>(H36/$H$35)</f>
        <v>0.2358271771746682</v>
      </c>
    </row>
    <row r="37" spans="2:10" x14ac:dyDescent="0.25">
      <c r="B37" s="188"/>
      <c r="C37" s="227" t="s">
        <v>51</v>
      </c>
      <c r="D37" s="223">
        <v>12667.142402936001</v>
      </c>
      <c r="E37" s="223">
        <v>11523.734419000002</v>
      </c>
      <c r="F37" s="112">
        <f t="shared" si="0"/>
        <v>-9.0265661154245669E-2</v>
      </c>
      <c r="G37" s="223">
        <v>26349.473622983998</v>
      </c>
      <c r="H37" s="223">
        <v>21866.238589000001</v>
      </c>
      <c r="I37" s="121">
        <f t="shared" si="1"/>
        <v>-0.17014514590050034</v>
      </c>
      <c r="J37" s="122">
        <f t="shared" ref="J37:J46" si="4">(H37/$H$35)</f>
        <v>0.1023449537357994</v>
      </c>
    </row>
    <row r="38" spans="2:10" x14ac:dyDescent="0.25">
      <c r="B38" s="188"/>
      <c r="C38" s="227" t="s">
        <v>52</v>
      </c>
      <c r="D38" s="223">
        <v>5051.7737999999999</v>
      </c>
      <c r="E38" s="223">
        <v>8757.750399999999</v>
      </c>
      <c r="F38" s="112">
        <f t="shared" si="0"/>
        <v>0.73359907761507437</v>
      </c>
      <c r="G38" s="223">
        <v>10917</v>
      </c>
      <c r="H38" s="223">
        <v>16930.872599999999</v>
      </c>
      <c r="I38" s="121">
        <f t="shared" si="1"/>
        <v>0.55087227260236316</v>
      </c>
      <c r="J38" s="122">
        <f t="shared" si="4"/>
        <v>7.9244967802803004E-2</v>
      </c>
    </row>
    <row r="39" spans="2:10" x14ac:dyDescent="0.25">
      <c r="B39" s="188"/>
      <c r="C39" s="227" t="s">
        <v>54</v>
      </c>
      <c r="D39" s="223">
        <v>6764.6600600000002</v>
      </c>
      <c r="E39" s="223">
        <v>6733.5054180000006</v>
      </c>
      <c r="F39" s="112">
        <f t="shared" si="0"/>
        <v>-4.6055000138468909E-3</v>
      </c>
      <c r="G39" s="223">
        <v>7780.5590769999999</v>
      </c>
      <c r="H39" s="223">
        <v>14835.36527</v>
      </c>
      <c r="I39" s="121">
        <f t="shared" si="1"/>
        <v>0.90672227062122213</v>
      </c>
      <c r="J39" s="122">
        <f t="shared" si="4"/>
        <v>6.9436943442830704E-2</v>
      </c>
    </row>
    <row r="40" spans="2:10" x14ac:dyDescent="0.25">
      <c r="B40" s="188"/>
      <c r="C40" s="227" t="s">
        <v>36</v>
      </c>
      <c r="D40" s="223">
        <v>4862.8442420000001</v>
      </c>
      <c r="E40" s="223">
        <v>5801.3969070000003</v>
      </c>
      <c r="F40" s="121">
        <f t="shared" si="0"/>
        <v>0.19300487909807912</v>
      </c>
      <c r="G40" s="223">
        <v>8201.0900419999998</v>
      </c>
      <c r="H40" s="223">
        <v>11718.239406000001</v>
      </c>
      <c r="I40" s="121">
        <f t="shared" si="1"/>
        <v>0.4288636444652757</v>
      </c>
      <c r="J40" s="122">
        <f t="shared" si="4"/>
        <v>5.4847232412227089E-2</v>
      </c>
    </row>
    <row r="41" spans="2:10" x14ac:dyDescent="0.25">
      <c r="B41" s="188"/>
      <c r="C41" s="227" t="s">
        <v>138</v>
      </c>
      <c r="D41" s="223">
        <v>1925.9137725000001</v>
      </c>
      <c r="E41" s="223">
        <v>5308.2373370000014</v>
      </c>
      <c r="F41" s="121">
        <f t="shared" si="0"/>
        <v>1.7562175486753269</v>
      </c>
      <c r="G41" s="223">
        <v>3612.3400969000004</v>
      </c>
      <c r="H41" s="223">
        <v>10689.562672</v>
      </c>
      <c r="I41" s="121">
        <f t="shared" si="1"/>
        <v>1.9591794751478289</v>
      </c>
      <c r="J41" s="122">
        <f t="shared" si="4"/>
        <v>5.0032509828742369E-2</v>
      </c>
    </row>
    <row r="42" spans="2:10" x14ac:dyDescent="0.25">
      <c r="B42" s="188"/>
      <c r="C42" s="227" t="s">
        <v>56</v>
      </c>
      <c r="D42" s="223">
        <v>4386.9590901000001</v>
      </c>
      <c r="E42" s="223">
        <v>4763.8980590000001</v>
      </c>
      <c r="F42" s="121">
        <f t="shared" si="0"/>
        <v>8.5922608613021673E-2</v>
      </c>
      <c r="G42" s="223">
        <v>7788.5108731</v>
      </c>
      <c r="H42" s="223">
        <v>9778.0089719999996</v>
      </c>
      <c r="I42" s="121">
        <f t="shared" si="1"/>
        <v>0.25544011317636323</v>
      </c>
      <c r="J42" s="122">
        <f t="shared" si="4"/>
        <v>4.5765981734553887E-2</v>
      </c>
    </row>
    <row r="43" spans="2:10" x14ac:dyDescent="0.25">
      <c r="B43" s="188"/>
      <c r="C43" s="227" t="s">
        <v>57</v>
      </c>
      <c r="D43" s="223">
        <v>3561.1348245200002</v>
      </c>
      <c r="E43" s="223">
        <v>3709.2070480000002</v>
      </c>
      <c r="F43" s="121">
        <f t="shared" si="0"/>
        <v>4.1580066685612913E-2</v>
      </c>
      <c r="G43" s="223">
        <v>6227.9256437599997</v>
      </c>
      <c r="H43" s="223">
        <v>7760.5007700000006</v>
      </c>
      <c r="I43" s="121">
        <f t="shared" si="1"/>
        <v>0.24608115348575932</v>
      </c>
      <c r="J43" s="122">
        <f t="shared" si="4"/>
        <v>3.6323032378867345E-2</v>
      </c>
    </row>
    <row r="44" spans="2:10" x14ac:dyDescent="0.25">
      <c r="B44" s="188"/>
      <c r="C44" s="227" t="s">
        <v>55</v>
      </c>
      <c r="D44" s="223">
        <v>4198.3208267780001</v>
      </c>
      <c r="E44" s="223">
        <v>3621.8434279999997</v>
      </c>
      <c r="F44" s="121">
        <f t="shared" si="0"/>
        <v>-0.13731142105697952</v>
      </c>
      <c r="G44" s="223">
        <v>8207.159285922</v>
      </c>
      <c r="H44" s="223">
        <v>6798.8257679999997</v>
      </c>
      <c r="I44" s="121">
        <f t="shared" si="1"/>
        <v>-0.1715981704336797</v>
      </c>
      <c r="J44" s="122">
        <f t="shared" si="4"/>
        <v>3.1821911475609796E-2</v>
      </c>
    </row>
    <row r="45" spans="2:10" x14ac:dyDescent="0.25">
      <c r="B45" s="188"/>
      <c r="C45" s="227" t="s">
        <v>139</v>
      </c>
      <c r="D45" s="223">
        <v>2708.6559450600002</v>
      </c>
      <c r="E45" s="223">
        <v>3173.6562290000002</v>
      </c>
      <c r="F45" s="121">
        <f t="shared" si="0"/>
        <v>0.17167196328055595</v>
      </c>
      <c r="G45" s="223">
        <v>5771.3023688900003</v>
      </c>
      <c r="H45" s="223">
        <v>6551.5479660000001</v>
      </c>
      <c r="I45" s="121">
        <f t="shared" si="1"/>
        <v>0.13519402506371628</v>
      </c>
      <c r="J45" s="122">
        <f t="shared" si="4"/>
        <v>3.0664527451715013E-2</v>
      </c>
    </row>
    <row r="46" spans="2:10" x14ac:dyDescent="0.2">
      <c r="B46" s="188"/>
      <c r="C46" s="229" t="s">
        <v>140</v>
      </c>
      <c r="D46" s="223">
        <v>25885.934826897093</v>
      </c>
      <c r="E46" s="223">
        <v>29907.368861000006</v>
      </c>
      <c r="F46" s="116">
        <f>(E46-D46)/D46</f>
        <v>0.15535208834430014</v>
      </c>
      <c r="G46" s="230">
        <v>54835.923379017106</v>
      </c>
      <c r="H46" s="230">
        <v>56338.147777999999</v>
      </c>
      <c r="I46" s="114">
        <f t="shared" si="1"/>
        <v>2.7394895652613688E-2</v>
      </c>
      <c r="J46" s="123">
        <f t="shared" si="4"/>
        <v>0.26369076256218288</v>
      </c>
    </row>
    <row r="47" spans="2:10" x14ac:dyDescent="0.25">
      <c r="B47" s="188"/>
      <c r="C47" s="190" t="s">
        <v>58</v>
      </c>
      <c r="D47" s="97">
        <f>SUM(D48:D58)</f>
        <v>297567.20122953254</v>
      </c>
      <c r="E47" s="97">
        <f>SUM(E48:E58)</f>
        <v>289671.809932</v>
      </c>
      <c r="F47" s="189">
        <f t="shared" si="0"/>
        <v>-2.6533136934813989E-2</v>
      </c>
      <c r="G47" s="106">
        <f>SUM(G48:G58)</f>
        <v>571260.76621928124</v>
      </c>
      <c r="H47" s="97">
        <f>SUM(H48:H58)</f>
        <v>575669.87838800007</v>
      </c>
      <c r="I47" s="107">
        <f t="shared" si="1"/>
        <v>7.7182128188134115E-3</v>
      </c>
      <c r="J47" s="108">
        <f>SUM(J48:J58)</f>
        <v>0.99999999999999989</v>
      </c>
    </row>
    <row r="48" spans="2:10" x14ac:dyDescent="0.25">
      <c r="B48" s="188"/>
      <c r="C48" s="222" t="s">
        <v>34</v>
      </c>
      <c r="D48" s="223">
        <v>36829.689314297597</v>
      </c>
      <c r="E48" s="223">
        <v>49061.816047</v>
      </c>
      <c r="F48" s="109">
        <f t="shared" si="0"/>
        <v>0.33212679662637795</v>
      </c>
      <c r="G48" s="223">
        <v>67731.980973831902</v>
      </c>
      <c r="H48" s="223">
        <v>93532.659928000008</v>
      </c>
      <c r="I48" s="112">
        <f t="shared" si="1"/>
        <v>0.380923141228309</v>
      </c>
      <c r="J48" s="111">
        <f>(H48/$H$47)</f>
        <v>0.16247620978521865</v>
      </c>
    </row>
    <row r="49" spans="2:10" x14ac:dyDescent="0.25">
      <c r="B49" s="188"/>
      <c r="C49" s="224" t="s">
        <v>59</v>
      </c>
      <c r="D49" s="223">
        <v>39074.455663230299</v>
      </c>
      <c r="E49" s="223">
        <v>31748.481665999996</v>
      </c>
      <c r="F49" s="112">
        <f t="shared" si="0"/>
        <v>-0.18748755095580677</v>
      </c>
      <c r="G49" s="223">
        <v>67065.396390107999</v>
      </c>
      <c r="H49" s="223">
        <v>67211.011170999991</v>
      </c>
      <c r="I49" s="112">
        <f t="shared" si="1"/>
        <v>2.1712356704040913E-3</v>
      </c>
      <c r="J49" s="113">
        <f t="shared" ref="J49:J58" si="5">(H49/$H$47)</f>
        <v>0.11675269749948587</v>
      </c>
    </row>
    <row r="50" spans="2:10" x14ac:dyDescent="0.25">
      <c r="B50" s="188"/>
      <c r="C50" s="224" t="s">
        <v>36</v>
      </c>
      <c r="D50" s="223">
        <v>21852.3682927189</v>
      </c>
      <c r="E50" s="223">
        <v>18389.150269999998</v>
      </c>
      <c r="F50" s="112">
        <f t="shared" si="0"/>
        <v>-0.15848250296389288</v>
      </c>
      <c r="G50" s="223">
        <v>40084.1197546209</v>
      </c>
      <c r="H50" s="223">
        <v>37850.296017999994</v>
      </c>
      <c r="I50" s="112">
        <f t="shared" si="1"/>
        <v>-5.5728396938625337E-2</v>
      </c>
      <c r="J50" s="113">
        <f t="shared" si="5"/>
        <v>6.5750002629960405E-2</v>
      </c>
    </row>
    <row r="51" spans="2:10" x14ac:dyDescent="0.25">
      <c r="B51" s="188"/>
      <c r="C51" s="224" t="s">
        <v>33</v>
      </c>
      <c r="D51" s="223">
        <v>10453.785019107099</v>
      </c>
      <c r="E51" s="223">
        <v>13347.207401</v>
      </c>
      <c r="F51" s="112">
        <f t="shared" si="0"/>
        <v>0.27678227327273269</v>
      </c>
      <c r="G51" s="223">
        <v>20780.265068902598</v>
      </c>
      <c r="H51" s="223">
        <v>31838.443536999999</v>
      </c>
      <c r="I51" s="112">
        <f t="shared" si="1"/>
        <v>0.53214809490788573</v>
      </c>
      <c r="J51" s="113">
        <f t="shared" si="5"/>
        <v>5.5306773434376164E-2</v>
      </c>
    </row>
    <row r="52" spans="2:10" x14ac:dyDescent="0.25">
      <c r="B52" s="188"/>
      <c r="C52" s="224" t="s">
        <v>32</v>
      </c>
      <c r="D52" s="223">
        <v>13596.848300522699</v>
      </c>
      <c r="E52" s="223">
        <v>13257.158983000001</v>
      </c>
      <c r="F52" s="112">
        <f t="shared" si="0"/>
        <v>-2.4982945313116369E-2</v>
      </c>
      <c r="G52" s="223">
        <v>28845.575744036199</v>
      </c>
      <c r="H52" s="223">
        <v>27732.528281999999</v>
      </c>
      <c r="I52" s="112">
        <f t="shared" si="1"/>
        <v>-3.8586418656119975E-2</v>
      </c>
      <c r="J52" s="113">
        <f t="shared" si="5"/>
        <v>4.8174360554797596E-2</v>
      </c>
    </row>
    <row r="53" spans="2:10" x14ac:dyDescent="0.25">
      <c r="B53" s="188"/>
      <c r="C53" s="224" t="s">
        <v>46</v>
      </c>
      <c r="D53" s="223">
        <v>15620.9054515684</v>
      </c>
      <c r="E53" s="223">
        <v>11673.078125</v>
      </c>
      <c r="F53" s="112">
        <f t="shared" si="0"/>
        <v>-0.2527271763348406</v>
      </c>
      <c r="G53" s="223">
        <v>29948.048920200999</v>
      </c>
      <c r="H53" s="223">
        <v>25038.435430999998</v>
      </c>
      <c r="I53" s="112">
        <f t="shared" si="1"/>
        <v>-0.16393767427998612</v>
      </c>
      <c r="J53" s="113">
        <f t="shared" si="5"/>
        <v>4.3494433825707578E-2</v>
      </c>
    </row>
    <row r="54" spans="2:10" x14ac:dyDescent="0.25">
      <c r="B54" s="188"/>
      <c r="C54" s="224" t="s">
        <v>51</v>
      </c>
      <c r="D54" s="223">
        <v>14569.424360847501</v>
      </c>
      <c r="E54" s="223">
        <v>12396.651476999999</v>
      </c>
      <c r="F54" s="112">
        <f t="shared" si="0"/>
        <v>-0.14913237682103669</v>
      </c>
      <c r="G54" s="223">
        <v>33731.168857922996</v>
      </c>
      <c r="H54" s="223">
        <v>23571.833467999997</v>
      </c>
      <c r="I54" s="112">
        <f t="shared" si="1"/>
        <v>-0.30118539421846058</v>
      </c>
      <c r="J54" s="113">
        <f t="shared" si="5"/>
        <v>4.0946789736517428E-2</v>
      </c>
    </row>
    <row r="55" spans="2:10" x14ac:dyDescent="0.25">
      <c r="B55" s="188"/>
      <c r="C55" s="224" t="s">
        <v>60</v>
      </c>
      <c r="D55" s="223">
        <v>9734.8578755681992</v>
      </c>
      <c r="E55" s="223">
        <v>10747.292117000001</v>
      </c>
      <c r="F55" s="112">
        <f t="shared" si="0"/>
        <v>0.10400092681093286</v>
      </c>
      <c r="G55" s="223">
        <v>20203.530329021298</v>
      </c>
      <c r="H55" s="223">
        <v>21357.932460000004</v>
      </c>
      <c r="I55" s="112">
        <f t="shared" si="1"/>
        <v>5.7138634297020284E-2</v>
      </c>
      <c r="J55" s="113">
        <f t="shared" si="5"/>
        <v>3.7101007472905873E-2</v>
      </c>
    </row>
    <row r="56" spans="2:10" x14ac:dyDescent="0.25">
      <c r="B56" s="188"/>
      <c r="C56" s="224" t="s">
        <v>138</v>
      </c>
      <c r="D56" s="223">
        <v>8675.7427969305008</v>
      </c>
      <c r="E56" s="223">
        <v>10683.201228</v>
      </c>
      <c r="F56" s="112">
        <f t="shared" si="0"/>
        <v>0.23138749938273215</v>
      </c>
      <c r="G56" s="223">
        <v>16397.273118453501</v>
      </c>
      <c r="H56" s="223">
        <v>20764.079205000002</v>
      </c>
      <c r="I56" s="112">
        <f t="shared" si="1"/>
        <v>0.26631294453661902</v>
      </c>
      <c r="J56" s="113">
        <f t="shared" si="5"/>
        <v>3.6069421007650961E-2</v>
      </c>
    </row>
    <row r="57" spans="2:10" x14ac:dyDescent="0.25">
      <c r="B57" s="188"/>
      <c r="C57" s="224" t="s">
        <v>53</v>
      </c>
      <c r="D57" s="223">
        <v>8055.2581502343</v>
      </c>
      <c r="E57" s="223">
        <v>7870.4557649999997</v>
      </c>
      <c r="F57" s="112">
        <f t="shared" si="0"/>
        <v>-2.2941832749199361E-2</v>
      </c>
      <c r="G57" s="223">
        <v>20223.760130990202</v>
      </c>
      <c r="H57" s="223">
        <v>16260.322339999999</v>
      </c>
      <c r="I57" s="112">
        <f t="shared" si="1"/>
        <v>-0.19597927216891611</v>
      </c>
      <c r="J57" s="113">
        <f t="shared" si="5"/>
        <v>2.8245914803693414E-2</v>
      </c>
    </row>
    <row r="58" spans="2:10" x14ac:dyDescent="0.2">
      <c r="B58" s="188"/>
      <c r="C58" s="225" t="s">
        <v>141</v>
      </c>
      <c r="D58" s="223">
        <v>119103.86600450698</v>
      </c>
      <c r="E58" s="223">
        <v>110497.31685300001</v>
      </c>
      <c r="F58" s="116">
        <f t="shared" si="0"/>
        <v>-7.2260871458037265E-2</v>
      </c>
      <c r="G58" s="223">
        <v>226249.64693119269</v>
      </c>
      <c r="H58" s="223">
        <v>210512.33654800005</v>
      </c>
      <c r="I58" s="114">
        <f t="shared" si="1"/>
        <v>-6.9557281510272101E-2</v>
      </c>
      <c r="J58" s="123">
        <f t="shared" si="5"/>
        <v>0.36568238924968599</v>
      </c>
    </row>
    <row r="59" spans="2:10" x14ac:dyDescent="0.25">
      <c r="C59" s="75" t="s">
        <v>62</v>
      </c>
      <c r="D59" s="106">
        <f>SUM(D60:D70)</f>
        <v>23230.586675680897</v>
      </c>
      <c r="E59" s="97">
        <f>SUM(E60:E70)</f>
        <v>21439.793725999996</v>
      </c>
      <c r="F59" s="107">
        <f t="shared" si="0"/>
        <v>-7.7087719508849309E-2</v>
      </c>
      <c r="G59" s="106">
        <f>SUM(G60:G70)</f>
        <v>44799.386977572802</v>
      </c>
      <c r="H59" s="97">
        <f>SUM(H60:H70)</f>
        <v>43513.603313</v>
      </c>
      <c r="I59" s="107">
        <f t="shared" si="1"/>
        <v>-2.8700920957165851E-2</v>
      </c>
      <c r="J59" s="108">
        <f>SUM(J60:J70)</f>
        <v>1</v>
      </c>
    </row>
    <row r="60" spans="2:10" x14ac:dyDescent="0.25">
      <c r="B60" s="188"/>
      <c r="C60" s="226" t="s">
        <v>59</v>
      </c>
      <c r="D60" s="223">
        <v>1375.4966810999997</v>
      </c>
      <c r="E60" s="223">
        <v>1819.4976530000001</v>
      </c>
      <c r="F60" s="109">
        <f t="shared" si="0"/>
        <v>0.3227931975415077</v>
      </c>
      <c r="G60" s="223">
        <v>2693.5185612999994</v>
      </c>
      <c r="H60" s="223">
        <v>3746.2853670000004</v>
      </c>
      <c r="I60" s="109">
        <f t="shared" si="1"/>
        <v>0.39085188452976311</v>
      </c>
      <c r="J60" s="111">
        <f>(H60/$H$59)</f>
        <v>8.6094579206699967E-2</v>
      </c>
    </row>
    <row r="61" spans="2:10" x14ac:dyDescent="0.25">
      <c r="B61" s="188"/>
      <c r="C61" s="227" t="s">
        <v>51</v>
      </c>
      <c r="D61" s="223">
        <v>2392.6602436059998</v>
      </c>
      <c r="E61" s="223">
        <v>1416.228548</v>
      </c>
      <c r="F61" s="112">
        <f t="shared" si="0"/>
        <v>-0.40809458769390955</v>
      </c>
      <c r="G61" s="223">
        <v>4708.4638314820004</v>
      </c>
      <c r="H61" s="223">
        <v>3597.1683700000003</v>
      </c>
      <c r="I61" s="112">
        <f t="shared" si="1"/>
        <v>-0.23602081299883684</v>
      </c>
      <c r="J61" s="113">
        <f t="shared" ref="J61:J70" si="6">(H61/$H$59)</f>
        <v>8.2667673925439319E-2</v>
      </c>
    </row>
    <row r="62" spans="2:10" x14ac:dyDescent="0.25">
      <c r="B62" s="188"/>
      <c r="C62" s="227" t="s">
        <v>63</v>
      </c>
      <c r="D62" s="223">
        <v>1807.4045879999999</v>
      </c>
      <c r="E62" s="223">
        <v>1578.2422059999999</v>
      </c>
      <c r="F62" s="112">
        <f t="shared" si="0"/>
        <v>-0.12679085995547998</v>
      </c>
      <c r="G62" s="223">
        <v>3537.8154972000002</v>
      </c>
      <c r="H62" s="223">
        <v>3285.9158589999997</v>
      </c>
      <c r="I62" s="112">
        <f t="shared" si="1"/>
        <v>-7.1202028030960388E-2</v>
      </c>
      <c r="J62" s="113">
        <f t="shared" si="6"/>
        <v>7.5514680670407938E-2</v>
      </c>
    </row>
    <row r="63" spans="2:10" x14ac:dyDescent="0.25">
      <c r="B63" s="188"/>
      <c r="C63" s="227" t="s">
        <v>53</v>
      </c>
      <c r="D63" s="223">
        <v>1535.433634</v>
      </c>
      <c r="E63" s="223">
        <v>1616.5559819999999</v>
      </c>
      <c r="F63" s="112">
        <f t="shared" si="0"/>
        <v>5.283350983309245E-2</v>
      </c>
      <c r="G63" s="223">
        <v>3899.5268650000003</v>
      </c>
      <c r="H63" s="223">
        <v>3164.170791</v>
      </c>
      <c r="I63" s="112">
        <f t="shared" si="1"/>
        <v>-0.18857571686456381</v>
      </c>
      <c r="J63" s="113">
        <f t="shared" si="6"/>
        <v>7.2716818422037727E-2</v>
      </c>
    </row>
    <row r="64" spans="2:10" x14ac:dyDescent="0.25">
      <c r="B64" s="188"/>
      <c r="C64" s="227" t="s">
        <v>55</v>
      </c>
      <c r="D64" s="223">
        <v>2244.4617268500001</v>
      </c>
      <c r="E64" s="223">
        <v>1487.563036</v>
      </c>
      <c r="F64" s="112">
        <f t="shared" si="0"/>
        <v>-0.33722949328802898</v>
      </c>
      <c r="G64" s="223">
        <v>4213.4073288550007</v>
      </c>
      <c r="H64" s="223">
        <v>2943.4901310000005</v>
      </c>
      <c r="I64" s="112">
        <f t="shared" si="1"/>
        <v>-0.30139910498520495</v>
      </c>
      <c r="J64" s="113">
        <f t="shared" si="6"/>
        <v>6.7645285770222843E-2</v>
      </c>
    </row>
    <row r="65" spans="2:10" x14ac:dyDescent="0.25">
      <c r="B65" s="188"/>
      <c r="C65" s="227" t="s">
        <v>65</v>
      </c>
      <c r="D65" s="223">
        <v>1196.3846999999998</v>
      </c>
      <c r="E65" s="223">
        <v>1156.7923499999999</v>
      </c>
      <c r="F65" s="112">
        <f t="shared" si="0"/>
        <v>-3.3093326920680198E-2</v>
      </c>
      <c r="G65" s="223">
        <v>2569.8942349999998</v>
      </c>
      <c r="H65" s="223">
        <v>2491.586472</v>
      </c>
      <c r="I65" s="112">
        <f t="shared" si="1"/>
        <v>-3.0471200695152266E-2</v>
      </c>
      <c r="J65" s="113">
        <f t="shared" si="6"/>
        <v>5.7259943610682797E-2</v>
      </c>
    </row>
    <row r="66" spans="2:10" x14ac:dyDescent="0.25">
      <c r="B66" s="188"/>
      <c r="C66" s="227" t="s">
        <v>142</v>
      </c>
      <c r="D66" s="223">
        <v>291.85585100000003</v>
      </c>
      <c r="E66" s="223">
        <v>965.31818600000008</v>
      </c>
      <c r="F66" s="112">
        <f t="shared" si="0"/>
        <v>2.3075169906393276</v>
      </c>
      <c r="G66" s="223">
        <v>775.61450220000006</v>
      </c>
      <c r="H66" s="223">
        <v>2179.3336570000001</v>
      </c>
      <c r="I66" s="112">
        <f t="shared" si="1"/>
        <v>1.8098155086301324</v>
      </c>
      <c r="J66" s="113">
        <f t="shared" si="6"/>
        <v>5.0083962050297699E-2</v>
      </c>
    </row>
    <row r="67" spans="2:10" x14ac:dyDescent="0.25">
      <c r="B67" s="188"/>
      <c r="C67" s="227" t="s">
        <v>64</v>
      </c>
      <c r="D67" s="223">
        <v>1410.7558569</v>
      </c>
      <c r="E67" s="223">
        <v>1085.5297880000001</v>
      </c>
      <c r="F67" s="112">
        <f t="shared" si="0"/>
        <v>-0.23053320481309425</v>
      </c>
      <c r="G67" s="223">
        <v>2938.4954521</v>
      </c>
      <c r="H67" s="223">
        <v>2042.6373050000002</v>
      </c>
      <c r="I67" s="112">
        <f t="shared" si="1"/>
        <v>-0.30486967283198396</v>
      </c>
      <c r="J67" s="113">
        <f t="shared" si="6"/>
        <v>4.6942499574374429E-2</v>
      </c>
    </row>
    <row r="68" spans="2:10" x14ac:dyDescent="0.25">
      <c r="B68" s="188"/>
      <c r="C68" s="227" t="s">
        <v>60</v>
      </c>
      <c r="D68" s="223">
        <v>1207.792163976</v>
      </c>
      <c r="E68" s="223">
        <v>872.50736499999994</v>
      </c>
      <c r="F68" s="112">
        <f t="shared" si="0"/>
        <v>-0.27760140277136497</v>
      </c>
      <c r="G68" s="223">
        <v>2391.032444251</v>
      </c>
      <c r="H68" s="223">
        <v>1962.039886</v>
      </c>
      <c r="I68" s="112">
        <f t="shared" si="1"/>
        <v>-0.17941728866225551</v>
      </c>
      <c r="J68" s="199">
        <f t="shared" si="6"/>
        <v>4.5090264575120276E-2</v>
      </c>
    </row>
    <row r="69" spans="2:10" x14ac:dyDescent="0.25">
      <c r="B69" s="188"/>
      <c r="C69" s="227" t="s">
        <v>80</v>
      </c>
      <c r="D69" s="223">
        <v>772.00320499999998</v>
      </c>
      <c r="E69" s="223">
        <v>785.79421100000002</v>
      </c>
      <c r="F69" s="112">
        <f t="shared" si="0"/>
        <v>1.7863923246277245E-2</v>
      </c>
      <c r="G69" s="223">
        <v>1673.7958189999999</v>
      </c>
      <c r="H69" s="223">
        <v>1950.3125530000002</v>
      </c>
      <c r="I69" s="112">
        <f t="shared" si="1"/>
        <v>0.16520338434421689</v>
      </c>
      <c r="J69" s="199">
        <f t="shared" si="6"/>
        <v>4.4820754994044136E-2</v>
      </c>
    </row>
    <row r="70" spans="2:10" x14ac:dyDescent="0.2">
      <c r="B70" s="188"/>
      <c r="C70" s="228" t="s">
        <v>143</v>
      </c>
      <c r="D70" s="223">
        <v>8996.3380252488987</v>
      </c>
      <c r="E70" s="223">
        <v>8655.7644009999985</v>
      </c>
      <c r="F70" s="121">
        <f t="shared" si="0"/>
        <v>-3.7856917258228255E-2</v>
      </c>
      <c r="G70" s="223">
        <v>15397.822441184804</v>
      </c>
      <c r="H70" s="223">
        <v>16150.662922</v>
      </c>
      <c r="I70" s="114">
        <f t="shared" si="1"/>
        <v>4.8892658925690738E-2</v>
      </c>
      <c r="J70" s="123">
        <f t="shared" si="6"/>
        <v>0.37116353720067291</v>
      </c>
    </row>
    <row r="71" spans="2:10" x14ac:dyDescent="0.25">
      <c r="C71" s="75" t="s">
        <v>67</v>
      </c>
      <c r="D71" s="106">
        <f>SUM(D72:D73)</f>
        <v>1122169.9234620002</v>
      </c>
      <c r="E71" s="97">
        <f>SUM(E72:E73)</f>
        <v>1138826.6746080001</v>
      </c>
      <c r="F71" s="107">
        <f t="shared" si="0"/>
        <v>1.4843341278130346E-2</v>
      </c>
      <c r="G71" s="97">
        <f>SUM(G72:G73)</f>
        <v>2283548.7290559998</v>
      </c>
      <c r="H71" s="97">
        <f>SUM(H72:H73)</f>
        <v>2314431.3361980002</v>
      </c>
      <c r="I71" s="107">
        <f t="shared" si="1"/>
        <v>1.3523953638058372E-2</v>
      </c>
      <c r="J71" s="108">
        <f>SUM(J72:J73)</f>
        <v>0.99999999999999989</v>
      </c>
    </row>
    <row r="72" spans="2:10" x14ac:dyDescent="0.25">
      <c r="B72" s="188"/>
      <c r="C72" s="226" t="s">
        <v>68</v>
      </c>
      <c r="D72" s="223">
        <v>1096551.0512000001</v>
      </c>
      <c r="E72" s="223">
        <v>1120942.176</v>
      </c>
      <c r="F72" s="109">
        <f t="shared" si="0"/>
        <v>2.2243492241704278E-2</v>
      </c>
      <c r="G72" s="223">
        <v>2251331.8361999998</v>
      </c>
      <c r="H72" s="223">
        <v>2273122.6236</v>
      </c>
      <c r="I72" s="109">
        <f t="shared" si="1"/>
        <v>9.6790650980979834E-3</v>
      </c>
      <c r="J72" s="111">
        <f>(H72/$H$71)</f>
        <v>0.98215167935556058</v>
      </c>
    </row>
    <row r="73" spans="2:10" x14ac:dyDescent="0.25">
      <c r="B73" s="188"/>
      <c r="C73" s="231" t="s">
        <v>54</v>
      </c>
      <c r="D73" s="223">
        <v>25618.872262000001</v>
      </c>
      <c r="E73" s="223">
        <v>17884.498608000002</v>
      </c>
      <c r="F73" s="114">
        <f t="shared" si="0"/>
        <v>-0.30190140982404806</v>
      </c>
      <c r="G73" s="223">
        <v>32216.892855999999</v>
      </c>
      <c r="H73" s="223">
        <v>41308.712597999998</v>
      </c>
      <c r="I73" s="114">
        <f t="shared" si="1"/>
        <v>0.28220659834074474</v>
      </c>
      <c r="J73" s="115">
        <f>(H73/$H$71)</f>
        <v>1.7848320644439298E-2</v>
      </c>
    </row>
    <row r="74" spans="2:10" x14ac:dyDescent="0.25">
      <c r="B74" s="188"/>
      <c r="C74" s="190" t="s">
        <v>69</v>
      </c>
      <c r="D74" s="97">
        <f>SUM(D75:D75)</f>
        <v>2597.7712999999999</v>
      </c>
      <c r="E74" s="97">
        <f>SUM(E75:E75)</f>
        <v>2611.0019499999999</v>
      </c>
      <c r="F74" s="107">
        <f t="shared" si="0"/>
        <v>5.093077285132825E-3</v>
      </c>
      <c r="G74" s="106">
        <f>SUM(G75:G75)</f>
        <v>5135.0240400000002</v>
      </c>
      <c r="H74" s="97">
        <f>SUM(H75:H75)</f>
        <v>5249.1033420000003</v>
      </c>
      <c r="I74" s="107">
        <f t="shared" si="1"/>
        <v>2.2215923647360393E-2</v>
      </c>
      <c r="J74" s="108">
        <f>SUM(J75:J75)</f>
        <v>1</v>
      </c>
    </row>
    <row r="75" spans="2:10" x14ac:dyDescent="0.25">
      <c r="C75" s="222" t="s">
        <v>70</v>
      </c>
      <c r="D75" s="232">
        <v>2597.7712999999999</v>
      </c>
      <c r="E75" s="232">
        <v>2611.0019499999999</v>
      </c>
      <c r="F75" s="133">
        <f t="shared" ref="F75:F88" si="7">(E75-D75)/D75</f>
        <v>5.093077285132825E-3</v>
      </c>
      <c r="G75" s="233">
        <v>5135.0240400000002</v>
      </c>
      <c r="H75" s="232">
        <v>5249.1033420000003</v>
      </c>
      <c r="I75" s="109">
        <f t="shared" ref="I75:I88" si="8">(H75-G75)/G75</f>
        <v>2.2215923647360393E-2</v>
      </c>
      <c r="J75" s="111">
        <f>(H75/$H$74)</f>
        <v>1</v>
      </c>
    </row>
    <row r="76" spans="2:10" x14ac:dyDescent="0.25">
      <c r="C76" s="75" t="s">
        <v>71</v>
      </c>
      <c r="D76" s="106">
        <f>SUM(D77:D81)</f>
        <v>3448.2970789000001</v>
      </c>
      <c r="E76" s="97">
        <f>SUM(E77:E81)</f>
        <v>3116.1079410000002</v>
      </c>
      <c r="F76" s="107">
        <f t="shared" si="7"/>
        <v>-9.6334257257778833E-2</v>
      </c>
      <c r="G76" s="106">
        <f>SUM(G77:G81)</f>
        <v>6679.6905037973011</v>
      </c>
      <c r="H76" s="97">
        <f>SUM(H77:H81)</f>
        <v>6216.3383640000002</v>
      </c>
      <c r="I76" s="107">
        <f t="shared" si="8"/>
        <v>-6.9367306693909295E-2</v>
      </c>
      <c r="J76" s="108">
        <f>SUM(J77:J81)</f>
        <v>1</v>
      </c>
    </row>
    <row r="77" spans="2:10" x14ac:dyDescent="0.25">
      <c r="B77" s="188"/>
      <c r="C77" s="222" t="s">
        <v>32</v>
      </c>
      <c r="D77" s="99">
        <v>951.11638440000002</v>
      </c>
      <c r="E77" s="99">
        <v>1134.2409150000001</v>
      </c>
      <c r="F77" s="109">
        <f t="shared" si="7"/>
        <v>0.19253640627326793</v>
      </c>
      <c r="G77" s="98">
        <v>2372.5158319000002</v>
      </c>
      <c r="H77" s="99">
        <v>2346.776327</v>
      </c>
      <c r="I77" s="109">
        <f t="shared" si="8"/>
        <v>-1.0849033989116519E-2</v>
      </c>
      <c r="J77" s="111">
        <f>(H77/$H$76)</f>
        <v>0.37751746922121049</v>
      </c>
    </row>
    <row r="78" spans="2:10" x14ac:dyDescent="0.25">
      <c r="B78" s="188"/>
      <c r="C78" s="224" t="s">
        <v>72</v>
      </c>
      <c r="D78" s="101">
        <v>1024.4688245</v>
      </c>
      <c r="E78" s="101">
        <v>711.56644200000005</v>
      </c>
      <c r="F78" s="112">
        <f t="shared" si="7"/>
        <v>-0.30542889643588167</v>
      </c>
      <c r="G78" s="100">
        <v>1623.7375043</v>
      </c>
      <c r="H78" s="101">
        <v>1559.099455</v>
      </c>
      <c r="I78" s="112">
        <f t="shared" si="8"/>
        <v>-3.9808188902962893E-2</v>
      </c>
      <c r="J78" s="113">
        <f t="shared" ref="J78:J81" si="9">(H78/$H$76)</f>
        <v>0.25080672313930691</v>
      </c>
    </row>
    <row r="79" spans="2:10" x14ac:dyDescent="0.25">
      <c r="B79" s="188"/>
      <c r="C79" s="224" t="s">
        <v>35</v>
      </c>
      <c r="D79" s="101">
        <v>388.82981584999999</v>
      </c>
      <c r="E79" s="101">
        <v>579.95220600000005</v>
      </c>
      <c r="F79" s="112">
        <f t="shared" si="7"/>
        <v>0.49153223945081903</v>
      </c>
      <c r="G79" s="128">
        <v>813.64374488730004</v>
      </c>
      <c r="H79" s="129">
        <v>1051.536732</v>
      </c>
      <c r="I79" s="112">
        <f t="shared" si="8"/>
        <v>0.29237978981286356</v>
      </c>
      <c r="J79" s="113">
        <f t="shared" si="9"/>
        <v>0.16915693297675841</v>
      </c>
    </row>
    <row r="80" spans="2:10" x14ac:dyDescent="0.25">
      <c r="B80" s="188"/>
      <c r="C80" s="224" t="s">
        <v>33</v>
      </c>
      <c r="D80" s="103">
        <v>243.602272</v>
      </c>
      <c r="E80" s="101">
        <v>237.812625</v>
      </c>
      <c r="F80" s="112">
        <f t="shared" si="7"/>
        <v>-2.3766802142140948E-2</v>
      </c>
      <c r="G80" s="128">
        <v>401.03035599999998</v>
      </c>
      <c r="H80" s="129">
        <v>515.78260499999999</v>
      </c>
      <c r="I80" s="112">
        <f t="shared" si="8"/>
        <v>0.28614354819563836</v>
      </c>
      <c r="J80" s="113">
        <f t="shared" si="9"/>
        <v>8.297209302295952E-2</v>
      </c>
    </row>
    <row r="81" spans="2:10" x14ac:dyDescent="0.25">
      <c r="B81" s="188"/>
      <c r="C81" s="224" t="s">
        <v>128</v>
      </c>
      <c r="D81" s="144">
        <v>840.27978214999996</v>
      </c>
      <c r="E81" s="103">
        <v>452.535753</v>
      </c>
      <c r="F81" s="112">
        <f t="shared" si="7"/>
        <v>-0.46144633892998155</v>
      </c>
      <c r="G81" s="100">
        <v>1468.76306671</v>
      </c>
      <c r="H81" s="101">
        <v>743.14324499999998</v>
      </c>
      <c r="I81" s="112">
        <f t="shared" si="8"/>
        <v>-0.494034632376326</v>
      </c>
      <c r="J81" s="113">
        <f t="shared" si="9"/>
        <v>0.11954678163976468</v>
      </c>
    </row>
    <row r="82" spans="2:10" x14ac:dyDescent="0.25">
      <c r="B82" s="188"/>
      <c r="C82" s="75" t="s">
        <v>73</v>
      </c>
      <c r="D82" s="191">
        <f>SUM(D83:D89)</f>
        <v>2295.3407548999999</v>
      </c>
      <c r="E82" s="97">
        <f>SUM(E83:E89)</f>
        <v>2087.2887530000003</v>
      </c>
      <c r="F82" s="107">
        <f t="shared" si="7"/>
        <v>-9.0641008946431442E-2</v>
      </c>
      <c r="G82" s="106">
        <f>SUM(G83:G89)</f>
        <v>4634.2308122999993</v>
      </c>
      <c r="H82" s="97">
        <f>SUM(H83:H89)</f>
        <v>3775.8962240000001</v>
      </c>
      <c r="I82" s="107">
        <f t="shared" si="8"/>
        <v>-0.18521619294875002</v>
      </c>
      <c r="J82" s="108">
        <f>SUM(J83:J89)</f>
        <v>1</v>
      </c>
    </row>
    <row r="83" spans="2:10" x14ac:dyDescent="0.25">
      <c r="C83" s="224" t="s">
        <v>39</v>
      </c>
      <c r="D83" s="131">
        <v>1459.0461424</v>
      </c>
      <c r="E83" s="132">
        <v>1387.9453860000001</v>
      </c>
      <c r="F83" s="133">
        <f t="shared" si="7"/>
        <v>-4.8730985493745625E-2</v>
      </c>
      <c r="G83" s="98">
        <v>2983.2395677</v>
      </c>
      <c r="H83" s="101">
        <v>2138.6615310000002</v>
      </c>
      <c r="I83" s="110">
        <f t="shared" si="8"/>
        <v>-0.28310768127520763</v>
      </c>
      <c r="J83" s="111">
        <f>(H83/$H$82)</f>
        <v>0.56639838706541745</v>
      </c>
    </row>
    <row r="84" spans="2:10" x14ac:dyDescent="0.25">
      <c r="C84" s="224" t="s">
        <v>36</v>
      </c>
      <c r="D84" s="134">
        <v>664.41700700000001</v>
      </c>
      <c r="E84" s="132">
        <v>553.96266800000001</v>
      </c>
      <c r="F84" s="110">
        <f t="shared" si="7"/>
        <v>-0.16624249204385583</v>
      </c>
      <c r="G84" s="100">
        <v>1286.504807</v>
      </c>
      <c r="H84" s="101">
        <v>1335.745694</v>
      </c>
      <c r="I84" s="110">
        <f t="shared" si="8"/>
        <v>3.8274934327548089E-2</v>
      </c>
      <c r="J84" s="113">
        <f t="shared" ref="J84:J88" si="10">(H84/$H$82)</f>
        <v>0.35375593362705721</v>
      </c>
    </row>
    <row r="85" spans="2:10" x14ac:dyDescent="0.25">
      <c r="C85" s="224" t="s">
        <v>66</v>
      </c>
      <c r="D85" s="134">
        <v>114.196072</v>
      </c>
      <c r="E85" s="132">
        <v>94.648795000000007</v>
      </c>
      <c r="F85" s="110">
        <f t="shared" si="7"/>
        <v>-0.17117293666633293</v>
      </c>
      <c r="G85" s="100">
        <v>249.16765099999998</v>
      </c>
      <c r="H85" s="101">
        <v>205.13147500000002</v>
      </c>
      <c r="I85" s="110">
        <f t="shared" si="8"/>
        <v>-0.17673311853792753</v>
      </c>
      <c r="J85" s="113">
        <f t="shared" si="10"/>
        <v>5.4326565888162509E-2</v>
      </c>
    </row>
    <row r="86" spans="2:10" x14ac:dyDescent="0.25">
      <c r="C86" s="224" t="s">
        <v>59</v>
      </c>
      <c r="D86" s="134">
        <v>54.016848500000002</v>
      </c>
      <c r="E86" s="132">
        <v>46.301206000000001</v>
      </c>
      <c r="F86" s="110">
        <f t="shared" si="7"/>
        <v>-0.14283770183297534</v>
      </c>
      <c r="G86" s="100">
        <v>110.6365016</v>
      </c>
      <c r="H86" s="101">
        <v>87.716915999999998</v>
      </c>
      <c r="I86" s="110">
        <f t="shared" si="8"/>
        <v>-0.20716115629599774</v>
      </c>
      <c r="J86" s="113">
        <f t="shared" si="10"/>
        <v>2.3230753918092848E-2</v>
      </c>
    </row>
    <row r="87" spans="2:10" x14ac:dyDescent="0.25">
      <c r="C87" s="224" t="s">
        <v>74</v>
      </c>
      <c r="D87" s="140">
        <v>0</v>
      </c>
      <c r="E87" s="132">
        <v>4.0498979999999998</v>
      </c>
      <c r="F87" s="110" t="s">
        <v>75</v>
      </c>
      <c r="G87" s="100">
        <v>0</v>
      </c>
      <c r="H87" s="101">
        <v>7.6768079999999994</v>
      </c>
      <c r="I87" s="110" t="s">
        <v>75</v>
      </c>
      <c r="J87" s="113">
        <f t="shared" si="10"/>
        <v>2.0331088421353814E-3</v>
      </c>
    </row>
    <row r="88" spans="2:10" x14ac:dyDescent="0.25">
      <c r="C88" s="224" t="s">
        <v>76</v>
      </c>
      <c r="D88" s="134">
        <v>0.98670000000000002</v>
      </c>
      <c r="E88" s="135">
        <v>0.38080000000000003</v>
      </c>
      <c r="F88" s="110">
        <f t="shared" si="7"/>
        <v>-0.61406709232796186</v>
      </c>
      <c r="G88" s="100">
        <v>2.0043000000000002</v>
      </c>
      <c r="H88" s="101">
        <v>0.96379999999999999</v>
      </c>
      <c r="I88" s="110">
        <f t="shared" si="8"/>
        <v>-0.51913386219627811</v>
      </c>
      <c r="J88" s="199">
        <f t="shared" si="10"/>
        <v>2.5525065913464042E-4</v>
      </c>
    </row>
    <row r="89" spans="2:10" x14ac:dyDescent="0.25">
      <c r="C89" s="224" t="s">
        <v>77</v>
      </c>
      <c r="D89" s="140">
        <v>2.6779850000000001</v>
      </c>
      <c r="E89" s="141">
        <v>0</v>
      </c>
      <c r="F89" s="110" t="s">
        <v>43</v>
      </c>
      <c r="G89" s="100">
        <v>2.6779850000000001</v>
      </c>
      <c r="H89" s="101">
        <v>0</v>
      </c>
      <c r="I89" s="110" t="s">
        <v>43</v>
      </c>
      <c r="J89" s="113" t="s">
        <v>43</v>
      </c>
    </row>
    <row r="90" spans="2:10" x14ac:dyDescent="0.25">
      <c r="C90" s="75" t="s">
        <v>78</v>
      </c>
      <c r="D90" s="106">
        <f>SUM(D91:D95)</f>
        <v>16.554153000000003</v>
      </c>
      <c r="E90" s="97">
        <f>SUM(E91:E95)</f>
        <v>18.494443</v>
      </c>
      <c r="F90" s="107">
        <f t="shared" ref="F90:F95" si="11">(E90-D90)/D90</f>
        <v>0.11720865452916843</v>
      </c>
      <c r="G90" s="106">
        <f>SUM(G91:G95)</f>
        <v>36.565685799999997</v>
      </c>
      <c r="H90" s="97">
        <f>SUM(H91:H95)</f>
        <v>36.294598999999998</v>
      </c>
      <c r="I90" s="107">
        <f t="shared" ref="I90:I95" si="12">(H90-G90)/G90</f>
        <v>-7.413693851736786E-3</v>
      </c>
      <c r="J90" s="108">
        <f>SUM(J91:J95)</f>
        <v>1</v>
      </c>
    </row>
    <row r="91" spans="2:10" x14ac:dyDescent="0.25">
      <c r="B91" s="188"/>
      <c r="C91" s="222" t="s">
        <v>53</v>
      </c>
      <c r="D91" s="132">
        <v>11.965028</v>
      </c>
      <c r="E91" s="137">
        <v>10.930327</v>
      </c>
      <c r="F91" s="110">
        <f t="shared" si="11"/>
        <v>-8.6477106447222701E-2</v>
      </c>
      <c r="G91" s="131">
        <v>25.057380000000002</v>
      </c>
      <c r="H91" s="132">
        <v>20.755535999999999</v>
      </c>
      <c r="I91" s="110">
        <f t="shared" si="12"/>
        <v>-0.1716797207050379</v>
      </c>
      <c r="J91" s="111">
        <f>(H91/$H$90)</f>
        <v>0.57186293751309947</v>
      </c>
    </row>
    <row r="92" spans="2:10" x14ac:dyDescent="0.25">
      <c r="B92" s="188"/>
      <c r="C92" s="224" t="s">
        <v>79</v>
      </c>
      <c r="D92" s="132">
        <v>3.2483970000000002</v>
      </c>
      <c r="E92" s="132">
        <v>5.2067310000000004</v>
      </c>
      <c r="F92" s="110">
        <f t="shared" si="11"/>
        <v>0.60286165761143118</v>
      </c>
      <c r="G92" s="134">
        <v>8.6198718000000003</v>
      </c>
      <c r="H92" s="132">
        <v>10.895258</v>
      </c>
      <c r="I92" s="110">
        <f t="shared" si="12"/>
        <v>0.26396984233570614</v>
      </c>
      <c r="J92" s="113">
        <f t="shared" ref="J92:J95" si="13">(H92/$H$90)</f>
        <v>0.30018951304572894</v>
      </c>
    </row>
    <row r="93" spans="2:10" x14ac:dyDescent="0.25">
      <c r="B93" s="188"/>
      <c r="C93" s="224" t="s">
        <v>80</v>
      </c>
      <c r="D93" s="135">
        <v>0.854904</v>
      </c>
      <c r="E93" s="135">
        <v>1.292211</v>
      </c>
      <c r="F93" s="110">
        <f t="shared" si="11"/>
        <v>0.51152761011762726</v>
      </c>
      <c r="G93" s="134">
        <v>1.868436</v>
      </c>
      <c r="H93" s="132">
        <v>2.5334490000000001</v>
      </c>
      <c r="I93" s="110">
        <f t="shared" si="12"/>
        <v>0.35591960334739864</v>
      </c>
      <c r="J93" s="113">
        <f t="shared" si="13"/>
        <v>6.9802369217524626E-2</v>
      </c>
    </row>
    <row r="94" spans="2:10" x14ac:dyDescent="0.25">
      <c r="B94" s="188"/>
      <c r="C94" s="224" t="s">
        <v>66</v>
      </c>
      <c r="D94" s="216">
        <v>0.34782400000000002</v>
      </c>
      <c r="E94" s="132">
        <v>1.0243739999999999</v>
      </c>
      <c r="F94" s="110">
        <f t="shared" si="11"/>
        <v>1.9450929205575229</v>
      </c>
      <c r="G94" s="134">
        <v>0.74419800000000003</v>
      </c>
      <c r="H94" s="132">
        <v>1.9741559999999998</v>
      </c>
      <c r="I94" s="110">
        <f t="shared" si="12"/>
        <v>1.6527295155321566</v>
      </c>
      <c r="J94" s="113">
        <f t="shared" si="13"/>
        <v>5.4392555762911167E-2</v>
      </c>
    </row>
    <row r="95" spans="2:10" x14ac:dyDescent="0.25">
      <c r="B95" s="188"/>
      <c r="C95" s="224" t="s">
        <v>76</v>
      </c>
      <c r="D95" s="135">
        <v>0.13800000000000001</v>
      </c>
      <c r="E95" s="217">
        <v>4.0800000000000003E-2</v>
      </c>
      <c r="F95" s="110">
        <f t="shared" si="11"/>
        <v>-0.70434782608695656</v>
      </c>
      <c r="G95" s="185">
        <v>0.27580000000000005</v>
      </c>
      <c r="H95" s="135">
        <v>0.13619999999999999</v>
      </c>
      <c r="I95" s="110">
        <f t="shared" si="12"/>
        <v>-0.50616388687454694</v>
      </c>
      <c r="J95" s="113">
        <f t="shared" si="13"/>
        <v>3.7526244607358795E-3</v>
      </c>
    </row>
    <row r="96" spans="2:10" x14ac:dyDescent="0.25">
      <c r="B96" s="188"/>
      <c r="C96" s="75" t="s">
        <v>81</v>
      </c>
      <c r="D96" s="97">
        <f>SUM(D97:D99)</f>
        <v>26.565791999999998</v>
      </c>
      <c r="E96" s="97">
        <f>SUM(E97:E99)</f>
        <v>22.429242000000002</v>
      </c>
      <c r="F96" s="107">
        <f t="shared" ref="F96:F99" si="14">(E96-D96)/D96</f>
        <v>-0.15570964343920168</v>
      </c>
      <c r="G96" s="106">
        <f>SUM(G97:G99)</f>
        <v>56.659901999999995</v>
      </c>
      <c r="H96" s="97">
        <f>SUM(H97:H99)</f>
        <v>48.980727999999999</v>
      </c>
      <c r="I96" s="107">
        <f t="shared" ref="I96:I105" si="15">(H96-G96)/G96</f>
        <v>-0.13553101450828484</v>
      </c>
      <c r="J96" s="108">
        <f>SUM(J97:J99)</f>
        <v>1</v>
      </c>
    </row>
    <row r="97" spans="2:10" x14ac:dyDescent="0.25">
      <c r="B97" s="188"/>
      <c r="C97" s="224" t="s">
        <v>65</v>
      </c>
      <c r="D97" s="137">
        <v>14.6493</v>
      </c>
      <c r="E97" s="137">
        <v>13.17666</v>
      </c>
      <c r="F97" s="109">
        <f t="shared" si="14"/>
        <v>-0.10052630501116096</v>
      </c>
      <c r="G97" s="98">
        <v>32.265149999999998</v>
      </c>
      <c r="H97" s="99">
        <v>29.572395999999998</v>
      </c>
      <c r="I97" s="109">
        <f t="shared" si="15"/>
        <v>-8.3457042660579628E-2</v>
      </c>
      <c r="J97" s="111">
        <f>(H97/$H$96)</f>
        <v>0.60375574654586595</v>
      </c>
    </row>
    <row r="98" spans="2:10" x14ac:dyDescent="0.25">
      <c r="B98" s="188"/>
      <c r="C98" s="224" t="s">
        <v>66</v>
      </c>
      <c r="D98" s="132">
        <v>7.6238999999999999</v>
      </c>
      <c r="E98" s="132">
        <v>5.2055100000000003</v>
      </c>
      <c r="F98" s="112">
        <f t="shared" si="14"/>
        <v>-0.3172116633219218</v>
      </c>
      <c r="G98" s="100">
        <v>16.748670000000001</v>
      </c>
      <c r="H98" s="101">
        <v>11.37039</v>
      </c>
      <c r="I98" s="112">
        <f t="shared" si="15"/>
        <v>-0.32111684091930881</v>
      </c>
      <c r="J98" s="113">
        <f t="shared" ref="J98:J99" si="16">(H98/$H$96)</f>
        <v>0.23214007762399941</v>
      </c>
    </row>
    <row r="99" spans="2:10" x14ac:dyDescent="0.25">
      <c r="B99" s="188"/>
      <c r="C99" s="224" t="s">
        <v>79</v>
      </c>
      <c r="D99" s="186">
        <v>4.292592</v>
      </c>
      <c r="E99" s="186">
        <v>4.047072</v>
      </c>
      <c r="F99" s="114">
        <f t="shared" si="14"/>
        <v>-5.7196211519753092E-2</v>
      </c>
      <c r="G99" s="183">
        <v>7.6460819999999998</v>
      </c>
      <c r="H99" s="184">
        <v>8.037942000000001</v>
      </c>
      <c r="I99" s="114">
        <f t="shared" si="15"/>
        <v>5.1249777336942137E-2</v>
      </c>
      <c r="J99" s="115">
        <f t="shared" si="16"/>
        <v>0.16410417583013467</v>
      </c>
    </row>
    <row r="100" spans="2:10" x14ac:dyDescent="0.25">
      <c r="B100" s="188"/>
      <c r="C100" s="75" t="s">
        <v>82</v>
      </c>
      <c r="D100" s="97">
        <f>SUM(D101:D104)</f>
        <v>3577.7138660000001</v>
      </c>
      <c r="E100" s="97">
        <f>SUM(E101:E104)</f>
        <v>3321.9614589999996</v>
      </c>
      <c r="F100" s="107">
        <f t="shared" ref="F100:F105" si="17">(E100-D100)/D100</f>
        <v>-7.1484868991476921E-2</v>
      </c>
      <c r="G100" s="106">
        <f>SUM(G101:G104)</f>
        <v>6159.6974158000003</v>
      </c>
      <c r="H100" s="97">
        <f>SUM(H101:H104)</f>
        <v>6798.3217179999983</v>
      </c>
      <c r="I100" s="107">
        <f t="shared" si="15"/>
        <v>0.10367786907225146</v>
      </c>
      <c r="J100" s="108">
        <f>SUM(J101:J104)</f>
        <v>1.0000000000000002</v>
      </c>
    </row>
    <row r="101" spans="2:10" x14ac:dyDescent="0.25">
      <c r="C101" s="224" t="s">
        <v>59</v>
      </c>
      <c r="D101" s="117">
        <v>3494.3362780000002</v>
      </c>
      <c r="E101" s="118">
        <v>3245.0883159999998</v>
      </c>
      <c r="F101" s="109">
        <f t="shared" si="17"/>
        <v>-7.1329128672944608E-2</v>
      </c>
      <c r="G101" s="98">
        <v>5971.6844608000001</v>
      </c>
      <c r="H101" s="99">
        <v>6625.708247999999</v>
      </c>
      <c r="I101" s="109">
        <f t="shared" si="15"/>
        <v>0.10952082138519124</v>
      </c>
      <c r="J101" s="111">
        <f>(H101/$H$100)</f>
        <v>0.97460939961947246</v>
      </c>
    </row>
    <row r="102" spans="2:10" x14ac:dyDescent="0.25">
      <c r="C102" s="224" t="s">
        <v>65</v>
      </c>
      <c r="D102" s="102">
        <v>72.383700000000005</v>
      </c>
      <c r="E102" s="103">
        <v>61.894500000000001</v>
      </c>
      <c r="F102" s="112">
        <f t="shared" si="17"/>
        <v>-0.14491107804657682</v>
      </c>
      <c r="G102" s="100">
        <v>163.06941499999999</v>
      </c>
      <c r="H102" s="101">
        <v>142.13618099999999</v>
      </c>
      <c r="I102" s="112">
        <f t="shared" si="15"/>
        <v>-0.12837008092535318</v>
      </c>
      <c r="J102" s="113">
        <f t="shared" ref="J102:J104" si="18">(H102/$H$100)</f>
        <v>2.0907539668748584E-2</v>
      </c>
    </row>
    <row r="103" spans="2:10" x14ac:dyDescent="0.25">
      <c r="C103" s="224" t="s">
        <v>66</v>
      </c>
      <c r="D103" s="102">
        <v>8.1321600000000007</v>
      </c>
      <c r="E103" s="103">
        <v>10.931571</v>
      </c>
      <c r="F103" s="112">
        <f t="shared" si="17"/>
        <v>0.34423953783496625</v>
      </c>
      <c r="G103" s="100">
        <v>18.169407</v>
      </c>
      <c r="H103" s="101">
        <v>22.439346999999998</v>
      </c>
      <c r="I103" s="112">
        <f t="shared" si="15"/>
        <v>0.23500711938479876</v>
      </c>
      <c r="J103" s="113">
        <f t="shared" si="18"/>
        <v>3.3007186083275626E-3</v>
      </c>
    </row>
    <row r="104" spans="2:10" x14ac:dyDescent="0.25">
      <c r="C104" s="224" t="s">
        <v>79</v>
      </c>
      <c r="D104" s="104">
        <v>2.8617279999999998</v>
      </c>
      <c r="E104" s="105">
        <v>4.047072</v>
      </c>
      <c r="F104" s="114">
        <f t="shared" si="17"/>
        <v>0.41420568272037045</v>
      </c>
      <c r="G104" s="124">
        <v>6.774133</v>
      </c>
      <c r="H104" s="125">
        <v>8.037942000000001</v>
      </c>
      <c r="I104" s="114">
        <f t="shared" si="15"/>
        <v>0.1865639484787206</v>
      </c>
      <c r="J104" s="115">
        <f t="shared" si="18"/>
        <v>1.1823421034514805E-3</v>
      </c>
    </row>
    <row r="105" spans="2:10" x14ac:dyDescent="0.25">
      <c r="C105" s="78" t="s">
        <v>83</v>
      </c>
      <c r="D105" s="106">
        <f>SUM(D106:D106)</f>
        <v>2.8617279999999998</v>
      </c>
      <c r="E105" s="97">
        <f>SUM(E106:E106)</f>
        <v>4.047072</v>
      </c>
      <c r="F105" s="107">
        <f t="shared" si="17"/>
        <v>0.41420568272037045</v>
      </c>
      <c r="G105" s="106">
        <f>SUM(G106:G106)</f>
        <v>5.0973880000000005</v>
      </c>
      <c r="H105" s="97">
        <f>SUM(H106:H106)</f>
        <v>8.037942000000001</v>
      </c>
      <c r="I105" s="107">
        <f t="shared" si="15"/>
        <v>0.57687466600541304</v>
      </c>
      <c r="J105" s="108">
        <f>SUM(J106:J106)</f>
        <v>1</v>
      </c>
    </row>
    <row r="106" spans="2:10" x14ac:dyDescent="0.25">
      <c r="C106" s="224" t="s">
        <v>79</v>
      </c>
      <c r="D106" s="117">
        <v>2.8617279999999998</v>
      </c>
      <c r="E106" s="118">
        <v>4.047072</v>
      </c>
      <c r="F106" s="109">
        <f>(E106-D106)/D106</f>
        <v>0.41420568272037045</v>
      </c>
      <c r="G106" s="98">
        <v>5.0973880000000005</v>
      </c>
      <c r="H106" s="99">
        <v>8.037942000000001</v>
      </c>
      <c r="I106" s="109">
        <f>(H106-G106)/G106</f>
        <v>0.57687466600541304</v>
      </c>
      <c r="J106" s="111">
        <f>H106/H105</f>
        <v>1</v>
      </c>
    </row>
    <row r="107" spans="2:10" ht="98.25" customHeight="1" x14ac:dyDescent="0.25">
      <c r="C107" s="252" t="s">
        <v>124</v>
      </c>
      <c r="D107" s="253"/>
      <c r="E107" s="253"/>
      <c r="F107" s="253"/>
      <c r="G107" s="253"/>
      <c r="H107" s="253"/>
      <c r="I107" s="253"/>
      <c r="J107" s="254"/>
    </row>
  </sheetData>
  <mergeCells count="5">
    <mergeCell ref="C3:J3"/>
    <mergeCell ref="B4:K4"/>
    <mergeCell ref="D8:F8"/>
    <mergeCell ref="G8:J8"/>
    <mergeCell ref="C107:J107"/>
  </mergeCells>
  <printOptions horizontalCentered="1" verticalCentered="1"/>
  <pageMargins left="0" right="0" top="0" bottom="0" header="0.31496062992125984" footer="0.31496062992125984"/>
  <pageSetup paperSize="9" scale="47" orientation="portrait" r:id="rId1"/>
  <ignoredErrors>
    <ignoredError sqref="F11 I11:I68 F76:F79 F81:F86 I76:I86 F95 F88:F89 I70:I75 F23:F75 I90:I95 F90:F91 I88 F96:F105 I96:I10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3CBB-DC25-4836-85C0-23E6B5DB39FA}">
  <sheetPr>
    <tabColor rgb="FFC00000"/>
  </sheetPr>
  <dimension ref="C1:S123"/>
  <sheetViews>
    <sheetView showGridLines="0" tabSelected="1" view="pageBreakPreview" zoomScaleNormal="100" zoomScaleSheetLayoutView="100" zoomScalePageLayoutView="70" workbookViewId="0"/>
  </sheetViews>
  <sheetFormatPr baseColWidth="10" defaultColWidth="11.42578125" defaultRowHeight="15" x14ac:dyDescent="0.25"/>
  <cols>
    <col min="1" max="2" width="3.28515625" style="60" customWidth="1"/>
    <col min="3" max="3" width="48.85546875" style="60" customWidth="1"/>
    <col min="4" max="4" width="14.7109375" style="60" customWidth="1"/>
    <col min="5" max="5" width="13" style="60" customWidth="1"/>
    <col min="6" max="6" width="11.140625" style="94" customWidth="1"/>
    <col min="7" max="7" width="12.42578125" style="63" customWidth="1"/>
    <col min="8" max="8" width="11.7109375" style="60" customWidth="1"/>
    <col min="9" max="9" width="9.7109375" style="63" customWidth="1"/>
    <col min="10" max="10" width="9.85546875" style="63" customWidth="1"/>
    <col min="11" max="11" width="3.28515625" style="60" customWidth="1"/>
    <col min="12" max="12" width="15.42578125" style="60" customWidth="1"/>
    <col min="13" max="16384" width="11.42578125" style="60"/>
  </cols>
  <sheetData>
    <row r="1" spans="3:19" ht="10.5" customHeight="1" x14ac:dyDescent="0.25">
      <c r="F1" s="63"/>
      <c r="H1" s="62"/>
    </row>
    <row r="2" spans="3:19" ht="10.5" customHeight="1" x14ac:dyDescent="0.25">
      <c r="F2" s="63"/>
      <c r="H2" s="62"/>
    </row>
    <row r="3" spans="3:19" ht="15.75" x14ac:dyDescent="0.25">
      <c r="C3" s="238" t="s">
        <v>0</v>
      </c>
      <c r="D3" s="238"/>
      <c r="E3" s="238"/>
      <c r="F3" s="238"/>
      <c r="G3" s="238"/>
      <c r="H3" s="238"/>
      <c r="I3" s="238"/>
      <c r="J3" s="238"/>
      <c r="K3" s="1"/>
      <c r="L3" s="1"/>
      <c r="M3" s="4"/>
      <c r="N3" s="4"/>
      <c r="O3" s="4"/>
      <c r="P3" s="4"/>
      <c r="Q3" s="4"/>
      <c r="R3" s="4"/>
      <c r="S3" s="4"/>
    </row>
    <row r="4" spans="3:19" ht="15.75" x14ac:dyDescent="0.25">
      <c r="C4" s="239" t="s">
        <v>1</v>
      </c>
      <c r="D4" s="239"/>
      <c r="E4" s="239"/>
      <c r="F4" s="239"/>
      <c r="G4" s="239"/>
      <c r="H4" s="239"/>
      <c r="I4" s="239"/>
      <c r="J4" s="239"/>
      <c r="K4" s="79"/>
      <c r="L4" s="1"/>
      <c r="M4" s="4"/>
      <c r="N4" s="4"/>
      <c r="O4" s="4"/>
      <c r="P4" s="4"/>
      <c r="Q4" s="4"/>
      <c r="R4" s="4"/>
      <c r="S4" s="4"/>
    </row>
    <row r="5" spans="3:19" ht="9" customHeight="1" x14ac:dyDescent="0.25">
      <c r="E5" s="4"/>
      <c r="F5" s="3"/>
      <c r="G5" s="3"/>
      <c r="H5" s="4"/>
      <c r="I5" s="3"/>
      <c r="J5" s="3"/>
      <c r="K5" s="4"/>
      <c r="L5" s="4"/>
      <c r="M5" s="4"/>
      <c r="N5" s="4"/>
      <c r="O5" s="4"/>
      <c r="P5" s="4"/>
      <c r="Q5" s="4"/>
      <c r="R5" s="4"/>
      <c r="S5" s="4"/>
    </row>
    <row r="6" spans="3:19" ht="15.75" customHeight="1" x14ac:dyDescent="0.25">
      <c r="C6" s="80" t="s">
        <v>84</v>
      </c>
      <c r="D6" s="52"/>
      <c r="E6" s="52"/>
      <c r="F6" s="81"/>
    </row>
    <row r="7" spans="3:19" x14ac:dyDescent="0.25">
      <c r="C7" s="82" t="s">
        <v>85</v>
      </c>
      <c r="D7" s="83"/>
      <c r="E7" s="83"/>
      <c r="F7" s="81"/>
    </row>
    <row r="8" spans="3:19" ht="26.25" customHeight="1" x14ac:dyDescent="0.25">
      <c r="C8" s="84"/>
      <c r="D8" s="255" t="s">
        <v>125</v>
      </c>
      <c r="E8" s="256"/>
      <c r="F8" s="256"/>
      <c r="G8" s="249" t="s">
        <v>126</v>
      </c>
      <c r="H8" s="250"/>
      <c r="I8" s="250"/>
      <c r="J8" s="251"/>
    </row>
    <row r="9" spans="3:19" ht="24" x14ac:dyDescent="0.25">
      <c r="C9" s="85" t="s">
        <v>86</v>
      </c>
      <c r="D9" s="96">
        <v>2025</v>
      </c>
      <c r="E9" s="95">
        <v>2026</v>
      </c>
      <c r="F9" s="107" t="s">
        <v>24</v>
      </c>
      <c r="G9" s="96">
        <v>2025</v>
      </c>
      <c r="H9" s="95">
        <v>2026</v>
      </c>
      <c r="I9" s="163" t="s">
        <v>24</v>
      </c>
      <c r="J9" s="139" t="s">
        <v>30</v>
      </c>
    </row>
    <row r="10" spans="3:19" ht="4.5" customHeight="1" x14ac:dyDescent="0.25">
      <c r="D10" s="234"/>
      <c r="E10" s="234"/>
      <c r="F10" s="63"/>
      <c r="H10" s="234"/>
    </row>
    <row r="11" spans="3:19" x14ac:dyDescent="0.25">
      <c r="C11" s="86" t="s">
        <v>87</v>
      </c>
      <c r="D11" s="142">
        <f>+SUM(D12:D26)</f>
        <v>217002.488693697</v>
      </c>
      <c r="E11" s="142">
        <f>+SUM(E12:E26)</f>
        <v>223262.73715799997</v>
      </c>
      <c r="F11" s="164">
        <f>(E11-D11)/D11</f>
        <v>2.8848740408408083E-2</v>
      </c>
      <c r="G11" s="146">
        <f>+SUM(G12:G26)</f>
        <v>436673.64709236642</v>
      </c>
      <c r="H11" s="142">
        <f>+SUM(H12:H26)</f>
        <v>449518.62585199997</v>
      </c>
      <c r="I11" s="167">
        <f>(H11-G11)/G11</f>
        <v>2.9415511664518987E-2</v>
      </c>
      <c r="J11" s="167">
        <f>SUM(J12:J26)</f>
        <v>1</v>
      </c>
    </row>
    <row r="12" spans="3:19" x14ac:dyDescent="0.25">
      <c r="C12" s="87" t="s">
        <v>91</v>
      </c>
      <c r="D12" s="143">
        <v>34919.666050039996</v>
      </c>
      <c r="E12" s="143">
        <v>48776.627082999992</v>
      </c>
      <c r="F12" s="165">
        <f t="shared" ref="F12:F76" si="0">+E12/D12-1</f>
        <v>0.39682398488871362</v>
      </c>
      <c r="G12" s="152">
        <v>66246.666255060001</v>
      </c>
      <c r="H12" s="143">
        <v>87874.057128999993</v>
      </c>
      <c r="I12" s="169">
        <f t="shared" ref="I12:I77" si="1">+H12/G12-1</f>
        <v>0.32646761107451305</v>
      </c>
      <c r="J12" s="169">
        <f t="shared" ref="J12:J25" si="2">(H12/$H$11)</f>
        <v>0.19548479656976828</v>
      </c>
    </row>
    <row r="13" spans="3:19" x14ac:dyDescent="0.25">
      <c r="C13" s="87" t="s">
        <v>88</v>
      </c>
      <c r="D13" s="143">
        <v>39527.600349944005</v>
      </c>
      <c r="E13" s="143">
        <v>37609.898211</v>
      </c>
      <c r="F13" s="165">
        <f t="shared" si="0"/>
        <v>-4.8515521356376046E-2</v>
      </c>
      <c r="G13" s="152">
        <v>79152.884970465413</v>
      </c>
      <c r="H13" s="143">
        <v>74972.146803999989</v>
      </c>
      <c r="I13" s="169">
        <f t="shared" si="1"/>
        <v>-5.2818519097887595E-2</v>
      </c>
      <c r="J13" s="169">
        <f t="shared" si="2"/>
        <v>0.16678318203589612</v>
      </c>
    </row>
    <row r="14" spans="3:19" x14ac:dyDescent="0.25">
      <c r="C14" s="87" t="s">
        <v>89</v>
      </c>
      <c r="D14" s="143">
        <v>29431.087589999999</v>
      </c>
      <c r="E14" s="143">
        <v>30297.789359999999</v>
      </c>
      <c r="F14" s="165">
        <f t="shared" si="0"/>
        <v>2.9448513152958933E-2</v>
      </c>
      <c r="G14" s="152">
        <v>61640.627251999998</v>
      </c>
      <c r="H14" s="143">
        <v>67368.402459999998</v>
      </c>
      <c r="I14" s="169">
        <f t="shared" si="1"/>
        <v>9.2922078560031984E-2</v>
      </c>
      <c r="J14" s="169">
        <f t="shared" si="2"/>
        <v>0.14986787773768567</v>
      </c>
    </row>
    <row r="15" spans="3:19" x14ac:dyDescent="0.25">
      <c r="C15" s="88" t="s">
        <v>90</v>
      </c>
      <c r="D15" s="144">
        <v>29477.197938819998</v>
      </c>
      <c r="E15" s="144">
        <v>29389.275512</v>
      </c>
      <c r="F15" s="165">
        <f t="shared" si="0"/>
        <v>-2.9827267504354271E-3</v>
      </c>
      <c r="G15" s="152">
        <v>64134.028780089997</v>
      </c>
      <c r="H15" s="143">
        <v>62214.588213999996</v>
      </c>
      <c r="I15" s="169">
        <f t="shared" si="1"/>
        <v>-2.9928582417168781E-2</v>
      </c>
      <c r="J15" s="169">
        <f t="shared" si="2"/>
        <v>0.13840269264945565</v>
      </c>
    </row>
    <row r="16" spans="3:19" x14ac:dyDescent="0.25">
      <c r="C16" s="89" t="s">
        <v>93</v>
      </c>
      <c r="D16" s="144">
        <v>22811.548504366998</v>
      </c>
      <c r="E16" s="144">
        <v>22057.395573000002</v>
      </c>
      <c r="F16" s="165">
        <f t="shared" si="0"/>
        <v>-3.3060137553687863E-2</v>
      </c>
      <c r="G16" s="152">
        <v>41813.754131026995</v>
      </c>
      <c r="H16" s="143">
        <v>41163.395871000001</v>
      </c>
      <c r="I16" s="169">
        <f t="shared" si="1"/>
        <v>-1.5553692165239275E-2</v>
      </c>
      <c r="J16" s="169">
        <f t="shared" si="2"/>
        <v>9.1572169658110422E-2</v>
      </c>
    </row>
    <row r="17" spans="3:10" x14ac:dyDescent="0.25">
      <c r="C17" s="89" t="s">
        <v>92</v>
      </c>
      <c r="D17" s="144">
        <v>19629.614988007997</v>
      </c>
      <c r="E17" s="144">
        <v>18081.194235999999</v>
      </c>
      <c r="F17" s="165">
        <f t="shared" si="0"/>
        <v>-7.8881870732255832E-2</v>
      </c>
      <c r="G17" s="152">
        <v>40647.619663003999</v>
      </c>
      <c r="H17" s="143">
        <v>37927.428010999996</v>
      </c>
      <c r="I17" s="169">
        <f t="shared" si="1"/>
        <v>-6.6921302515527747E-2</v>
      </c>
      <c r="J17" s="169">
        <f t="shared" si="2"/>
        <v>8.4373429330350525E-2</v>
      </c>
    </row>
    <row r="18" spans="3:10" x14ac:dyDescent="0.25">
      <c r="C18" s="89" t="s">
        <v>95</v>
      </c>
      <c r="D18" s="144">
        <v>13386.076251279999</v>
      </c>
      <c r="E18" s="144">
        <v>12845.126960000001</v>
      </c>
      <c r="F18" s="165">
        <f t="shared" si="0"/>
        <v>-4.0411340943039331E-2</v>
      </c>
      <c r="G18" s="152">
        <v>27784.679738089999</v>
      </c>
      <c r="H18" s="143">
        <v>29160.127041</v>
      </c>
      <c r="I18" s="169">
        <f t="shared" si="1"/>
        <v>4.9503802666633012E-2</v>
      </c>
      <c r="J18" s="169">
        <f t="shared" si="2"/>
        <v>6.4869674723113058E-2</v>
      </c>
    </row>
    <row r="19" spans="3:10" x14ac:dyDescent="0.25">
      <c r="C19" s="89" t="s">
        <v>94</v>
      </c>
      <c r="D19" s="144">
        <v>15351.53154193</v>
      </c>
      <c r="E19" s="144">
        <v>13277.114208999999</v>
      </c>
      <c r="F19" s="165">
        <f t="shared" si="0"/>
        <v>-0.13512771199825213</v>
      </c>
      <c r="G19" s="152">
        <v>29737.948149489999</v>
      </c>
      <c r="H19" s="143">
        <v>27269.139339000001</v>
      </c>
      <c r="I19" s="169">
        <f t="shared" si="1"/>
        <v>-8.3018801367179651E-2</v>
      </c>
      <c r="J19" s="169">
        <f t="shared" si="2"/>
        <v>6.0662979842748772E-2</v>
      </c>
    </row>
    <row r="20" spans="3:10" x14ac:dyDescent="0.25">
      <c r="C20" s="89" t="s">
        <v>97</v>
      </c>
      <c r="D20" s="144">
        <v>4204.3315336400001</v>
      </c>
      <c r="E20" s="144">
        <v>3640.2184260000004</v>
      </c>
      <c r="F20" s="165">
        <f t="shared" si="0"/>
        <v>-0.1341742684006666</v>
      </c>
      <c r="G20" s="152">
        <v>8619.3944871639997</v>
      </c>
      <c r="H20" s="143">
        <v>7777.8026280000004</v>
      </c>
      <c r="I20" s="169">
        <f t="shared" si="1"/>
        <v>-9.7639324945307693E-2</v>
      </c>
      <c r="J20" s="175">
        <f t="shared" si="2"/>
        <v>1.7302514691706621E-2</v>
      </c>
    </row>
    <row r="21" spans="3:10" x14ac:dyDescent="0.25">
      <c r="C21" s="89" t="s">
        <v>96</v>
      </c>
      <c r="D21" s="144">
        <v>4778.842371013</v>
      </c>
      <c r="E21" s="144">
        <v>4539.0360529999998</v>
      </c>
      <c r="F21" s="165">
        <f t="shared" si="0"/>
        <v>-5.0180838662432614E-2</v>
      </c>
      <c r="G21" s="152">
        <v>9767.1073145910013</v>
      </c>
      <c r="H21" s="143">
        <v>7640.5957539999999</v>
      </c>
      <c r="I21" s="169">
        <f t="shared" si="1"/>
        <v>-0.2177217360368533</v>
      </c>
      <c r="J21" s="175">
        <f t="shared" si="2"/>
        <v>1.6997284015803159E-2</v>
      </c>
    </row>
    <row r="22" spans="3:10" x14ac:dyDescent="0.25">
      <c r="C22" s="89" t="s">
        <v>98</v>
      </c>
      <c r="D22" s="144">
        <v>1859.7569759999999</v>
      </c>
      <c r="E22" s="144">
        <v>1470.4521099999999</v>
      </c>
      <c r="F22" s="165">
        <f t="shared" si="0"/>
        <v>-0.20933104218666465</v>
      </c>
      <c r="G22" s="152">
        <v>3607.2671759999998</v>
      </c>
      <c r="H22" s="143">
        <v>3042.24449</v>
      </c>
      <c r="I22" s="169">
        <f t="shared" si="1"/>
        <v>-0.15663455420192585</v>
      </c>
      <c r="J22" s="169">
        <f t="shared" si="2"/>
        <v>6.7677829461100731E-3</v>
      </c>
    </row>
    <row r="23" spans="3:10" x14ac:dyDescent="0.25">
      <c r="C23" s="89" t="s">
        <v>99</v>
      </c>
      <c r="D23" s="144">
        <v>1437.8198616049999</v>
      </c>
      <c r="E23" s="144">
        <v>1037.3860579999998</v>
      </c>
      <c r="F23" s="165">
        <f t="shared" si="0"/>
        <v>-0.27850067612642837</v>
      </c>
      <c r="G23" s="152">
        <v>3029.8729345950001</v>
      </c>
      <c r="H23" s="143">
        <v>2649.1641949999998</v>
      </c>
      <c r="I23" s="169">
        <f t="shared" si="1"/>
        <v>-0.12565171801367614</v>
      </c>
      <c r="J23" s="169">
        <f t="shared" si="2"/>
        <v>5.8933357655177867E-3</v>
      </c>
    </row>
    <row r="24" spans="3:10" x14ac:dyDescent="0.25">
      <c r="C24" s="89" t="s">
        <v>100</v>
      </c>
      <c r="D24" s="144">
        <v>159.06951770000001</v>
      </c>
      <c r="E24" s="144">
        <v>186.49351799999999</v>
      </c>
      <c r="F24" s="165">
        <f t="shared" si="0"/>
        <v>0.17240261174187244</v>
      </c>
      <c r="G24" s="152">
        <v>283.08335699999998</v>
      </c>
      <c r="H24" s="143">
        <v>344.62244399999997</v>
      </c>
      <c r="I24" s="169">
        <f t="shared" si="1"/>
        <v>0.21738857293542702</v>
      </c>
      <c r="J24" s="169">
        <f t="shared" si="2"/>
        <v>7.6664775201876472E-4</v>
      </c>
    </row>
    <row r="25" spans="3:10" x14ac:dyDescent="0.25">
      <c r="C25" s="89" t="s">
        <v>102</v>
      </c>
      <c r="D25" s="144">
        <v>28.345219350000001</v>
      </c>
      <c r="E25" s="144">
        <v>54.729849000000002</v>
      </c>
      <c r="F25" s="165">
        <f t="shared" si="0"/>
        <v>0.93083173300615152</v>
      </c>
      <c r="G25" s="152">
        <v>51.69223659</v>
      </c>
      <c r="H25" s="143">
        <v>114.911472</v>
      </c>
      <c r="I25" s="169">
        <f t="shared" si="1"/>
        <v>1.2229928434210939</v>
      </c>
      <c r="J25" s="175">
        <f t="shared" si="2"/>
        <v>2.5563228171513765E-4</v>
      </c>
    </row>
    <row r="26" spans="3:10" x14ac:dyDescent="0.25">
      <c r="C26" s="74" t="s">
        <v>101</v>
      </c>
      <c r="D26" s="145">
        <v>0</v>
      </c>
      <c r="E26" s="145">
        <v>0</v>
      </c>
      <c r="F26" s="166" t="s">
        <v>43</v>
      </c>
      <c r="G26" s="157">
        <v>157.02064720000001</v>
      </c>
      <c r="H26" s="158">
        <v>0</v>
      </c>
      <c r="I26" s="170" t="s">
        <v>43</v>
      </c>
      <c r="J26" s="200" t="s">
        <v>43</v>
      </c>
    </row>
    <row r="27" spans="3:10" x14ac:dyDescent="0.25">
      <c r="C27" s="86" t="s">
        <v>103</v>
      </c>
      <c r="D27" s="146">
        <f>+SUM(D28:D43)</f>
        <v>8071657.8982516713</v>
      </c>
      <c r="E27" s="142">
        <f>+SUM(E28:E43)</f>
        <v>7421153.2262549987</v>
      </c>
      <c r="F27" s="167">
        <f>+E27/D27-1</f>
        <v>-8.0591209414062615E-2</v>
      </c>
      <c r="G27" s="146">
        <f>+SUM(G28:G43)</f>
        <v>16563579.351943675</v>
      </c>
      <c r="H27" s="142">
        <f>+SUM(H28:H43)</f>
        <v>16233138.670785997</v>
      </c>
      <c r="I27" s="167">
        <f>+H27/G27-1</f>
        <v>-1.9949835366888991E-2</v>
      </c>
      <c r="J27" s="176">
        <f>SUM(J28:J43)</f>
        <v>1.0000000000000002</v>
      </c>
    </row>
    <row r="28" spans="3:10" x14ac:dyDescent="0.25">
      <c r="C28" s="90" t="s">
        <v>98</v>
      </c>
      <c r="D28" s="143">
        <v>1819116.873232</v>
      </c>
      <c r="E28" s="147">
        <v>1957350.5735680002</v>
      </c>
      <c r="F28" s="165">
        <f t="shared" si="0"/>
        <v>7.598945530663026E-2</v>
      </c>
      <c r="G28" s="150">
        <v>3499958.9694039999</v>
      </c>
      <c r="H28" s="151">
        <v>4582585.7429800006</v>
      </c>
      <c r="I28" s="168">
        <f t="shared" si="1"/>
        <v>0.30932556153947099</v>
      </c>
      <c r="J28" s="177">
        <f t="shared" ref="J28:J42" si="3">(H28/$H$27)</f>
        <v>0.28229819481718965</v>
      </c>
    </row>
    <row r="29" spans="3:10" x14ac:dyDescent="0.25">
      <c r="C29" s="87" t="s">
        <v>104</v>
      </c>
      <c r="D29" s="143">
        <v>2457900.2739840094</v>
      </c>
      <c r="E29" s="147">
        <v>1985351.3969749999</v>
      </c>
      <c r="F29" s="165">
        <f t="shared" si="0"/>
        <v>-0.19225713997055516</v>
      </c>
      <c r="G29" s="152">
        <v>4884819.4012394771</v>
      </c>
      <c r="H29" s="143">
        <v>3999014.8551809997</v>
      </c>
      <c r="I29" s="169">
        <f t="shared" si="1"/>
        <v>-0.18133823859152554</v>
      </c>
      <c r="J29" s="178">
        <f t="shared" si="3"/>
        <v>0.24634883840287988</v>
      </c>
    </row>
    <row r="30" spans="3:10" x14ac:dyDescent="0.25">
      <c r="C30" s="87" t="s">
        <v>90</v>
      </c>
      <c r="D30" s="143">
        <v>1750318.0546892956</v>
      </c>
      <c r="E30" s="147">
        <v>1701556.5051739996</v>
      </c>
      <c r="F30" s="165">
        <f t="shared" si="0"/>
        <v>-2.7858679389530572E-2</v>
      </c>
      <c r="G30" s="152">
        <v>3888191.9768513083</v>
      </c>
      <c r="H30" s="144">
        <v>3612641.0477</v>
      </c>
      <c r="I30" s="169">
        <f t="shared" si="1"/>
        <v>-7.0868653294853923E-2</v>
      </c>
      <c r="J30" s="178">
        <f t="shared" si="3"/>
        <v>0.22254729174472571</v>
      </c>
    </row>
    <row r="31" spans="3:10" x14ac:dyDescent="0.25">
      <c r="C31" s="87" t="s">
        <v>102</v>
      </c>
      <c r="D31" s="144">
        <v>615008.81726859999</v>
      </c>
      <c r="E31" s="148">
        <v>581839.74080200004</v>
      </c>
      <c r="F31" s="165">
        <f t="shared" si="0"/>
        <v>-5.3932684435178846E-2</v>
      </c>
      <c r="G31" s="152">
        <v>1385846.1023438</v>
      </c>
      <c r="H31" s="143">
        <v>1200529.3229959998</v>
      </c>
      <c r="I31" s="169">
        <f t="shared" si="1"/>
        <v>-0.13372103802462976</v>
      </c>
      <c r="J31" s="178">
        <f t="shared" si="3"/>
        <v>7.3955465258024003E-2</v>
      </c>
    </row>
    <row r="32" spans="3:10" x14ac:dyDescent="0.25">
      <c r="C32" s="87" t="s">
        <v>97</v>
      </c>
      <c r="D32" s="144">
        <v>384902.20369808993</v>
      </c>
      <c r="E32" s="148">
        <v>361819.534514</v>
      </c>
      <c r="F32" s="165">
        <f t="shared" si="0"/>
        <v>-5.997021831081939E-2</v>
      </c>
      <c r="G32" s="152">
        <v>850071.06465675496</v>
      </c>
      <c r="H32" s="144">
        <v>823837.69757600012</v>
      </c>
      <c r="I32" s="169">
        <f t="shared" si="1"/>
        <v>-3.0860204718704876E-2</v>
      </c>
      <c r="J32" s="178">
        <f t="shared" si="3"/>
        <v>5.0750364072144678E-2</v>
      </c>
    </row>
    <row r="33" spans="3:10" x14ac:dyDescent="0.25">
      <c r="C33" s="87" t="s">
        <v>89</v>
      </c>
      <c r="D33" s="144">
        <v>173182.7344509</v>
      </c>
      <c r="E33" s="148">
        <v>233281.45800000001</v>
      </c>
      <c r="F33" s="165">
        <f t="shared" si="0"/>
        <v>0.34702491411543646</v>
      </c>
      <c r="G33" s="152">
        <v>346826.76211275999</v>
      </c>
      <c r="H33" s="143">
        <v>525595.49520100001</v>
      </c>
      <c r="I33" s="169">
        <f t="shared" si="1"/>
        <v>0.51544099999445514</v>
      </c>
      <c r="J33" s="178">
        <f t="shared" si="3"/>
        <v>3.2377934166661751E-2</v>
      </c>
    </row>
    <row r="34" spans="3:10" x14ac:dyDescent="0.25">
      <c r="C34" s="87" t="s">
        <v>101</v>
      </c>
      <c r="D34" s="144">
        <v>232040.13738167798</v>
      </c>
      <c r="E34" s="148">
        <v>182090.94257000004</v>
      </c>
      <c r="F34" s="165">
        <f t="shared" si="0"/>
        <v>-0.21526101206153636</v>
      </c>
      <c r="G34" s="152">
        <v>428632.15486099978</v>
      </c>
      <c r="H34" s="143">
        <v>410407.78709700011</v>
      </c>
      <c r="I34" s="169">
        <f t="shared" si="1"/>
        <v>-4.2517500279253717E-2</v>
      </c>
      <c r="J34" s="178">
        <f t="shared" si="3"/>
        <v>2.5282097037438077E-2</v>
      </c>
    </row>
    <row r="35" spans="3:10" x14ac:dyDescent="0.25">
      <c r="C35" s="87" t="s">
        <v>95</v>
      </c>
      <c r="D35" s="144">
        <v>141612.82540100001</v>
      </c>
      <c r="E35" s="148">
        <v>101590.55719599999</v>
      </c>
      <c r="F35" s="165">
        <f t="shared" si="0"/>
        <v>-0.28261753899528785</v>
      </c>
      <c r="G35" s="152">
        <v>281561.74712700001</v>
      </c>
      <c r="H35" s="143">
        <v>362513.01248799998</v>
      </c>
      <c r="I35" s="169">
        <f t="shared" si="1"/>
        <v>0.28750803753354481</v>
      </c>
      <c r="J35" s="178">
        <f t="shared" si="3"/>
        <v>2.2331664864071992E-2</v>
      </c>
    </row>
    <row r="36" spans="3:10" x14ac:dyDescent="0.25">
      <c r="C36" s="87" t="s">
        <v>96</v>
      </c>
      <c r="D36" s="144">
        <v>110638.6162968</v>
      </c>
      <c r="E36" s="148">
        <v>122943.14190800001</v>
      </c>
      <c r="F36" s="165">
        <f t="shared" si="0"/>
        <v>0.11121366140545175</v>
      </c>
      <c r="G36" s="152">
        <v>241132.44774979999</v>
      </c>
      <c r="H36" s="143">
        <v>230553.98483999999</v>
      </c>
      <c r="I36" s="169">
        <f t="shared" si="1"/>
        <v>-4.3869927123106445E-2</v>
      </c>
      <c r="J36" s="178">
        <f t="shared" si="3"/>
        <v>1.4202674511425012E-2</v>
      </c>
    </row>
    <row r="37" spans="3:10" x14ac:dyDescent="0.25">
      <c r="C37" s="87" t="s">
        <v>105</v>
      </c>
      <c r="D37" s="144">
        <v>89619.36286998546</v>
      </c>
      <c r="E37" s="148">
        <v>97976.225608999943</v>
      </c>
      <c r="F37" s="165">
        <f t="shared" si="0"/>
        <v>9.3248406051916755E-2</v>
      </c>
      <c r="G37" s="152">
        <v>189339.29941147094</v>
      </c>
      <c r="H37" s="143">
        <v>194584.359528</v>
      </c>
      <c r="I37" s="169">
        <f t="shared" si="1"/>
        <v>2.7701909391407042E-2</v>
      </c>
      <c r="J37" s="178">
        <f t="shared" si="3"/>
        <v>1.1986859933512683E-2</v>
      </c>
    </row>
    <row r="38" spans="3:10" x14ac:dyDescent="0.25">
      <c r="C38" s="87" t="s">
        <v>92</v>
      </c>
      <c r="D38" s="144">
        <v>141579.760432418</v>
      </c>
      <c r="E38" s="148">
        <v>10464.062879999999</v>
      </c>
      <c r="F38" s="165">
        <f t="shared" si="0"/>
        <v>-0.92609068663458471</v>
      </c>
      <c r="G38" s="152">
        <v>287302.56549856102</v>
      </c>
      <c r="H38" s="143">
        <v>120504.55987099999</v>
      </c>
      <c r="I38" s="169">
        <f t="shared" si="1"/>
        <v>-0.58056566720214842</v>
      </c>
      <c r="J38" s="178">
        <f t="shared" si="3"/>
        <v>7.4233678597144179E-3</v>
      </c>
    </row>
    <row r="39" spans="3:10" x14ac:dyDescent="0.25">
      <c r="C39" s="87" t="s">
        <v>94</v>
      </c>
      <c r="D39" s="144">
        <v>26000.64688</v>
      </c>
      <c r="E39" s="148">
        <v>45799.735500000003</v>
      </c>
      <c r="F39" s="165">
        <f t="shared" si="0"/>
        <v>0.76148446272810588</v>
      </c>
      <c r="G39" s="152">
        <v>58163.637010000006</v>
      </c>
      <c r="H39" s="143">
        <v>89599.038790000006</v>
      </c>
      <c r="I39" s="169">
        <f t="shared" si="1"/>
        <v>0.54046485735744731</v>
      </c>
      <c r="J39" s="178">
        <f t="shared" si="3"/>
        <v>5.5195141621778359E-3</v>
      </c>
    </row>
    <row r="40" spans="3:10" x14ac:dyDescent="0.25">
      <c r="C40" s="87" t="s">
        <v>99</v>
      </c>
      <c r="D40" s="144">
        <v>52493.13175</v>
      </c>
      <c r="E40" s="148">
        <v>24551.923019999998</v>
      </c>
      <c r="F40" s="165">
        <f t="shared" si="0"/>
        <v>-0.53228313492650403</v>
      </c>
      <c r="G40" s="152">
        <v>108144.95090385301</v>
      </c>
      <c r="H40" s="143">
        <v>50863.477740000002</v>
      </c>
      <c r="I40" s="169">
        <f t="shared" si="1"/>
        <v>-0.52967311636009229</v>
      </c>
      <c r="J40" s="178">
        <f t="shared" si="3"/>
        <v>3.1333113559570934E-3</v>
      </c>
    </row>
    <row r="41" spans="3:10" x14ac:dyDescent="0.25">
      <c r="C41" s="87" t="s">
        <v>88</v>
      </c>
      <c r="D41" s="144">
        <v>12263.5224</v>
      </c>
      <c r="E41" s="148">
        <v>9800.9087400000008</v>
      </c>
      <c r="F41" s="165">
        <f t="shared" si="0"/>
        <v>-0.2008080207037416</v>
      </c>
      <c r="G41" s="152">
        <v>25741.172399999999</v>
      </c>
      <c r="H41" s="143">
        <v>20447.327600000001</v>
      </c>
      <c r="I41" s="169">
        <f t="shared" si="1"/>
        <v>-0.20565670893840093</v>
      </c>
      <c r="J41" s="178">
        <f t="shared" si="3"/>
        <v>1.259604073782606E-3</v>
      </c>
    </row>
    <row r="42" spans="3:10" x14ac:dyDescent="0.25">
      <c r="C42" s="87" t="s">
        <v>106</v>
      </c>
      <c r="D42" s="144">
        <v>63482.504686896194</v>
      </c>
      <c r="E42" s="148">
        <v>3677.9999990000001</v>
      </c>
      <c r="F42" s="165">
        <f t="shared" si="0"/>
        <v>-0.94206277749845624</v>
      </c>
      <c r="G42" s="152">
        <v>84995.355103892303</v>
      </c>
      <c r="H42" s="143">
        <v>7420.9999980000002</v>
      </c>
      <c r="I42" s="169">
        <f t="shared" si="1"/>
        <v>-0.91268934650688738</v>
      </c>
      <c r="J42" s="179">
        <f t="shared" si="3"/>
        <v>4.5715127237563852E-4</v>
      </c>
    </row>
    <row r="43" spans="3:10" x14ac:dyDescent="0.25">
      <c r="C43" s="87" t="s">
        <v>91</v>
      </c>
      <c r="D43" s="144">
        <v>1498.4328300000002</v>
      </c>
      <c r="E43" s="148">
        <v>1058.5198</v>
      </c>
      <c r="F43" s="165">
        <f t="shared" si="0"/>
        <v>-0.29358208202098734</v>
      </c>
      <c r="G43" s="152">
        <v>2851.7452700000003</v>
      </c>
      <c r="H43" s="143">
        <v>2039.9612000000002</v>
      </c>
      <c r="I43" s="169">
        <f t="shared" si="1"/>
        <v>-0.28466219565255912</v>
      </c>
      <c r="J43" s="179">
        <f>(H43/$H$27)</f>
        <v>1.2566646791918441E-4</v>
      </c>
    </row>
    <row r="44" spans="3:10" x14ac:dyDescent="0.25">
      <c r="C44" s="86" t="s">
        <v>107</v>
      </c>
      <c r="D44" s="146">
        <f>+SUM(D45:D56)</f>
        <v>109459.79120289111</v>
      </c>
      <c r="E44" s="142">
        <f>+SUM(E45:E56)</f>
        <v>108304.71346399999</v>
      </c>
      <c r="F44" s="167">
        <f t="shared" si="0"/>
        <v>-1.0552530077004296E-2</v>
      </c>
      <c r="G44" s="146">
        <f>+SUM(G45:G56)</f>
        <v>201315.4853678231</v>
      </c>
      <c r="H44" s="142">
        <f>+SUM(H45:H56)</f>
        <v>213652.33742199998</v>
      </c>
      <c r="I44" s="167">
        <f t="shared" si="1"/>
        <v>6.1281187741897947E-2</v>
      </c>
      <c r="J44" s="176">
        <f>SUM(J45:J56)</f>
        <v>1.0000000000000002</v>
      </c>
    </row>
    <row r="45" spans="3:10" x14ac:dyDescent="0.25">
      <c r="C45" s="90" t="s">
        <v>91</v>
      </c>
      <c r="D45" s="150">
        <v>43472.600465100004</v>
      </c>
      <c r="E45" s="151">
        <v>29876.360508999995</v>
      </c>
      <c r="F45" s="168">
        <f t="shared" si="0"/>
        <v>-0.31275423624623355</v>
      </c>
      <c r="G45" s="143">
        <v>73219.760002049996</v>
      </c>
      <c r="H45" s="147">
        <v>60205.136538999992</v>
      </c>
      <c r="I45" s="165">
        <f t="shared" si="1"/>
        <v>-0.17774742040516966</v>
      </c>
      <c r="J45" s="177">
        <f t="shared" ref="J45:J55" si="4">(H45/$H$44)</f>
        <v>0.28179020770591678</v>
      </c>
    </row>
    <row r="46" spans="3:10" x14ac:dyDescent="0.25">
      <c r="C46" s="89" t="s">
        <v>93</v>
      </c>
      <c r="D46" s="152">
        <v>18091.463992413999</v>
      </c>
      <c r="E46" s="143">
        <v>25601.200401999999</v>
      </c>
      <c r="F46" s="169">
        <f t="shared" si="0"/>
        <v>0.41509832552716208</v>
      </c>
      <c r="G46" s="143">
        <v>35581.885470527995</v>
      </c>
      <c r="H46" s="147">
        <v>41870.623729999999</v>
      </c>
      <c r="I46" s="165">
        <f t="shared" si="1"/>
        <v>0.17673988256414574</v>
      </c>
      <c r="J46" s="178">
        <f t="shared" si="4"/>
        <v>0.19597550036299552</v>
      </c>
    </row>
    <row r="47" spans="3:10" x14ac:dyDescent="0.25">
      <c r="C47" s="87" t="s">
        <v>97</v>
      </c>
      <c r="D47" s="152">
        <v>12629.111844360001</v>
      </c>
      <c r="E47" s="143">
        <v>14453.822445000002</v>
      </c>
      <c r="F47" s="169">
        <f t="shared" si="0"/>
        <v>0.14448447548232712</v>
      </c>
      <c r="G47" s="143">
        <v>26316.46287109</v>
      </c>
      <c r="H47" s="147">
        <v>32233.894219000002</v>
      </c>
      <c r="I47" s="165">
        <f t="shared" si="1"/>
        <v>0.22485663734128214</v>
      </c>
      <c r="J47" s="178">
        <f t="shared" si="4"/>
        <v>0.15087077730084711</v>
      </c>
    </row>
    <row r="48" spans="3:10" x14ac:dyDescent="0.25">
      <c r="C48" s="89" t="s">
        <v>94</v>
      </c>
      <c r="D48" s="130">
        <v>11816.433859999999</v>
      </c>
      <c r="E48" s="144">
        <v>15491.255817999998</v>
      </c>
      <c r="F48" s="169">
        <f t="shared" si="0"/>
        <v>0.31099247044742473</v>
      </c>
      <c r="G48" s="143">
        <v>18697.559076999998</v>
      </c>
      <c r="H48" s="147">
        <v>31766.237869999997</v>
      </c>
      <c r="I48" s="165">
        <f t="shared" si="1"/>
        <v>0.69895106303345633</v>
      </c>
      <c r="J48" s="178">
        <f t="shared" si="4"/>
        <v>0.14868191124563376</v>
      </c>
    </row>
    <row r="49" spans="3:10" x14ac:dyDescent="0.25">
      <c r="C49" s="89" t="s">
        <v>96</v>
      </c>
      <c r="D49" s="130">
        <v>12351.499096534</v>
      </c>
      <c r="E49" s="144">
        <v>11173.074503</v>
      </c>
      <c r="F49" s="169">
        <f t="shared" si="0"/>
        <v>-9.5407414462320816E-2</v>
      </c>
      <c r="G49" s="143">
        <v>26433.406743091</v>
      </c>
      <c r="H49" s="147">
        <v>22606.049565999998</v>
      </c>
      <c r="I49" s="165">
        <f t="shared" si="1"/>
        <v>-0.14479242930317227</v>
      </c>
      <c r="J49" s="178">
        <f t="shared" si="4"/>
        <v>0.10580763982632764</v>
      </c>
    </row>
    <row r="50" spans="3:10" x14ac:dyDescent="0.25">
      <c r="C50" s="89" t="s">
        <v>100</v>
      </c>
      <c r="D50" s="130">
        <v>4386.9590901000001</v>
      </c>
      <c r="E50" s="144">
        <v>4763.8980590000001</v>
      </c>
      <c r="F50" s="169">
        <f t="shared" si="0"/>
        <v>8.5922608613021589E-2</v>
      </c>
      <c r="G50" s="143">
        <v>7788.5108731</v>
      </c>
      <c r="H50" s="147">
        <v>9778.0089719999996</v>
      </c>
      <c r="I50" s="165">
        <f t="shared" si="1"/>
        <v>0.25544011317636328</v>
      </c>
      <c r="J50" s="178">
        <f t="shared" si="4"/>
        <v>4.5765981734553908E-2</v>
      </c>
    </row>
    <row r="51" spans="3:10" x14ac:dyDescent="0.25">
      <c r="C51" s="89" t="s">
        <v>102</v>
      </c>
      <c r="D51" s="130">
        <v>3715.1553445199997</v>
      </c>
      <c r="E51" s="144">
        <v>3830.7232880000001</v>
      </c>
      <c r="F51" s="169">
        <f t="shared" si="0"/>
        <v>3.1107163163571983E-2</v>
      </c>
      <c r="G51" s="143">
        <v>6563.4663237599998</v>
      </c>
      <c r="H51" s="147">
        <v>7998.6404499999999</v>
      </c>
      <c r="I51" s="165">
        <f t="shared" si="1"/>
        <v>0.21866100250177478</v>
      </c>
      <c r="J51" s="178">
        <f t="shared" si="4"/>
        <v>3.7437645412702947E-2</v>
      </c>
    </row>
    <row r="52" spans="3:10" x14ac:dyDescent="0.25">
      <c r="C52" s="89" t="s">
        <v>90</v>
      </c>
      <c r="D52" s="130">
        <v>2144.0676263999999</v>
      </c>
      <c r="E52" s="144">
        <v>1916.6147420000002</v>
      </c>
      <c r="F52" s="169">
        <f t="shared" si="0"/>
        <v>-0.10608475292447039</v>
      </c>
      <c r="G52" s="143">
        <v>4636.6742938999996</v>
      </c>
      <c r="H52" s="147">
        <v>4358.0822779999999</v>
      </c>
      <c r="I52" s="165">
        <f t="shared" si="1"/>
        <v>-6.0084448085239606E-2</v>
      </c>
      <c r="J52" s="178">
        <f t="shared" si="4"/>
        <v>2.0398008889516806E-2</v>
      </c>
    </row>
    <row r="53" spans="3:10" x14ac:dyDescent="0.25">
      <c r="C53" s="89" t="s">
        <v>99</v>
      </c>
      <c r="D53" s="130">
        <v>96.770390003299994</v>
      </c>
      <c r="E53" s="144">
        <v>926.00716900000009</v>
      </c>
      <c r="F53" s="169">
        <f t="shared" si="0"/>
        <v>8.5691168441960617</v>
      </c>
      <c r="G53" s="143">
        <v>1302.962382227</v>
      </c>
      <c r="H53" s="147">
        <v>1987.4627340000002</v>
      </c>
      <c r="I53" s="165">
        <f t="shared" si="1"/>
        <v>0.52534160702557231</v>
      </c>
      <c r="J53" s="178">
        <f t="shared" si="4"/>
        <v>9.3023215097077106E-3</v>
      </c>
    </row>
    <row r="54" spans="3:10" x14ac:dyDescent="0.25">
      <c r="C54" s="89" t="s">
        <v>101</v>
      </c>
      <c r="D54" s="153">
        <v>744.73129059999997</v>
      </c>
      <c r="E54" s="149">
        <v>268.18652900000001</v>
      </c>
      <c r="F54" s="169">
        <f t="shared" si="0"/>
        <v>-0.63988819540007114</v>
      </c>
      <c r="G54" s="143">
        <v>744.73129059999997</v>
      </c>
      <c r="H54" s="147">
        <v>838.13326400000005</v>
      </c>
      <c r="I54" s="165">
        <f t="shared" si="1"/>
        <v>0.1254170122551852</v>
      </c>
      <c r="J54" s="178">
        <f t="shared" si="4"/>
        <v>3.9228836628383956E-3</v>
      </c>
    </row>
    <row r="55" spans="3:10" x14ac:dyDescent="0.25">
      <c r="C55" s="89" t="s">
        <v>95</v>
      </c>
      <c r="D55" s="153">
        <v>0.9798</v>
      </c>
      <c r="E55" s="149">
        <v>3.57</v>
      </c>
      <c r="F55" s="169">
        <f t="shared" si="0"/>
        <v>2.6436007348438455</v>
      </c>
      <c r="G55" s="160">
        <v>1.5998999999999999</v>
      </c>
      <c r="H55" s="147">
        <v>10.0678</v>
      </c>
      <c r="I55" s="165">
        <f t="shared" si="1"/>
        <v>5.2927682980186264</v>
      </c>
      <c r="J55" s="192">
        <f t="shared" si="4"/>
        <v>4.7122348959442316E-5</v>
      </c>
    </row>
    <row r="56" spans="3:10" x14ac:dyDescent="0.25">
      <c r="C56" s="74" t="s">
        <v>89</v>
      </c>
      <c r="D56" s="195">
        <v>10.018402859799998</v>
      </c>
      <c r="E56" s="145">
        <v>0</v>
      </c>
      <c r="F56" s="170" t="s">
        <v>43</v>
      </c>
      <c r="G56" s="143">
        <v>28.466140477099998</v>
      </c>
      <c r="H56" s="147">
        <v>0</v>
      </c>
      <c r="I56" s="165" t="s">
        <v>43</v>
      </c>
      <c r="J56" s="201" t="s">
        <v>43</v>
      </c>
    </row>
    <row r="57" spans="3:10" x14ac:dyDescent="0.25">
      <c r="C57" s="86" t="s">
        <v>108</v>
      </c>
      <c r="D57" s="146">
        <f>+SUM(D58:D74)</f>
        <v>297567.20122953254</v>
      </c>
      <c r="E57" s="142">
        <f>+SUM(E58:E74)</f>
        <v>289671.80993199995</v>
      </c>
      <c r="F57" s="167">
        <f t="shared" si="0"/>
        <v>-2.6533136934814183E-2</v>
      </c>
      <c r="G57" s="146">
        <f>+SUM(G58:G74)</f>
        <v>571260.76621928148</v>
      </c>
      <c r="H57" s="142">
        <f>+SUM(H58:H74)</f>
        <v>575669.87838799995</v>
      </c>
      <c r="I57" s="167">
        <f t="shared" si="1"/>
        <v>7.7182128188126864E-3</v>
      </c>
      <c r="J57" s="176">
        <f>SUM(J58:J74)</f>
        <v>1.0000000000000002</v>
      </c>
    </row>
    <row r="58" spans="3:10" x14ac:dyDescent="0.25">
      <c r="C58" s="90" t="s">
        <v>91</v>
      </c>
      <c r="D58" s="150">
        <v>50334.419945096015</v>
      </c>
      <c r="E58" s="151">
        <v>61580.417042000001</v>
      </c>
      <c r="F58" s="168">
        <f t="shared" si="0"/>
        <v>0.22342558251730993</v>
      </c>
      <c r="G58" s="150">
        <v>94150.589636597419</v>
      </c>
      <c r="H58" s="151">
        <v>118078.28746799999</v>
      </c>
      <c r="I58" s="168">
        <f t="shared" si="1"/>
        <v>0.2541428356822697</v>
      </c>
      <c r="J58" s="177">
        <f t="shared" ref="J58:J73" si="5">(H58/$H$57)</f>
        <v>0.20511458372399943</v>
      </c>
    </row>
    <row r="59" spans="3:10" x14ac:dyDescent="0.25">
      <c r="C59" s="87" t="s">
        <v>97</v>
      </c>
      <c r="D59" s="152">
        <v>71642.011680887401</v>
      </c>
      <c r="E59" s="143">
        <v>50643.577137</v>
      </c>
      <c r="F59" s="169">
        <f t="shared" si="0"/>
        <v>-0.29310224617114355</v>
      </c>
      <c r="G59" s="152">
        <v>126017.9687645123</v>
      </c>
      <c r="H59" s="143">
        <v>107906.910848</v>
      </c>
      <c r="I59" s="169">
        <f t="shared" si="1"/>
        <v>-0.14371805936942328</v>
      </c>
      <c r="J59" s="178">
        <f t="shared" si="5"/>
        <v>0.1874458172975155</v>
      </c>
    </row>
    <row r="60" spans="3:10" ht="15" customHeight="1" x14ac:dyDescent="0.25">
      <c r="C60" s="87" t="s">
        <v>96</v>
      </c>
      <c r="D60" s="152">
        <v>37322.069571918102</v>
      </c>
      <c r="E60" s="143">
        <v>37348.891795000003</v>
      </c>
      <c r="F60" s="169">
        <f t="shared" si="0"/>
        <v>7.186692321607957E-4</v>
      </c>
      <c r="G60" s="152">
        <v>80841.910542411089</v>
      </c>
      <c r="H60" s="143">
        <v>79082.72851700001</v>
      </c>
      <c r="I60" s="169">
        <f t="shared" si="1"/>
        <v>-2.1760767572262862E-2</v>
      </c>
      <c r="J60" s="178">
        <f t="shared" si="5"/>
        <v>0.13737513718530617</v>
      </c>
    </row>
    <row r="61" spans="3:10" x14ac:dyDescent="0.25">
      <c r="C61" s="87" t="s">
        <v>93</v>
      </c>
      <c r="D61" s="152">
        <v>39319.722478547003</v>
      </c>
      <c r="E61" s="143">
        <v>43988.840169999989</v>
      </c>
      <c r="F61" s="169">
        <f t="shared" si="0"/>
        <v>0.11874747320509393</v>
      </c>
      <c r="G61" s="152">
        <v>79042.856094766612</v>
      </c>
      <c r="H61" s="143">
        <v>74651.83553099999</v>
      </c>
      <c r="I61" s="169">
        <f t="shared" si="1"/>
        <v>-5.5552402591603101E-2</v>
      </c>
      <c r="J61" s="178">
        <f t="shared" si="5"/>
        <v>0.12967820331340119</v>
      </c>
    </row>
    <row r="62" spans="3:10" x14ac:dyDescent="0.25">
      <c r="C62" s="89" t="s">
        <v>89</v>
      </c>
      <c r="D62" s="130">
        <v>10473.6403979195</v>
      </c>
      <c r="E62" s="144">
        <v>13347.207401</v>
      </c>
      <c r="F62" s="169">
        <f t="shared" si="0"/>
        <v>0.27436181632236578</v>
      </c>
      <c r="G62" s="152">
        <v>20843.138023570202</v>
      </c>
      <c r="H62" s="143">
        <v>31862.443501999998</v>
      </c>
      <c r="I62" s="169">
        <f t="shared" si="1"/>
        <v>0.52867785388019573</v>
      </c>
      <c r="J62" s="178">
        <f t="shared" si="5"/>
        <v>5.5348463934263376E-2</v>
      </c>
    </row>
    <row r="63" spans="3:10" x14ac:dyDescent="0.25">
      <c r="C63" s="89" t="s">
        <v>102</v>
      </c>
      <c r="D63" s="130">
        <v>17601.704716778702</v>
      </c>
      <c r="E63" s="144">
        <v>13566.996413000003</v>
      </c>
      <c r="F63" s="169">
        <f t="shared" si="0"/>
        <v>-0.22922258773791626</v>
      </c>
      <c r="G63" s="152">
        <v>33723.155842014203</v>
      </c>
      <c r="H63" s="143">
        <v>29343.590485000001</v>
      </c>
      <c r="I63" s="169">
        <f t="shared" si="1"/>
        <v>-0.12986819435083519</v>
      </c>
      <c r="J63" s="178">
        <f t="shared" si="5"/>
        <v>5.0972947494088788E-2</v>
      </c>
    </row>
    <row r="64" spans="3:10" ht="15" customHeight="1" x14ac:dyDescent="0.25">
      <c r="C64" s="89" t="s">
        <v>94</v>
      </c>
      <c r="D64" s="130">
        <v>18688.328860736001</v>
      </c>
      <c r="E64" s="144">
        <v>12405.619500999999</v>
      </c>
      <c r="F64" s="169">
        <f t="shared" si="0"/>
        <v>-0.3361835831632819</v>
      </c>
      <c r="G64" s="152">
        <v>35725.671900662201</v>
      </c>
      <c r="H64" s="143">
        <v>24536.430244000003</v>
      </c>
      <c r="I64" s="169">
        <f t="shared" si="1"/>
        <v>-0.31319891443258752</v>
      </c>
      <c r="J64" s="178">
        <f t="shared" si="5"/>
        <v>4.2622397254321015E-2</v>
      </c>
    </row>
    <row r="65" spans="3:10" x14ac:dyDescent="0.25">
      <c r="C65" s="89" t="s">
        <v>99</v>
      </c>
      <c r="D65" s="130">
        <v>11222.0775927424</v>
      </c>
      <c r="E65" s="144">
        <v>10416.748908999998</v>
      </c>
      <c r="F65" s="169">
        <f t="shared" si="0"/>
        <v>-7.1762886781608803E-2</v>
      </c>
      <c r="G65" s="152">
        <v>22693.940994297998</v>
      </c>
      <c r="H65" s="143">
        <v>21728.664055999998</v>
      </c>
      <c r="I65" s="169">
        <f t="shared" si="1"/>
        <v>-4.2534566320611034E-2</v>
      </c>
      <c r="J65" s="178">
        <f t="shared" si="5"/>
        <v>3.7745007810457185E-2</v>
      </c>
    </row>
    <row r="66" spans="3:10" x14ac:dyDescent="0.25">
      <c r="C66" s="89" t="s">
        <v>90</v>
      </c>
      <c r="D66" s="130">
        <v>7163.5148076636005</v>
      </c>
      <c r="E66" s="144">
        <v>8861.2131870000012</v>
      </c>
      <c r="F66" s="169">
        <f t="shared" si="0"/>
        <v>0.23699237384421767</v>
      </c>
      <c r="G66" s="152">
        <v>13640.315080598801</v>
      </c>
      <c r="H66" s="143">
        <v>17580.964125999999</v>
      </c>
      <c r="I66" s="169">
        <f t="shared" si="1"/>
        <v>0.28889721550539194</v>
      </c>
      <c r="J66" s="178">
        <f t="shared" si="5"/>
        <v>3.0540010492177389E-2</v>
      </c>
    </row>
    <row r="67" spans="3:10" x14ac:dyDescent="0.25">
      <c r="C67" s="89" t="s">
        <v>92</v>
      </c>
      <c r="D67" s="130">
        <v>7345.9029374124993</v>
      </c>
      <c r="E67" s="144">
        <v>7160.3122229999999</v>
      </c>
      <c r="F67" s="169">
        <f>+E67/D67-1</f>
        <v>-2.526452037193283E-2</v>
      </c>
      <c r="G67" s="152">
        <v>15626.200518178099</v>
      </c>
      <c r="H67" s="143">
        <v>15207.267551000001</v>
      </c>
      <c r="I67" s="169">
        <f t="shared" si="1"/>
        <v>-2.6809650029176901E-2</v>
      </c>
      <c r="J67" s="178">
        <f t="shared" si="5"/>
        <v>2.6416646279259281E-2</v>
      </c>
    </row>
    <row r="68" spans="3:10" x14ac:dyDescent="0.25">
      <c r="C68" s="89" t="s">
        <v>95</v>
      </c>
      <c r="D68" s="130">
        <v>6969.7541477258001</v>
      </c>
      <c r="E68" s="144">
        <v>6575.4544900000001</v>
      </c>
      <c r="F68" s="169">
        <f t="shared" si="0"/>
        <v>-5.6572965038438006E-2</v>
      </c>
      <c r="G68" s="152">
        <v>14207.380444476001</v>
      </c>
      <c r="H68" s="143">
        <v>14495.314484999999</v>
      </c>
      <c r="I68" s="169">
        <f t="shared" si="1"/>
        <v>2.0266511595805836E-2</v>
      </c>
      <c r="J68" s="178">
        <f t="shared" si="5"/>
        <v>2.5179907841608826E-2</v>
      </c>
    </row>
    <row r="69" spans="3:10" x14ac:dyDescent="0.25">
      <c r="C69" s="89" t="s">
        <v>88</v>
      </c>
      <c r="D69" s="130">
        <v>6404.9828555385002</v>
      </c>
      <c r="E69" s="144">
        <v>6096.8467600000004</v>
      </c>
      <c r="F69" s="169">
        <f t="shared" si="0"/>
        <v>-4.8108808795959357E-2</v>
      </c>
      <c r="G69" s="152">
        <v>13548.8797649028</v>
      </c>
      <c r="H69" s="143">
        <v>12659.452219000001</v>
      </c>
      <c r="I69" s="169">
        <f t="shared" si="1"/>
        <v>-6.5645836507220667E-2</v>
      </c>
      <c r="J69" s="178">
        <f t="shared" si="5"/>
        <v>2.199081920778833E-2</v>
      </c>
    </row>
    <row r="70" spans="3:10" x14ac:dyDescent="0.25">
      <c r="C70" s="89" t="s">
        <v>101</v>
      </c>
      <c r="D70" s="130">
        <v>4536.4268825374002</v>
      </c>
      <c r="E70" s="144">
        <v>8576.2701140000008</v>
      </c>
      <c r="F70" s="169">
        <f t="shared" si="0"/>
        <v>0.89053418826469866</v>
      </c>
      <c r="G70" s="152">
        <v>4536.6577070376998</v>
      </c>
      <c r="H70" s="143">
        <v>9823.4270390000001</v>
      </c>
      <c r="I70" s="169">
        <f t="shared" si="1"/>
        <v>1.1653445495261754</v>
      </c>
      <c r="J70" s="179">
        <f t="shared" si="5"/>
        <v>1.7064340879720367E-2</v>
      </c>
    </row>
    <row r="71" spans="3:10" x14ac:dyDescent="0.25">
      <c r="C71" s="89" t="s">
        <v>100</v>
      </c>
      <c r="D71" s="130">
        <v>4738.0010626111998</v>
      </c>
      <c r="E71" s="144">
        <v>4744.5166629999994</v>
      </c>
      <c r="F71" s="169">
        <f t="shared" si="0"/>
        <v>1.3751791742335762E-3</v>
      </c>
      <c r="G71" s="152">
        <v>9049.2450280470985</v>
      </c>
      <c r="H71" s="143">
        <v>9606.9309469999989</v>
      </c>
      <c r="I71" s="169">
        <f t="shared" si="1"/>
        <v>6.1627894617110712E-2</v>
      </c>
      <c r="J71" s="179">
        <f t="shared" si="5"/>
        <v>1.6688264068812287E-2</v>
      </c>
    </row>
    <row r="72" spans="3:10" x14ac:dyDescent="0.25">
      <c r="C72" s="89" t="s">
        <v>98</v>
      </c>
      <c r="D72" s="130">
        <v>2250.4337560748004</v>
      </c>
      <c r="E72" s="149">
        <v>2763.4280749999998</v>
      </c>
      <c r="F72" s="169">
        <f t="shared" si="0"/>
        <v>0.22795353008744534</v>
      </c>
      <c r="G72" s="152">
        <v>4320.2883883936011</v>
      </c>
      <c r="H72" s="143">
        <v>5716.5116820000003</v>
      </c>
      <c r="I72" s="169">
        <f t="shared" si="1"/>
        <v>0.32317826220984114</v>
      </c>
      <c r="J72" s="178">
        <f t="shared" si="5"/>
        <v>9.9301907162616682E-3</v>
      </c>
    </row>
    <row r="73" spans="3:10" x14ac:dyDescent="0.25">
      <c r="C73" s="89" t="s">
        <v>104</v>
      </c>
      <c r="D73" s="130">
        <v>1546.6684373010999</v>
      </c>
      <c r="E73" s="144">
        <v>1595.4700519999999</v>
      </c>
      <c r="F73" s="169">
        <f t="shared" si="0"/>
        <v>3.155273200250841E-2</v>
      </c>
      <c r="G73" s="152">
        <v>3278.9445314967998</v>
      </c>
      <c r="H73" s="143">
        <v>3389.1196879999998</v>
      </c>
      <c r="I73" s="169">
        <f t="shared" si="1"/>
        <v>3.3600799112300406E-2</v>
      </c>
      <c r="J73" s="178">
        <f t="shared" si="5"/>
        <v>5.8872625010192772E-3</v>
      </c>
    </row>
    <row r="74" spans="3:10" x14ac:dyDescent="0.25">
      <c r="C74" s="89" t="s">
        <v>106</v>
      </c>
      <c r="D74" s="153">
        <v>7.5410980424999998</v>
      </c>
      <c r="E74" s="149">
        <v>0</v>
      </c>
      <c r="F74" s="169" t="s">
        <v>43</v>
      </c>
      <c r="G74" s="152">
        <v>13.622957318499999</v>
      </c>
      <c r="H74" s="143">
        <v>0</v>
      </c>
      <c r="I74" s="169" t="s">
        <v>43</v>
      </c>
      <c r="J74" s="178" t="s">
        <v>43</v>
      </c>
    </row>
    <row r="75" spans="3:10" x14ac:dyDescent="0.25">
      <c r="C75" s="86" t="s">
        <v>109</v>
      </c>
      <c r="D75" s="146">
        <f>+SUM(D76:D87)</f>
        <v>23230.586675680894</v>
      </c>
      <c r="E75" s="142">
        <f>+SUM(E76:E87)</f>
        <v>21439.793726</v>
      </c>
      <c r="F75" s="167">
        <f t="shared" si="0"/>
        <v>-7.7087719508848962E-2</v>
      </c>
      <c r="G75" s="146">
        <f>+SUM(G76:G87)</f>
        <v>44799.386977572794</v>
      </c>
      <c r="H75" s="142">
        <f>+SUM(H76:H87)</f>
        <v>43513.603313000007</v>
      </c>
      <c r="I75" s="167">
        <f t="shared" si="1"/>
        <v>-2.8700920957165477E-2</v>
      </c>
      <c r="J75" s="176">
        <f>SUM(J76:J87)</f>
        <v>0.99999999999999978</v>
      </c>
    </row>
    <row r="76" spans="3:10" x14ac:dyDescent="0.25">
      <c r="C76" s="90" t="s">
        <v>96</v>
      </c>
      <c r="D76" s="143">
        <v>6735.8155421259999</v>
      </c>
      <c r="E76" s="147">
        <v>5897.5325359999997</v>
      </c>
      <c r="F76" s="165">
        <f t="shared" si="0"/>
        <v>-0.12445159771424141</v>
      </c>
      <c r="G76" s="150">
        <v>14282.189398688999</v>
      </c>
      <c r="H76" s="151">
        <v>12227.135678999999</v>
      </c>
      <c r="I76" s="168">
        <f t="shared" si="1"/>
        <v>-0.14388926391619195</v>
      </c>
      <c r="J76" s="177">
        <f t="shared" ref="J76:J86" si="6">(H76/$H$75)</f>
        <v>0.28099570589565614</v>
      </c>
    </row>
    <row r="77" spans="3:10" x14ac:dyDescent="0.25">
      <c r="C77" s="87" t="s">
        <v>97</v>
      </c>
      <c r="D77" s="143">
        <v>4151.6078950399997</v>
      </c>
      <c r="E77" s="147">
        <v>3948.5312300000001</v>
      </c>
      <c r="F77" s="165">
        <f t="shared" ref="F77:F91" si="7">+E77/D77-1</f>
        <v>-4.8915184230817865E-2</v>
      </c>
      <c r="G77" s="152">
        <v>8087.5485365999994</v>
      </c>
      <c r="H77" s="143">
        <v>8708.1792740000001</v>
      </c>
      <c r="I77" s="169">
        <f t="shared" si="1"/>
        <v>7.6739043307295418E-2</v>
      </c>
      <c r="J77" s="178">
        <f t="shared" si="6"/>
        <v>0.20012544609005911</v>
      </c>
    </row>
    <row r="78" spans="3:10" x14ac:dyDescent="0.25">
      <c r="C78" s="87" t="s">
        <v>93</v>
      </c>
      <c r="D78" s="143">
        <v>2853.017542606</v>
      </c>
      <c r="E78" s="147">
        <v>3725.5587360000004</v>
      </c>
      <c r="F78" s="165">
        <f t="shared" si="7"/>
        <v>0.30583099485501397</v>
      </c>
      <c r="G78" s="152">
        <v>5581.9900686990004</v>
      </c>
      <c r="H78" s="143">
        <v>5910.2007480000011</v>
      </c>
      <c r="I78" s="169">
        <f t="shared" ref="I78:I92" si="8">+H78/G78-1</f>
        <v>5.8798148198335509E-2</v>
      </c>
      <c r="J78" s="178">
        <f t="shared" si="6"/>
        <v>0.13582420893730687</v>
      </c>
    </row>
    <row r="79" spans="3:10" x14ac:dyDescent="0.25">
      <c r="C79" s="87" t="s">
        <v>94</v>
      </c>
      <c r="D79" s="143">
        <v>1917.2710220000004</v>
      </c>
      <c r="E79" s="147">
        <v>1590.6281159999999</v>
      </c>
      <c r="F79" s="165">
        <f t="shared" si="7"/>
        <v>-0.17036866580253385</v>
      </c>
      <c r="G79" s="152">
        <v>2861.4093400000002</v>
      </c>
      <c r="H79" s="143">
        <v>3519.9678279999998</v>
      </c>
      <c r="I79" s="169">
        <f t="shared" si="8"/>
        <v>0.23015179226331872</v>
      </c>
      <c r="J79" s="178">
        <f t="shared" si="6"/>
        <v>8.0893503640237119E-2</v>
      </c>
    </row>
    <row r="80" spans="3:10" x14ac:dyDescent="0.25">
      <c r="C80" s="89" t="s">
        <v>99</v>
      </c>
      <c r="D80" s="144">
        <v>1876.9495605944999</v>
      </c>
      <c r="E80" s="148">
        <v>1679.4902460000001</v>
      </c>
      <c r="F80" s="165">
        <f t="shared" si="7"/>
        <v>-0.10520224876578843</v>
      </c>
      <c r="G80" s="152">
        <v>3655.3817145248995</v>
      </c>
      <c r="H80" s="143">
        <v>3480.4978430000001</v>
      </c>
      <c r="I80" s="169">
        <f t="shared" si="8"/>
        <v>-4.7842847938420974E-2</v>
      </c>
      <c r="J80" s="178">
        <f t="shared" si="6"/>
        <v>7.9986431322734794E-2</v>
      </c>
    </row>
    <row r="81" spans="3:10" x14ac:dyDescent="0.25">
      <c r="C81" s="89" t="s">
        <v>91</v>
      </c>
      <c r="D81" s="144">
        <v>2195.7342391699999</v>
      </c>
      <c r="E81" s="148">
        <v>1668.743731</v>
      </c>
      <c r="F81" s="165">
        <f t="shared" si="7"/>
        <v>-0.24000650842389981</v>
      </c>
      <c r="G81" s="152">
        <v>4302.9637581499992</v>
      </c>
      <c r="H81" s="143">
        <v>3252.9835670000002</v>
      </c>
      <c r="I81" s="169">
        <f t="shared" si="8"/>
        <v>-0.24401325462276813</v>
      </c>
      <c r="J81" s="178">
        <f t="shared" si="6"/>
        <v>7.4757853161476692E-2</v>
      </c>
    </row>
    <row r="82" spans="3:10" x14ac:dyDescent="0.25">
      <c r="C82" s="89" t="s">
        <v>90</v>
      </c>
      <c r="D82" s="144">
        <v>1343.4774329999998</v>
      </c>
      <c r="E82" s="148">
        <v>1336.3734880000002</v>
      </c>
      <c r="F82" s="165">
        <f t="shared" si="7"/>
        <v>-5.2877293101503131E-3</v>
      </c>
      <c r="G82" s="152">
        <v>2882.0770450999999</v>
      </c>
      <c r="H82" s="143">
        <v>2886.4520460000003</v>
      </c>
      <c r="I82" s="169">
        <f t="shared" si="8"/>
        <v>1.5180027568792998E-3</v>
      </c>
      <c r="J82" s="178">
        <f t="shared" si="6"/>
        <v>6.6334475341821478E-2</v>
      </c>
    </row>
    <row r="83" spans="3:10" x14ac:dyDescent="0.25">
      <c r="C83" s="89" t="s">
        <v>100</v>
      </c>
      <c r="D83" s="144">
        <v>760.5154397</v>
      </c>
      <c r="E83" s="148">
        <v>738.87548100000004</v>
      </c>
      <c r="F83" s="165">
        <f t="shared" si="7"/>
        <v>-2.8454331852271531E-2</v>
      </c>
      <c r="G83" s="152">
        <v>1402.2496225999998</v>
      </c>
      <c r="H83" s="143">
        <v>1703.394346</v>
      </c>
      <c r="I83" s="169">
        <f t="shared" si="8"/>
        <v>0.21475828450688317</v>
      </c>
      <c r="J83" s="178">
        <f t="shared" si="6"/>
        <v>3.9146248903985818E-2</v>
      </c>
    </row>
    <row r="84" spans="3:10" x14ac:dyDescent="0.25">
      <c r="C84" s="89" t="s">
        <v>102</v>
      </c>
      <c r="D84" s="144">
        <v>569.31889827999998</v>
      </c>
      <c r="E84" s="148">
        <v>443.54349999999999</v>
      </c>
      <c r="F84" s="165">
        <f t="shared" si="7"/>
        <v>-0.22092257724095732</v>
      </c>
      <c r="G84" s="152">
        <v>902.91470755</v>
      </c>
      <c r="H84" s="143">
        <v>896.04464299999995</v>
      </c>
      <c r="I84" s="169">
        <f t="shared" si="8"/>
        <v>-7.608763588137224E-3</v>
      </c>
      <c r="J84" s="178">
        <f t="shared" si="6"/>
        <v>2.0592287808357625E-2</v>
      </c>
    </row>
    <row r="85" spans="3:10" x14ac:dyDescent="0.25">
      <c r="C85" s="89" t="s">
        <v>101</v>
      </c>
      <c r="D85" s="149">
        <v>812.72562249999999</v>
      </c>
      <c r="E85" s="154">
        <v>391.90272599999997</v>
      </c>
      <c r="F85" s="165">
        <f t="shared" si="7"/>
        <v>-0.51779208732895587</v>
      </c>
      <c r="G85" s="152">
        <v>812.72562249999999</v>
      </c>
      <c r="H85" s="143">
        <v>881.50017099999991</v>
      </c>
      <c r="I85" s="169">
        <f t="shared" si="8"/>
        <v>8.4622099508127491E-2</v>
      </c>
      <c r="J85" s="178">
        <f t="shared" si="6"/>
        <v>2.0258036657162918E-2</v>
      </c>
    </row>
    <row r="86" spans="3:10" x14ac:dyDescent="0.25">
      <c r="C86" s="89" t="s">
        <v>95</v>
      </c>
      <c r="D86" s="144">
        <v>7.6314000000000002</v>
      </c>
      <c r="E86" s="148">
        <v>18.613935999999999</v>
      </c>
      <c r="F86" s="165">
        <f t="shared" si="7"/>
        <v>1.4391246691301727</v>
      </c>
      <c r="G86" s="152">
        <v>13.9649</v>
      </c>
      <c r="H86" s="143">
        <v>47.247168000000002</v>
      </c>
      <c r="I86" s="169">
        <f t="shared" si="8"/>
        <v>2.3832800807739405</v>
      </c>
      <c r="J86" s="178">
        <f t="shared" si="6"/>
        <v>1.0858022412013064E-3</v>
      </c>
    </row>
    <row r="87" spans="3:10" x14ac:dyDescent="0.25">
      <c r="C87" s="74" t="s">
        <v>89</v>
      </c>
      <c r="D87" s="149">
        <v>6.5220806644000007</v>
      </c>
      <c r="E87" s="154">
        <v>0</v>
      </c>
      <c r="F87" s="165" t="s">
        <v>43</v>
      </c>
      <c r="G87" s="159">
        <v>13.972263159900001</v>
      </c>
      <c r="H87" s="158">
        <v>0</v>
      </c>
      <c r="I87" s="170" t="s">
        <v>43</v>
      </c>
      <c r="J87" s="201" t="s">
        <v>43</v>
      </c>
    </row>
    <row r="88" spans="3:10" x14ac:dyDescent="0.25">
      <c r="C88" s="86" t="s">
        <v>110</v>
      </c>
      <c r="D88" s="146">
        <f>+D89</f>
        <v>1122169.9234620002</v>
      </c>
      <c r="E88" s="142">
        <f>+E89</f>
        <v>1138826.6746080001</v>
      </c>
      <c r="F88" s="167">
        <f t="shared" si="7"/>
        <v>1.4843341278130362E-2</v>
      </c>
      <c r="G88" s="146">
        <f>+G89</f>
        <v>2283548.7290559998</v>
      </c>
      <c r="H88" s="142">
        <f>+H89</f>
        <v>2314431.3361980002</v>
      </c>
      <c r="I88" s="167">
        <f t="shared" si="8"/>
        <v>1.3523953638058472E-2</v>
      </c>
      <c r="J88" s="176">
        <f>SUM(J89)</f>
        <v>1</v>
      </c>
    </row>
    <row r="89" spans="3:10" x14ac:dyDescent="0.25">
      <c r="C89" s="91" t="s">
        <v>94</v>
      </c>
      <c r="D89" s="155">
        <v>1122169.9234620002</v>
      </c>
      <c r="E89" s="156">
        <v>1138826.6746080001</v>
      </c>
      <c r="F89" s="171">
        <f t="shared" si="7"/>
        <v>1.4843341278130362E-2</v>
      </c>
      <c r="G89" s="161">
        <v>2283548.7290559998</v>
      </c>
      <c r="H89" s="162">
        <v>2314431.3361980002</v>
      </c>
      <c r="I89" s="171">
        <f t="shared" si="8"/>
        <v>1.3523953638058472E-2</v>
      </c>
      <c r="J89" s="180">
        <f>(H89/$H$88)</f>
        <v>1</v>
      </c>
    </row>
    <row r="90" spans="3:10" x14ac:dyDescent="0.25">
      <c r="C90" s="86" t="s">
        <v>111</v>
      </c>
      <c r="D90" s="146">
        <f>SUM(D91:D91)</f>
        <v>2597.7712999999999</v>
      </c>
      <c r="E90" s="142">
        <f>SUM(E91:E91)</f>
        <v>2611.0019499999999</v>
      </c>
      <c r="F90" s="167">
        <f t="shared" si="7"/>
        <v>5.0930772851327522E-3</v>
      </c>
      <c r="G90" s="146">
        <f>SUM(G91:G91)</f>
        <v>5135.0240400000002</v>
      </c>
      <c r="H90" s="142">
        <f>SUM(H91:H91)</f>
        <v>5249.1033420000003</v>
      </c>
      <c r="I90" s="167">
        <f t="shared" si="8"/>
        <v>2.2215923647360469E-2</v>
      </c>
      <c r="J90" s="176">
        <f>SUM(J91:J91)</f>
        <v>1</v>
      </c>
    </row>
    <row r="91" spans="3:10" x14ac:dyDescent="0.25">
      <c r="C91" s="196" t="s">
        <v>101</v>
      </c>
      <c r="D91" s="197">
        <v>2597.7712999999999</v>
      </c>
      <c r="E91" s="198">
        <v>2611.0019499999999</v>
      </c>
      <c r="F91" s="168">
        <f t="shared" si="7"/>
        <v>5.0930772851327522E-3</v>
      </c>
      <c r="G91" s="150">
        <v>5135.0240400000002</v>
      </c>
      <c r="H91" s="151">
        <v>5249.1033420000003</v>
      </c>
      <c r="I91" s="168">
        <f t="shared" si="8"/>
        <v>2.2215923647360469E-2</v>
      </c>
      <c r="J91" s="177">
        <f>(H91/$H$90)</f>
        <v>1</v>
      </c>
    </row>
    <row r="92" spans="3:10" x14ac:dyDescent="0.25">
      <c r="C92" s="86" t="s">
        <v>112</v>
      </c>
      <c r="D92" s="146">
        <f>SUM(D93:D97)</f>
        <v>3448.2970789000001</v>
      </c>
      <c r="E92" s="142">
        <f>SUM(E93:E97)</f>
        <v>3116.1079410000007</v>
      </c>
      <c r="F92" s="167">
        <f t="shared" ref="F92:F111" si="9">(E92-D92)/D92</f>
        <v>-9.6334257257778694E-2</v>
      </c>
      <c r="G92" s="146">
        <f>SUM(G93:G97)</f>
        <v>6679.6905037973002</v>
      </c>
      <c r="H92" s="142">
        <f>SUM(H93:H97)</f>
        <v>6216.3383640000002</v>
      </c>
      <c r="I92" s="167">
        <f t="shared" si="8"/>
        <v>-6.9367306693909114E-2</v>
      </c>
      <c r="J92" s="176">
        <f>SUM(J93:J97)</f>
        <v>1</v>
      </c>
    </row>
    <row r="93" spans="3:10" x14ac:dyDescent="0.25">
      <c r="C93" s="90" t="s">
        <v>92</v>
      </c>
      <c r="D93" s="98">
        <v>666.10580400000003</v>
      </c>
      <c r="E93" s="99">
        <v>861.45612100000005</v>
      </c>
      <c r="F93" s="168">
        <f t="shared" si="9"/>
        <v>0.29327220364529355</v>
      </c>
      <c r="G93" s="98">
        <v>1697.8930500000001</v>
      </c>
      <c r="H93" s="99">
        <v>1736.363016</v>
      </c>
      <c r="I93" s="168">
        <f t="shared" ref="I93:I104" si="10">(H93-G93)/G93</f>
        <v>2.2657473036950052E-2</v>
      </c>
      <c r="J93" s="177">
        <f>(H93/$H$92)</f>
        <v>0.27932247479571076</v>
      </c>
    </row>
    <row r="94" spans="3:10" x14ac:dyDescent="0.25">
      <c r="C94" s="87" t="s">
        <v>88</v>
      </c>
      <c r="D94" s="152">
        <v>673.84039624999991</v>
      </c>
      <c r="E94" s="143">
        <v>852.73700000000008</v>
      </c>
      <c r="F94" s="169">
        <f t="shared" si="9"/>
        <v>0.26548809591348421</v>
      </c>
      <c r="G94" s="152">
        <v>1488.2665267872999</v>
      </c>
      <c r="H94" s="143">
        <v>1661.9500430000001</v>
      </c>
      <c r="I94" s="169">
        <f t="shared" si="10"/>
        <v>0.11670188980708203</v>
      </c>
      <c r="J94" s="178">
        <f>(H94/$H$92)</f>
        <v>0.2673519274022581</v>
      </c>
    </row>
    <row r="95" spans="3:10" x14ac:dyDescent="0.25">
      <c r="C95" s="87" t="s">
        <v>90</v>
      </c>
      <c r="D95" s="152">
        <v>1024.4688245</v>
      </c>
      <c r="E95" s="143">
        <v>711.56644200000005</v>
      </c>
      <c r="F95" s="169">
        <f t="shared" si="9"/>
        <v>-0.30542889643588167</v>
      </c>
      <c r="G95" s="152">
        <v>1623.7375043</v>
      </c>
      <c r="H95" s="143">
        <v>1559.099455</v>
      </c>
      <c r="I95" s="169">
        <f t="shared" si="10"/>
        <v>-3.9808188902962893E-2</v>
      </c>
      <c r="J95" s="178">
        <f>(H95/$H$92)</f>
        <v>0.25080672313930691</v>
      </c>
    </row>
    <row r="96" spans="3:10" x14ac:dyDescent="0.25">
      <c r="C96" s="87" t="s">
        <v>89</v>
      </c>
      <c r="D96" s="152">
        <v>243.602272</v>
      </c>
      <c r="E96" s="143">
        <v>237.812625</v>
      </c>
      <c r="F96" s="169">
        <f t="shared" si="9"/>
        <v>-2.3766802142140948E-2</v>
      </c>
      <c r="G96" s="152">
        <v>401.03035599999998</v>
      </c>
      <c r="H96" s="143">
        <v>515.78260499999999</v>
      </c>
      <c r="I96" s="169">
        <f t="shared" si="10"/>
        <v>0.28614354819563836</v>
      </c>
      <c r="J96" s="178">
        <f>(H96/$H$92)</f>
        <v>8.297209302295952E-2</v>
      </c>
    </row>
    <row r="97" spans="3:10" x14ac:dyDescent="0.25">
      <c r="C97" s="89" t="s">
        <v>129</v>
      </c>
      <c r="D97" s="130">
        <v>840.27978214999996</v>
      </c>
      <c r="E97" s="144">
        <v>452.535753</v>
      </c>
      <c r="F97" s="169">
        <f t="shared" si="9"/>
        <v>-0.46144633892998155</v>
      </c>
      <c r="G97" s="152">
        <v>1468.76306671</v>
      </c>
      <c r="H97" s="143">
        <v>743.14324499999998</v>
      </c>
      <c r="I97" s="169">
        <f t="shared" si="10"/>
        <v>-0.494034632376326</v>
      </c>
      <c r="J97" s="202">
        <f t="shared" ref="J97" si="11">(H97/$H$92)</f>
        <v>0.11954678163976468</v>
      </c>
    </row>
    <row r="98" spans="3:10" x14ac:dyDescent="0.25">
      <c r="C98" s="86" t="s">
        <v>113</v>
      </c>
      <c r="D98" s="146">
        <f>SUM(D99:D104)</f>
        <v>2295.3407548999999</v>
      </c>
      <c r="E98" s="142">
        <f>SUM(E99:E104)</f>
        <v>2087.2887530000003</v>
      </c>
      <c r="F98" s="167">
        <f t="shared" si="9"/>
        <v>-9.0641008946431442E-2</v>
      </c>
      <c r="G98" s="146">
        <f>SUM(G99:G104)</f>
        <v>4634.2308122999993</v>
      </c>
      <c r="H98" s="142">
        <f>SUM(H99:H104)</f>
        <v>3775.8962240000001</v>
      </c>
      <c r="I98" s="167">
        <f t="shared" si="10"/>
        <v>-0.18521619294875002</v>
      </c>
      <c r="J98" s="176">
        <f>SUM(J99:J104)</f>
        <v>1</v>
      </c>
    </row>
    <row r="99" spans="3:10" x14ac:dyDescent="0.25">
      <c r="C99" s="77" t="s">
        <v>96</v>
      </c>
      <c r="D99" s="117">
        <v>1459.0461424</v>
      </c>
      <c r="E99" s="118">
        <v>1387.9453860000001</v>
      </c>
      <c r="F99" s="109">
        <f t="shared" si="9"/>
        <v>-4.8730985493745625E-2</v>
      </c>
      <c r="G99" s="98">
        <v>2983.2395677</v>
      </c>
      <c r="H99" s="99">
        <v>2138.6615310000002</v>
      </c>
      <c r="I99" s="133">
        <f t="shared" si="10"/>
        <v>-0.28310768127520763</v>
      </c>
      <c r="J99" s="177">
        <f>(H99/$H$98)</f>
        <v>0.56639838706541745</v>
      </c>
    </row>
    <row r="100" spans="3:10" x14ac:dyDescent="0.25">
      <c r="C100" s="73" t="s">
        <v>93</v>
      </c>
      <c r="D100" s="102">
        <v>664.41700700000001</v>
      </c>
      <c r="E100" s="103">
        <v>553.96266800000001</v>
      </c>
      <c r="F100" s="112">
        <f t="shared" si="9"/>
        <v>-0.16624249204385583</v>
      </c>
      <c r="G100" s="100">
        <v>1286.504807</v>
      </c>
      <c r="H100" s="101">
        <v>1335.745694</v>
      </c>
      <c r="I100" s="110">
        <f t="shared" si="10"/>
        <v>3.8274934327548089E-2</v>
      </c>
      <c r="J100" s="178">
        <f t="shared" ref="J100:J104" si="12">(H100/$H$98)</f>
        <v>0.35375593362705721</v>
      </c>
    </row>
    <row r="101" spans="3:10" x14ac:dyDescent="0.25">
      <c r="C101" s="73" t="s">
        <v>91</v>
      </c>
      <c r="D101" s="102">
        <v>116.87405700000001</v>
      </c>
      <c r="E101" s="103">
        <v>94.648795000000007</v>
      </c>
      <c r="F101" s="112">
        <f t="shared" si="9"/>
        <v>-0.19016420384893457</v>
      </c>
      <c r="G101" s="100">
        <v>251.84563600000001</v>
      </c>
      <c r="H101" s="101">
        <v>205.13147500000002</v>
      </c>
      <c r="I101" s="110">
        <f t="shared" si="10"/>
        <v>-0.18548727602331766</v>
      </c>
      <c r="J101" s="178">
        <f t="shared" si="12"/>
        <v>5.4326565888162509E-2</v>
      </c>
    </row>
    <row r="102" spans="3:10" x14ac:dyDescent="0.25">
      <c r="C102" s="73" t="s">
        <v>99</v>
      </c>
      <c r="D102" s="102">
        <v>54.016848500000002</v>
      </c>
      <c r="E102" s="103">
        <v>46.301206000000001</v>
      </c>
      <c r="F102" s="112">
        <f t="shared" si="9"/>
        <v>-0.14283770183297534</v>
      </c>
      <c r="G102" s="100">
        <v>110.6365016</v>
      </c>
      <c r="H102" s="101">
        <v>87.716915999999998</v>
      </c>
      <c r="I102" s="110">
        <f t="shared" si="10"/>
        <v>-0.20716115629599774</v>
      </c>
      <c r="J102" s="178">
        <f t="shared" si="12"/>
        <v>2.3230753918092848E-2</v>
      </c>
    </row>
    <row r="103" spans="3:10" x14ac:dyDescent="0.25">
      <c r="C103" s="73" t="s">
        <v>97</v>
      </c>
      <c r="D103" s="219">
        <v>0</v>
      </c>
      <c r="E103" s="103">
        <v>4.0498979999999998</v>
      </c>
      <c r="F103" s="112" t="s">
        <v>75</v>
      </c>
      <c r="G103" s="100">
        <v>0</v>
      </c>
      <c r="H103" s="101">
        <v>7.6768079999999994</v>
      </c>
      <c r="I103" s="110" t="s">
        <v>75</v>
      </c>
      <c r="J103" s="178">
        <f t="shared" si="12"/>
        <v>2.0331088421353814E-3</v>
      </c>
    </row>
    <row r="104" spans="3:10" x14ac:dyDescent="0.25">
      <c r="C104" s="76" t="s">
        <v>95</v>
      </c>
      <c r="D104" s="104">
        <v>0.98670000000000002</v>
      </c>
      <c r="E104" s="181">
        <v>0.38080000000000003</v>
      </c>
      <c r="F104" s="114">
        <f t="shared" si="9"/>
        <v>-0.61406709232796186</v>
      </c>
      <c r="G104" s="124">
        <v>2.0043000000000002</v>
      </c>
      <c r="H104" s="125">
        <v>0.96379999999999999</v>
      </c>
      <c r="I104" s="136">
        <f t="shared" si="10"/>
        <v>-0.51913386219627811</v>
      </c>
      <c r="J104" s="203">
        <f t="shared" si="12"/>
        <v>2.5525065913464042E-4</v>
      </c>
    </row>
    <row r="105" spans="3:10" x14ac:dyDescent="0.25">
      <c r="C105" s="86" t="s">
        <v>114</v>
      </c>
      <c r="D105" s="146">
        <f>SUM(D106:D108)</f>
        <v>16.554153000000003</v>
      </c>
      <c r="E105" s="142">
        <f>SUM(E106:E108)</f>
        <v>18.494443</v>
      </c>
      <c r="F105" s="167">
        <f t="shared" si="9"/>
        <v>0.11720865452916843</v>
      </c>
      <c r="G105" s="146">
        <f>SUM(G106:G108)</f>
        <v>36.56568579999999</v>
      </c>
      <c r="H105" s="142">
        <f>SUM(H106:H108)</f>
        <v>36.294599000000005</v>
      </c>
      <c r="I105" s="167">
        <f>(H105-G105)/G105</f>
        <v>-7.4136938517363983E-3</v>
      </c>
      <c r="J105" s="176">
        <f>SUM(J106:J108)</f>
        <v>0.99999999999999989</v>
      </c>
    </row>
    <row r="106" spans="3:10" x14ac:dyDescent="0.25">
      <c r="C106" s="77" t="s">
        <v>96</v>
      </c>
      <c r="D106" s="117">
        <v>12.819932</v>
      </c>
      <c r="E106" s="118">
        <v>12.222538</v>
      </c>
      <c r="F106" s="109">
        <f t="shared" si="9"/>
        <v>-4.6598843113988403E-2</v>
      </c>
      <c r="G106" s="98">
        <v>26.925815999999998</v>
      </c>
      <c r="H106" s="99">
        <v>23.288985</v>
      </c>
      <c r="I106" s="109">
        <f>(H106-G106)/G106</f>
        <v>-0.13506855279706279</v>
      </c>
      <c r="J106" s="177">
        <f>(H106/$H$105)</f>
        <v>0.64166530673062394</v>
      </c>
    </row>
    <row r="107" spans="3:10" x14ac:dyDescent="0.25">
      <c r="C107" s="73" t="s">
        <v>91</v>
      </c>
      <c r="D107" s="102">
        <v>3.5962210000000003</v>
      </c>
      <c r="E107" s="103">
        <v>6.2311050000000003</v>
      </c>
      <c r="F107" s="112">
        <f t="shared" si="9"/>
        <v>0.73268133410043479</v>
      </c>
      <c r="G107" s="100">
        <v>9.3640697999999993</v>
      </c>
      <c r="H107" s="101">
        <v>12.869413999999999</v>
      </c>
      <c r="I107" s="112">
        <f>(H107-G107)/G107</f>
        <v>0.37433981963697022</v>
      </c>
      <c r="J107" s="178">
        <f>(H107/$H$105)</f>
        <v>0.35458206880864002</v>
      </c>
    </row>
    <row r="108" spans="3:10" x14ac:dyDescent="0.25">
      <c r="C108" s="76" t="s">
        <v>95</v>
      </c>
      <c r="D108" s="182">
        <v>0.13800000000000001</v>
      </c>
      <c r="E108" s="218">
        <v>4.0800000000000003E-2</v>
      </c>
      <c r="F108" s="114">
        <f t="shared" si="9"/>
        <v>-0.70434782608695656</v>
      </c>
      <c r="G108" s="183">
        <v>0.27580000000000005</v>
      </c>
      <c r="H108" s="184">
        <v>0.13619999999999999</v>
      </c>
      <c r="I108" s="114">
        <f>(H108-G108)/G108</f>
        <v>-0.50616388687454694</v>
      </c>
      <c r="J108" s="201">
        <f>(H108/$H$105)</f>
        <v>3.7526244607358787E-3</v>
      </c>
    </row>
    <row r="109" spans="3:10" x14ac:dyDescent="0.25">
      <c r="C109" s="86" t="s">
        <v>115</v>
      </c>
      <c r="D109" s="146">
        <f>SUM(D110:D111)</f>
        <v>26.565792000000002</v>
      </c>
      <c r="E109" s="142">
        <f>SUM(E110:E111)</f>
        <v>22.429242000000002</v>
      </c>
      <c r="F109" s="167">
        <f t="shared" si="9"/>
        <v>-0.15570964343920179</v>
      </c>
      <c r="G109" s="146">
        <f>SUM(G110:G111)</f>
        <v>56.659901999999995</v>
      </c>
      <c r="H109" s="142">
        <f>SUM(H110:H111)</f>
        <v>48.980727999999999</v>
      </c>
      <c r="I109" s="167">
        <f t="shared" ref="I109:I117" si="13">(H109-G109)/G109</f>
        <v>-0.13553101450828484</v>
      </c>
      <c r="J109" s="176">
        <f>SUM(J110:J111)</f>
        <v>1</v>
      </c>
    </row>
    <row r="110" spans="3:10" x14ac:dyDescent="0.25">
      <c r="C110" s="77" t="s">
        <v>90</v>
      </c>
      <c r="D110" s="117">
        <v>14.6493</v>
      </c>
      <c r="E110" s="118">
        <v>13.17666</v>
      </c>
      <c r="F110" s="109">
        <f t="shared" si="9"/>
        <v>-0.10052630501116096</v>
      </c>
      <c r="G110" s="98">
        <v>32.265149999999998</v>
      </c>
      <c r="H110" s="99">
        <v>29.572395999999998</v>
      </c>
      <c r="I110" s="109">
        <f t="shared" si="13"/>
        <v>-8.3457042660579628E-2</v>
      </c>
      <c r="J110" s="177">
        <f>(H110/$H$109)</f>
        <v>0.60375574654586595</v>
      </c>
    </row>
    <row r="111" spans="3:10" x14ac:dyDescent="0.25">
      <c r="C111" s="76" t="s">
        <v>91</v>
      </c>
      <c r="D111" s="104">
        <v>11.916492</v>
      </c>
      <c r="E111" s="105">
        <v>9.2525820000000003</v>
      </c>
      <c r="F111" s="114">
        <f t="shared" si="9"/>
        <v>-0.22354817172704849</v>
      </c>
      <c r="G111" s="124">
        <v>24.394751999999997</v>
      </c>
      <c r="H111" s="125">
        <v>19.408332000000001</v>
      </c>
      <c r="I111" s="114">
        <f t="shared" si="13"/>
        <v>-0.2044054393338369</v>
      </c>
      <c r="J111" s="201">
        <f>(H111/$H$109)</f>
        <v>0.39624425345413405</v>
      </c>
    </row>
    <row r="112" spans="3:10" x14ac:dyDescent="0.25">
      <c r="C112" s="86" t="s">
        <v>116</v>
      </c>
      <c r="D112" s="146">
        <f>SUM(D113:D115)</f>
        <v>3577.7138660000001</v>
      </c>
      <c r="E112" s="142">
        <f>SUM(E113:E115)</f>
        <v>3321.9614589999996</v>
      </c>
      <c r="F112" s="167">
        <f>(E112-D112)/D112</f>
        <v>-7.1484868991476921E-2</v>
      </c>
      <c r="G112" s="146">
        <f>SUM(G113:G115)</f>
        <v>6159.6974158000003</v>
      </c>
      <c r="H112" s="142">
        <f>SUM(H113:H115)</f>
        <v>6798.3217179999992</v>
      </c>
      <c r="I112" s="167">
        <f t="shared" si="13"/>
        <v>0.1036778690722516</v>
      </c>
      <c r="J112" s="176">
        <f>SUM(J113:J115)</f>
        <v>1</v>
      </c>
    </row>
    <row r="113" spans="3:10" x14ac:dyDescent="0.25">
      <c r="C113" s="77" t="s">
        <v>97</v>
      </c>
      <c r="D113" s="117">
        <v>3494.3362780000002</v>
      </c>
      <c r="E113" s="118">
        <v>3245.0883159999998</v>
      </c>
      <c r="F113" s="109">
        <f>(E113-D113)/D113</f>
        <v>-7.1329128672944608E-2</v>
      </c>
      <c r="G113" s="98">
        <v>5971.6844608000001</v>
      </c>
      <c r="H113" s="99">
        <v>6625.708247999999</v>
      </c>
      <c r="I113" s="109">
        <f t="shared" si="13"/>
        <v>0.10952082138519124</v>
      </c>
      <c r="J113" s="177">
        <f>(H113/$H$112)</f>
        <v>0.97460939961947235</v>
      </c>
    </row>
    <row r="114" spans="3:10" x14ac:dyDescent="0.25">
      <c r="C114" s="73" t="s">
        <v>90</v>
      </c>
      <c r="D114" s="102">
        <v>72.383700000000005</v>
      </c>
      <c r="E114" s="103">
        <v>61.894500000000001</v>
      </c>
      <c r="F114" s="112">
        <f>(E114-D114)/D114</f>
        <v>-0.14491107804657682</v>
      </c>
      <c r="G114" s="100">
        <v>163.06941499999999</v>
      </c>
      <c r="H114" s="101">
        <v>142.13618099999999</v>
      </c>
      <c r="I114" s="112">
        <f t="shared" si="13"/>
        <v>-0.12837008092535318</v>
      </c>
      <c r="J114" s="178">
        <f>(H114/$H$112)</f>
        <v>2.090753966874858E-2</v>
      </c>
    </row>
    <row r="115" spans="3:10" x14ac:dyDescent="0.25">
      <c r="C115" s="76" t="s">
        <v>91</v>
      </c>
      <c r="D115" s="104">
        <v>10.993888</v>
      </c>
      <c r="E115" s="105">
        <v>14.978643</v>
      </c>
      <c r="F115" s="114">
        <f>(E115-D115)/D115</f>
        <v>0.36245184597114322</v>
      </c>
      <c r="G115" s="124">
        <v>24.943539999999999</v>
      </c>
      <c r="H115" s="125">
        <v>30.477288999999999</v>
      </c>
      <c r="I115" s="114">
        <f t="shared" si="13"/>
        <v>0.22185098827191332</v>
      </c>
      <c r="J115" s="201">
        <f>(H115/$H$112)</f>
        <v>4.4830607117790425E-3</v>
      </c>
    </row>
    <row r="116" spans="3:10" x14ac:dyDescent="0.25">
      <c r="C116" s="86" t="s">
        <v>117</v>
      </c>
      <c r="D116" s="146">
        <f>SUM(D117)</f>
        <v>2.8617279999999998</v>
      </c>
      <c r="E116" s="142">
        <f>SUM(E117)</f>
        <v>4.047072</v>
      </c>
      <c r="F116" s="167">
        <f t="shared" ref="F116:F117" si="14">(E116-D116)/D116</f>
        <v>0.41420568272037045</v>
      </c>
      <c r="G116" s="193">
        <f>SUM(G117)</f>
        <v>5.0973880000000005</v>
      </c>
      <c r="H116" s="193">
        <f>SUM(H117)</f>
        <v>8.037942000000001</v>
      </c>
      <c r="I116" s="174">
        <f t="shared" si="13"/>
        <v>0.57687466600541304</v>
      </c>
      <c r="J116" s="176">
        <f>SUM(J117)</f>
        <v>1</v>
      </c>
    </row>
    <row r="117" spans="3:10" x14ac:dyDescent="0.25">
      <c r="C117" s="92" t="s">
        <v>91</v>
      </c>
      <c r="D117" s="220">
        <v>2.8617279999999998</v>
      </c>
      <c r="E117" s="221">
        <v>4.047072</v>
      </c>
      <c r="F117" s="172">
        <f t="shared" si="14"/>
        <v>0.41420568272037045</v>
      </c>
      <c r="G117" s="194">
        <v>5.0973880000000005</v>
      </c>
      <c r="H117" s="126">
        <v>8.037942000000001</v>
      </c>
      <c r="I117" s="127">
        <f t="shared" si="13"/>
        <v>0.57687466600541304</v>
      </c>
      <c r="J117" s="180">
        <f>(H117/$H$116)</f>
        <v>1</v>
      </c>
    </row>
    <row r="118" spans="3:10" ht="156" customHeight="1" x14ac:dyDescent="0.25">
      <c r="C118" s="252" t="s">
        <v>127</v>
      </c>
      <c r="D118" s="253"/>
      <c r="E118" s="253"/>
      <c r="F118" s="253"/>
      <c r="G118" s="253"/>
      <c r="H118" s="253"/>
      <c r="I118" s="253"/>
      <c r="J118" s="254"/>
    </row>
    <row r="119" spans="3:10" x14ac:dyDescent="0.25">
      <c r="D119" s="93"/>
      <c r="E119" s="93"/>
      <c r="F119" s="173"/>
    </row>
    <row r="120" spans="3:10" x14ac:dyDescent="0.25">
      <c r="F120" s="63"/>
    </row>
    <row r="121" spans="3:10" x14ac:dyDescent="0.25">
      <c r="F121" s="63"/>
    </row>
    <row r="122" spans="3:10" x14ac:dyDescent="0.25">
      <c r="F122" s="63"/>
    </row>
    <row r="123" spans="3:10" x14ac:dyDescent="0.25">
      <c r="F123" s="63"/>
    </row>
  </sheetData>
  <mergeCells count="5">
    <mergeCell ref="C3:J3"/>
    <mergeCell ref="C4:J4"/>
    <mergeCell ref="D8:F8"/>
    <mergeCell ref="G8:J8"/>
    <mergeCell ref="C118:J118"/>
  </mergeCells>
  <printOptions horizontalCentered="1"/>
  <pageMargins left="0" right="0" top="0" bottom="0" header="0.31496062992125984" footer="0.31496062992125984"/>
  <pageSetup paperSize="9"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S01.C01</vt:lpstr>
      <vt:lpstr>S01.C02</vt:lpstr>
      <vt:lpstr>S01.C03</vt:lpstr>
      <vt:lpstr>'S01.C01'!Área_de_impresión</vt:lpstr>
      <vt:lpstr>'S01.C02'!Área_de_impresión</vt:lpstr>
      <vt:lpstr>'S01.C03'!Área_de_impresión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Carranza</dc:creator>
  <cp:lastModifiedBy>Victor Carranza</cp:lastModifiedBy>
  <dcterms:created xsi:type="dcterms:W3CDTF">2025-08-15T20:36:18Z</dcterms:created>
  <dcterms:modified xsi:type="dcterms:W3CDTF">2026-04-01T19:25:33Z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{650ED805-88E6-4860-94ED-AF4ABE06F984}</vt:lpwstr>
  </property>
</Properties>
</file>