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1. MINEM\1. BEM\1. SECCION PROD METALICA\2026\7. JULIO\2. ANEXOS Y CUADRO ESTADISTICO\"/>
    </mc:Choice>
  </mc:AlternateContent>
  <xr:revisionPtr revIDLastSave="0" documentId="13_ncr:1_{EEBDA346-82FD-4F3E-B333-204B70CB5CC1}" xr6:coauthVersionLast="47" xr6:coauthVersionMax="47" xr10:uidLastSave="{00000000-0000-0000-0000-000000000000}"/>
  <bookViews>
    <workbookView xWindow="-120" yWindow="-120" windowWidth="29040" windowHeight="15720" xr2:uid="{00000000-000D-0000-FFFF-FFFF00000000}"/>
  </bookViews>
  <sheets>
    <sheet name="S01.C01" sheetId="1" r:id="rId1"/>
    <sheet name="S01.C02" sheetId="2" r:id="rId2"/>
    <sheet name="S01.C03" sheetId="3" r:id="rId3"/>
  </sheets>
  <definedNames>
    <definedName name="_xlnm.Print_Area" localSheetId="0">'S01.C01'!$B$1:$Q$74</definedName>
    <definedName name="_xlnm.Print_Area" localSheetId="1">'S01.C02'!$B$1:$K$110</definedName>
    <definedName name="_xlnm.Print_Area" localSheetId="2">'S01.C03'!$B$1:$K$120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4" i="3" l="1"/>
  <c r="J95" i="2"/>
  <c r="J88" i="2"/>
  <c r="F90" i="3"/>
  <c r="I95" i="2"/>
  <c r="I96" i="2"/>
  <c r="F93" i="2"/>
  <c r="F94" i="2"/>
  <c r="F96" i="2"/>
  <c r="I86" i="2"/>
  <c r="I87" i="2"/>
  <c r="I88" i="2"/>
  <c r="F87" i="2"/>
  <c r="F88" i="2"/>
  <c r="F71" i="2"/>
  <c r="F72" i="2"/>
  <c r="F25" i="2"/>
  <c r="I49" i="1"/>
  <c r="D98" i="2" l="1"/>
  <c r="E98" i="2"/>
  <c r="D91" i="2"/>
  <c r="E91" i="2"/>
  <c r="I118" i="3" l="1"/>
  <c r="F118" i="3"/>
  <c r="I117" i="3"/>
  <c r="H117" i="3"/>
  <c r="J118" i="3" s="1"/>
  <c r="J117" i="3" s="1"/>
  <c r="G117" i="3"/>
  <c r="E117" i="3"/>
  <c r="F117" i="3" s="1"/>
  <c r="D117" i="3"/>
  <c r="I116" i="3"/>
  <c r="F116" i="3"/>
  <c r="I115" i="3"/>
  <c r="F115" i="3"/>
  <c r="I114" i="3"/>
  <c r="F114" i="3"/>
  <c r="H113" i="3"/>
  <c r="J116" i="3" s="1"/>
  <c r="G113" i="3"/>
  <c r="E113" i="3"/>
  <c r="F113" i="3" s="1"/>
  <c r="D113" i="3"/>
  <c r="I112" i="3"/>
  <c r="F112" i="3"/>
  <c r="I111" i="3"/>
  <c r="F111" i="3"/>
  <c r="H110" i="3"/>
  <c r="J111" i="3" s="1"/>
  <c r="G110" i="3"/>
  <c r="E110" i="3"/>
  <c r="F110" i="3" s="1"/>
  <c r="D110" i="3"/>
  <c r="J109" i="3"/>
  <c r="I109" i="3"/>
  <c r="F109" i="3"/>
  <c r="I108" i="3"/>
  <c r="F108" i="3"/>
  <c r="I107" i="3"/>
  <c r="F107" i="3"/>
  <c r="H106" i="3"/>
  <c r="J108" i="3" s="1"/>
  <c r="G106" i="3"/>
  <c r="I106" i="3" s="1"/>
  <c r="E106" i="3"/>
  <c r="D106" i="3"/>
  <c r="F106" i="3" s="1"/>
  <c r="I105" i="3"/>
  <c r="F105" i="3"/>
  <c r="I104" i="3"/>
  <c r="J103" i="3"/>
  <c r="I103" i="3"/>
  <c r="F103" i="3"/>
  <c r="J102" i="3"/>
  <c r="I102" i="3"/>
  <c r="F102" i="3"/>
  <c r="J101" i="3"/>
  <c r="I101" i="3"/>
  <c r="F101" i="3"/>
  <c r="I100" i="3"/>
  <c r="F100" i="3"/>
  <c r="H99" i="3"/>
  <c r="J105" i="3" s="1"/>
  <c r="G99" i="3"/>
  <c r="I99" i="3" s="1"/>
  <c r="E99" i="3"/>
  <c r="D99" i="3"/>
  <c r="F99" i="3" s="1"/>
  <c r="I98" i="3"/>
  <c r="F98" i="3"/>
  <c r="I97" i="3"/>
  <c r="F97" i="3"/>
  <c r="I96" i="3"/>
  <c r="F96" i="3"/>
  <c r="I95" i="3"/>
  <c r="F95" i="3"/>
  <c r="I94" i="3"/>
  <c r="F94" i="3"/>
  <c r="H93" i="3"/>
  <c r="J96" i="3" s="1"/>
  <c r="G93" i="3"/>
  <c r="E93" i="3"/>
  <c r="D93" i="3"/>
  <c r="F93" i="3" s="1"/>
  <c r="I92" i="3"/>
  <c r="F92" i="3"/>
  <c r="H91" i="3"/>
  <c r="J92" i="3" s="1"/>
  <c r="J91" i="3" s="1"/>
  <c r="G91" i="3"/>
  <c r="E91" i="3"/>
  <c r="D91" i="3"/>
  <c r="I90" i="3"/>
  <c r="H89" i="3"/>
  <c r="I89" i="3" s="1"/>
  <c r="G89" i="3"/>
  <c r="E89" i="3"/>
  <c r="F89" i="3" s="1"/>
  <c r="D89" i="3"/>
  <c r="I88" i="3"/>
  <c r="J87" i="3"/>
  <c r="I87" i="3"/>
  <c r="F87" i="3"/>
  <c r="I86" i="3"/>
  <c r="I85" i="3"/>
  <c r="F85" i="3"/>
  <c r="J84" i="3"/>
  <c r="I84" i="3"/>
  <c r="F84" i="3"/>
  <c r="J83" i="3"/>
  <c r="I83" i="3"/>
  <c r="F83" i="3"/>
  <c r="I82" i="3"/>
  <c r="F82" i="3"/>
  <c r="I81" i="3"/>
  <c r="F81" i="3"/>
  <c r="J80" i="3"/>
  <c r="I80" i="3"/>
  <c r="F80" i="3"/>
  <c r="I79" i="3"/>
  <c r="F79" i="3"/>
  <c r="I78" i="3"/>
  <c r="F78" i="3"/>
  <c r="I77" i="3"/>
  <c r="F77" i="3"/>
  <c r="H76" i="3"/>
  <c r="J86" i="3" s="1"/>
  <c r="G76" i="3"/>
  <c r="E76" i="3"/>
  <c r="D76" i="3"/>
  <c r="I75" i="3"/>
  <c r="F75" i="3"/>
  <c r="I74" i="3"/>
  <c r="F74" i="3"/>
  <c r="I73" i="3"/>
  <c r="F73" i="3"/>
  <c r="I72" i="3"/>
  <c r="I71" i="3"/>
  <c r="F71" i="3"/>
  <c r="I70" i="3"/>
  <c r="F70" i="3"/>
  <c r="I69" i="3"/>
  <c r="F69" i="3"/>
  <c r="I68" i="3"/>
  <c r="F68" i="3"/>
  <c r="I67" i="3"/>
  <c r="F67" i="3"/>
  <c r="I66" i="3"/>
  <c r="F66" i="3"/>
  <c r="I65" i="3"/>
  <c r="F65" i="3"/>
  <c r="I64" i="3"/>
  <c r="F64" i="3"/>
  <c r="I63" i="3"/>
  <c r="F63" i="3"/>
  <c r="I62" i="3"/>
  <c r="F62" i="3"/>
  <c r="I61" i="3"/>
  <c r="F61" i="3"/>
  <c r="I60" i="3"/>
  <c r="F60" i="3"/>
  <c r="I59" i="3"/>
  <c r="F59" i="3"/>
  <c r="H58" i="3"/>
  <c r="J75" i="3" s="1"/>
  <c r="G58" i="3"/>
  <c r="E58" i="3"/>
  <c r="D58" i="3"/>
  <c r="I57" i="3"/>
  <c r="I56" i="3"/>
  <c r="F56" i="3"/>
  <c r="I55" i="3"/>
  <c r="I54" i="3"/>
  <c r="F54" i="3"/>
  <c r="I53" i="3"/>
  <c r="F53" i="3"/>
  <c r="I52" i="3"/>
  <c r="F52" i="3"/>
  <c r="I51" i="3"/>
  <c r="F51" i="3"/>
  <c r="I50" i="3"/>
  <c r="F50" i="3"/>
  <c r="I49" i="3"/>
  <c r="F49" i="3"/>
  <c r="I48" i="3"/>
  <c r="F48" i="3"/>
  <c r="I47" i="3"/>
  <c r="F47" i="3"/>
  <c r="I46" i="3"/>
  <c r="F46" i="3"/>
  <c r="H45" i="3"/>
  <c r="J48" i="3" s="1"/>
  <c r="G45" i="3"/>
  <c r="E45" i="3"/>
  <c r="D45" i="3"/>
  <c r="I43" i="3"/>
  <c r="F43" i="3"/>
  <c r="I42" i="3"/>
  <c r="F42" i="3"/>
  <c r="I41" i="3"/>
  <c r="F41" i="3"/>
  <c r="I40" i="3"/>
  <c r="F40" i="3"/>
  <c r="J39" i="3"/>
  <c r="I39" i="3"/>
  <c r="F39" i="3"/>
  <c r="I38" i="3"/>
  <c r="F38" i="3"/>
  <c r="I37" i="3"/>
  <c r="F37" i="3"/>
  <c r="I36" i="3"/>
  <c r="F36" i="3"/>
  <c r="J35" i="3"/>
  <c r="I35" i="3"/>
  <c r="F35" i="3"/>
  <c r="I34" i="3"/>
  <c r="F34" i="3"/>
  <c r="I33" i="3"/>
  <c r="F33" i="3"/>
  <c r="J32" i="3"/>
  <c r="I32" i="3"/>
  <c r="F32" i="3"/>
  <c r="I31" i="3"/>
  <c r="F31" i="3"/>
  <c r="I30" i="3"/>
  <c r="F30" i="3"/>
  <c r="I29" i="3"/>
  <c r="F29" i="3"/>
  <c r="I28" i="3"/>
  <c r="F28" i="3"/>
  <c r="H27" i="3"/>
  <c r="J29" i="3" s="1"/>
  <c r="G27" i="3"/>
  <c r="E27" i="3"/>
  <c r="D27" i="3"/>
  <c r="I26" i="3"/>
  <c r="I25" i="3"/>
  <c r="J24" i="3"/>
  <c r="I24" i="3"/>
  <c r="F24" i="3"/>
  <c r="I23" i="3"/>
  <c r="F23" i="3"/>
  <c r="I22" i="3"/>
  <c r="F22" i="3"/>
  <c r="I21" i="3"/>
  <c r="F21" i="3"/>
  <c r="I20" i="3"/>
  <c r="F20" i="3"/>
  <c r="I19" i="3"/>
  <c r="F19" i="3"/>
  <c r="J18" i="3"/>
  <c r="I18" i="3"/>
  <c r="F18" i="3"/>
  <c r="I17" i="3"/>
  <c r="F17" i="3"/>
  <c r="J16" i="3"/>
  <c r="I16" i="3"/>
  <c r="F16" i="3"/>
  <c r="I15" i="3"/>
  <c r="F15" i="3"/>
  <c r="I14" i="3"/>
  <c r="F14" i="3"/>
  <c r="I13" i="3"/>
  <c r="F13" i="3"/>
  <c r="I12" i="3"/>
  <c r="F12" i="3"/>
  <c r="H11" i="3"/>
  <c r="J15" i="3" s="1"/>
  <c r="G11" i="3"/>
  <c r="E11" i="3"/>
  <c r="D11" i="3"/>
  <c r="I108" i="2"/>
  <c r="F108" i="2"/>
  <c r="H107" i="2"/>
  <c r="G107" i="2"/>
  <c r="E107" i="2"/>
  <c r="D107" i="2"/>
  <c r="I106" i="2"/>
  <c r="F106" i="2"/>
  <c r="I105" i="2"/>
  <c r="F105" i="2"/>
  <c r="I104" i="2"/>
  <c r="F104" i="2"/>
  <c r="I103" i="2"/>
  <c r="F103" i="2"/>
  <c r="H102" i="2"/>
  <c r="J105" i="2" s="1"/>
  <c r="G102" i="2"/>
  <c r="E102" i="2"/>
  <c r="D102" i="2"/>
  <c r="I101" i="2"/>
  <c r="F101" i="2"/>
  <c r="I100" i="2"/>
  <c r="F100" i="2"/>
  <c r="I99" i="2"/>
  <c r="F99" i="2"/>
  <c r="H98" i="2"/>
  <c r="J100" i="2" s="1"/>
  <c r="G98" i="2"/>
  <c r="I94" i="2"/>
  <c r="I93" i="2"/>
  <c r="I92" i="2"/>
  <c r="F92" i="2"/>
  <c r="H91" i="2"/>
  <c r="G91" i="2"/>
  <c r="F91" i="2"/>
  <c r="F86" i="2"/>
  <c r="I85" i="2"/>
  <c r="F85" i="2"/>
  <c r="I84" i="2"/>
  <c r="F84" i="2"/>
  <c r="I83" i="2"/>
  <c r="F83" i="2"/>
  <c r="H82" i="2"/>
  <c r="G82" i="2"/>
  <c r="E82" i="2"/>
  <c r="D82" i="2"/>
  <c r="I81" i="2"/>
  <c r="F81" i="2"/>
  <c r="I80" i="2"/>
  <c r="F80" i="2"/>
  <c r="I79" i="2"/>
  <c r="F79" i="2"/>
  <c r="I78" i="2"/>
  <c r="F78" i="2"/>
  <c r="I77" i="2"/>
  <c r="F77" i="2"/>
  <c r="H76" i="2"/>
  <c r="J78" i="2" s="1"/>
  <c r="G76" i="2"/>
  <c r="E76" i="2"/>
  <c r="D76" i="2"/>
  <c r="I75" i="2"/>
  <c r="F75" i="2"/>
  <c r="H74" i="2"/>
  <c r="G74" i="2"/>
  <c r="E74" i="2"/>
  <c r="D74" i="2"/>
  <c r="I73" i="2"/>
  <c r="F73" i="2"/>
  <c r="I72" i="2"/>
  <c r="H71" i="2"/>
  <c r="J73" i="2" s="1"/>
  <c r="G71" i="2"/>
  <c r="E71" i="2"/>
  <c r="D71" i="2"/>
  <c r="I70" i="2"/>
  <c r="F70" i="2"/>
  <c r="I69" i="2"/>
  <c r="F69" i="2"/>
  <c r="I68" i="2"/>
  <c r="F68" i="2"/>
  <c r="I67" i="2"/>
  <c r="F67" i="2"/>
  <c r="I66" i="2"/>
  <c r="F66" i="2"/>
  <c r="I65" i="2"/>
  <c r="F65" i="2"/>
  <c r="I64" i="2"/>
  <c r="F64" i="2"/>
  <c r="I63" i="2"/>
  <c r="F63" i="2"/>
  <c r="I62" i="2"/>
  <c r="F62" i="2"/>
  <c r="I61" i="2"/>
  <c r="F61" i="2"/>
  <c r="I60" i="2"/>
  <c r="F60" i="2"/>
  <c r="H59" i="2"/>
  <c r="J61" i="2" s="1"/>
  <c r="G59" i="2"/>
  <c r="E59" i="2"/>
  <c r="D59" i="2"/>
  <c r="I58" i="2"/>
  <c r="F58" i="2"/>
  <c r="I57" i="2"/>
  <c r="F57" i="2"/>
  <c r="I56" i="2"/>
  <c r="F56" i="2"/>
  <c r="I55" i="2"/>
  <c r="F55" i="2"/>
  <c r="I54" i="2"/>
  <c r="F54" i="2"/>
  <c r="I53" i="2"/>
  <c r="F53" i="2"/>
  <c r="I52" i="2"/>
  <c r="F52" i="2"/>
  <c r="I51" i="2"/>
  <c r="F51" i="2"/>
  <c r="I50" i="2"/>
  <c r="F50" i="2"/>
  <c r="I49" i="2"/>
  <c r="F49" i="2"/>
  <c r="I48" i="2"/>
  <c r="F48" i="2"/>
  <c r="H47" i="2"/>
  <c r="J56" i="2" s="1"/>
  <c r="G47" i="2"/>
  <c r="E47" i="2"/>
  <c r="D47" i="2"/>
  <c r="I46" i="2"/>
  <c r="F46" i="2"/>
  <c r="I45" i="2"/>
  <c r="F45" i="2"/>
  <c r="I44" i="2"/>
  <c r="F44" i="2"/>
  <c r="I43" i="2"/>
  <c r="F43" i="2"/>
  <c r="I42" i="2"/>
  <c r="F42" i="2"/>
  <c r="I41" i="2"/>
  <c r="F41" i="2"/>
  <c r="I40" i="2"/>
  <c r="F40" i="2"/>
  <c r="I39" i="2"/>
  <c r="F39" i="2"/>
  <c r="I38" i="2"/>
  <c r="F38" i="2"/>
  <c r="I37" i="2"/>
  <c r="F37" i="2"/>
  <c r="I36" i="2"/>
  <c r="F36" i="2"/>
  <c r="H35" i="2"/>
  <c r="J38" i="2" s="1"/>
  <c r="G35" i="2"/>
  <c r="E35" i="2"/>
  <c r="D35" i="2"/>
  <c r="I34" i="2"/>
  <c r="F34" i="2"/>
  <c r="I33" i="2"/>
  <c r="F33" i="2"/>
  <c r="I32" i="2"/>
  <c r="F32" i="2"/>
  <c r="I31" i="2"/>
  <c r="F31" i="2"/>
  <c r="I30" i="2"/>
  <c r="F30" i="2"/>
  <c r="I29" i="2"/>
  <c r="F29" i="2"/>
  <c r="I28" i="2"/>
  <c r="F28" i="2"/>
  <c r="I27" i="2"/>
  <c r="F27" i="2"/>
  <c r="I26" i="2"/>
  <c r="F26" i="2"/>
  <c r="I25" i="2"/>
  <c r="I24" i="2"/>
  <c r="F24" i="2"/>
  <c r="H23" i="2"/>
  <c r="J32" i="2" s="1"/>
  <c r="G23" i="2"/>
  <c r="E23" i="2"/>
  <c r="D23" i="2"/>
  <c r="I22" i="2"/>
  <c r="F22" i="2"/>
  <c r="I21" i="2"/>
  <c r="F21" i="2"/>
  <c r="I20" i="2"/>
  <c r="F20" i="2"/>
  <c r="I19" i="2"/>
  <c r="F19" i="2"/>
  <c r="I18" i="2"/>
  <c r="F18" i="2"/>
  <c r="I17" i="2"/>
  <c r="F17" i="2"/>
  <c r="I16" i="2"/>
  <c r="F16" i="2"/>
  <c r="I15" i="2"/>
  <c r="F15" i="2"/>
  <c r="I14" i="2"/>
  <c r="F14" i="2"/>
  <c r="I13" i="2"/>
  <c r="F13" i="2"/>
  <c r="I12" i="2"/>
  <c r="F12" i="2"/>
  <c r="H11" i="2"/>
  <c r="J13" i="2" s="1"/>
  <c r="G11" i="2"/>
  <c r="E11" i="2"/>
  <c r="D11" i="2"/>
  <c r="P59" i="1"/>
  <c r="O59" i="1"/>
  <c r="N59" i="1"/>
  <c r="M59" i="1"/>
  <c r="L59" i="1"/>
  <c r="K59" i="1"/>
  <c r="J59" i="1"/>
  <c r="I59" i="1"/>
  <c r="H59" i="1"/>
  <c r="G59" i="1"/>
  <c r="F59" i="1"/>
  <c r="E59" i="1"/>
  <c r="D59" i="1"/>
  <c r="P54" i="1"/>
  <c r="O54" i="1"/>
  <c r="N54" i="1"/>
  <c r="M54" i="1"/>
  <c r="L54" i="1"/>
  <c r="K54" i="1"/>
  <c r="J54" i="1"/>
  <c r="I54" i="1"/>
  <c r="H54" i="1"/>
  <c r="G54" i="1"/>
  <c r="F54" i="1"/>
  <c r="E54" i="1"/>
  <c r="D54" i="1"/>
  <c r="P49" i="1"/>
  <c r="O49" i="1"/>
  <c r="N49" i="1"/>
  <c r="M49" i="1"/>
  <c r="L49" i="1"/>
  <c r="K49" i="1"/>
  <c r="J49" i="1"/>
  <c r="H49" i="1"/>
  <c r="G49" i="1"/>
  <c r="F49" i="1"/>
  <c r="E49" i="1"/>
  <c r="D49" i="1"/>
  <c r="Q37" i="1"/>
  <c r="P37" i="1"/>
  <c r="O37" i="1"/>
  <c r="N37" i="1"/>
  <c r="M37" i="1"/>
  <c r="L37" i="1"/>
  <c r="K37" i="1"/>
  <c r="J37" i="1"/>
  <c r="I37" i="1"/>
  <c r="H37" i="1"/>
  <c r="G37" i="1"/>
  <c r="F37" i="1"/>
  <c r="E37" i="1"/>
  <c r="D37" i="1"/>
  <c r="Q36" i="1"/>
  <c r="Q35" i="1"/>
  <c r="Q34" i="1"/>
  <c r="Q33" i="1"/>
  <c r="Q32" i="1"/>
  <c r="Q31" i="1"/>
  <c r="Q30" i="1"/>
  <c r="Q29" i="1"/>
  <c r="Q28" i="1"/>
  <c r="Q27" i="1"/>
  <c r="Q26" i="1"/>
  <c r="Q25" i="1"/>
  <c r="Q24" i="1"/>
  <c r="Q23" i="1"/>
  <c r="Q22" i="1"/>
  <c r="I113" i="3" l="1"/>
  <c r="J115" i="3"/>
  <c r="J114" i="3"/>
  <c r="J113" i="3" s="1"/>
  <c r="J112" i="3"/>
  <c r="J110" i="3" s="1"/>
  <c r="I110" i="3"/>
  <c r="J107" i="3"/>
  <c r="J100" i="3"/>
  <c r="J97" i="3"/>
  <c r="J95" i="3"/>
  <c r="I91" i="3"/>
  <c r="F91" i="3"/>
  <c r="J90" i="3"/>
  <c r="J89" i="3" s="1"/>
  <c r="F76" i="3"/>
  <c r="F58" i="3"/>
  <c r="J57" i="3"/>
  <c r="F45" i="3"/>
  <c r="J28" i="3"/>
  <c r="J38" i="3"/>
  <c r="J30" i="3"/>
  <c r="F27" i="3"/>
  <c r="I11" i="3"/>
  <c r="J13" i="3"/>
  <c r="J22" i="3"/>
  <c r="J19" i="3"/>
  <c r="J20" i="3"/>
  <c r="J14" i="3"/>
  <c r="J25" i="3"/>
  <c r="J26" i="3"/>
  <c r="J12" i="3"/>
  <c r="J23" i="3"/>
  <c r="F11" i="3"/>
  <c r="I74" i="2"/>
  <c r="I82" i="2"/>
  <c r="J92" i="2"/>
  <c r="J83" i="2"/>
  <c r="J93" i="2"/>
  <c r="J85" i="2"/>
  <c r="J94" i="2"/>
  <c r="J51" i="2"/>
  <c r="J96" i="2"/>
  <c r="J91" i="2" s="1"/>
  <c r="J87" i="2"/>
  <c r="F47" i="2"/>
  <c r="F107" i="2"/>
  <c r="I91" i="2"/>
  <c r="J101" i="2"/>
  <c r="J53" i="2"/>
  <c r="F59" i="2"/>
  <c r="I107" i="2"/>
  <c r="F98" i="2"/>
  <c r="J108" i="2"/>
  <c r="J107" i="2" s="1"/>
  <c r="I102" i="2"/>
  <c r="F35" i="2"/>
  <c r="F11" i="2"/>
  <c r="F74" i="2"/>
  <c r="F102" i="2"/>
  <c r="J27" i="2"/>
  <c r="J29" i="2"/>
  <c r="J106" i="2"/>
  <c r="J103" i="2"/>
  <c r="F82" i="2"/>
  <c r="J81" i="2"/>
  <c r="F76" i="2"/>
  <c r="J75" i="2"/>
  <c r="J74" i="2" s="1"/>
  <c r="J63" i="2"/>
  <c r="J65" i="2"/>
  <c r="J39" i="2"/>
  <c r="F23" i="2"/>
  <c r="J21" i="2"/>
  <c r="J16" i="2"/>
  <c r="J106" i="3"/>
  <c r="I58" i="3"/>
  <c r="J37" i="2"/>
  <c r="J49" i="2"/>
  <c r="J67" i="3"/>
  <c r="J74" i="3"/>
  <c r="J44" i="2"/>
  <c r="J68" i="2"/>
  <c r="I98" i="2"/>
  <c r="J55" i="3"/>
  <c r="J20" i="2"/>
  <c r="J42" i="3"/>
  <c r="J26" i="2"/>
  <c r="J50" i="2"/>
  <c r="J62" i="2"/>
  <c r="J84" i="2"/>
  <c r="J82" i="2" s="1"/>
  <c r="J14" i="2"/>
  <c r="J33" i="2"/>
  <c r="J45" i="2"/>
  <c r="J57" i="2"/>
  <c r="J69" i="2"/>
  <c r="J79" i="2"/>
  <c r="J104" i="2"/>
  <c r="J36" i="3"/>
  <c r="J49" i="3"/>
  <c r="J56" i="3"/>
  <c r="J88" i="3"/>
  <c r="J98" i="3"/>
  <c r="J99" i="2"/>
  <c r="J17" i="3"/>
  <c r="J11" i="3" s="1"/>
  <c r="J43" i="3"/>
  <c r="J62" i="3"/>
  <c r="J81" i="3"/>
  <c r="J104" i="3"/>
  <c r="J99" i="3" s="1"/>
  <c r="J69" i="3"/>
  <c r="J15" i="2"/>
  <c r="J34" i="2"/>
  <c r="J46" i="2"/>
  <c r="J58" i="2"/>
  <c r="J70" i="2"/>
  <c r="J80" i="2"/>
  <c r="J37" i="3"/>
  <c r="J50" i="3"/>
  <c r="J22" i="2"/>
  <c r="J63" i="3"/>
  <c r="J82" i="3"/>
  <c r="I93" i="3"/>
  <c r="J28" i="2"/>
  <c r="J40" i="2"/>
  <c r="J52" i="2"/>
  <c r="J64" i="2"/>
  <c r="J86" i="2"/>
  <c r="J31" i="3"/>
  <c r="J70" i="3"/>
  <c r="I76" i="3"/>
  <c r="J94" i="3"/>
  <c r="J93" i="3" s="1"/>
  <c r="J77" i="3"/>
  <c r="J78" i="3"/>
  <c r="J85" i="3"/>
  <c r="J51" i="3"/>
  <c r="I45" i="3"/>
  <c r="J41" i="2"/>
  <c r="I71" i="2"/>
  <c r="J71" i="3"/>
  <c r="I35" i="2"/>
  <c r="I59" i="2"/>
  <c r="J52" i="3"/>
  <c r="I11" i="2"/>
  <c r="I23" i="2"/>
  <c r="I76" i="2"/>
  <c r="J65" i="3"/>
  <c r="J72" i="3"/>
  <c r="J30" i="2"/>
  <c r="J42" i="2"/>
  <c r="J54" i="2"/>
  <c r="J66" i="2"/>
  <c r="J72" i="2"/>
  <c r="J71" i="2" s="1"/>
  <c r="J33" i="3"/>
  <c r="J46" i="3"/>
  <c r="J18" i="2"/>
  <c r="I27" i="3"/>
  <c r="J40" i="3"/>
  <c r="J53" i="3"/>
  <c r="J59" i="3"/>
  <c r="J36" i="2"/>
  <c r="J48" i="2"/>
  <c r="J60" i="2"/>
  <c r="J21" i="3"/>
  <c r="J66" i="3"/>
  <c r="J73" i="3"/>
  <c r="J12" i="2"/>
  <c r="J24" i="2"/>
  <c r="J31" i="2"/>
  <c r="J43" i="2"/>
  <c r="J55" i="2"/>
  <c r="J67" i="2"/>
  <c r="J77" i="2"/>
  <c r="J34" i="3"/>
  <c r="J47" i="3"/>
  <c r="J19" i="2"/>
  <c r="J41" i="3"/>
  <c r="J54" i="3"/>
  <c r="J60" i="3"/>
  <c r="J79" i="3"/>
  <c r="J64" i="3"/>
  <c r="J17" i="2"/>
  <c r="I47" i="2"/>
  <c r="J25" i="2"/>
  <c r="J61" i="3"/>
  <c r="J68" i="3"/>
  <c r="J27" i="3" l="1"/>
  <c r="J98" i="2"/>
  <c r="J102" i="2"/>
  <c r="J11" i="2"/>
  <c r="J35" i="2"/>
  <c r="J23" i="2"/>
  <c r="J59" i="2"/>
  <c r="J47" i="2"/>
  <c r="J58" i="3"/>
  <c r="J45" i="3"/>
  <c r="J76" i="2"/>
  <c r="J76" i="3"/>
</calcChain>
</file>

<file path=xl/sharedStrings.xml><?xml version="1.0" encoding="utf-8"?>
<sst xmlns="http://schemas.openxmlformats.org/spreadsheetml/2006/main" count="393" uniqueCount="147">
  <si>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</si>
  <si>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</si>
  <si>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</si>
  <si>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</si>
  <si>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</si>
  <si>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</si>
  <si>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</si>
  <si>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</si>
  <si>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</si>
  <si>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</si>
  <si>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</si>
  <si>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</si>
  <si>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</si>
  <si>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</si>
  <si>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</si>
  <si>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</si>
  <si>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</si>
  <si>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</si>
  <si>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</si>
  <si>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</si>
  <si>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</si>
  <si>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</si>
  <si>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</si>
  <si>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</si>
  <si>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r>
      <t>Mar. /</t>
    </r>
    <r>
      <rPr>
        <i/>
        <sz val="10"/>
        <color rgb="FF000000"/>
        <rFont val="Calibri Light"/>
        <family val="2"/>
        <scheme val="major"/>
      </rPr>
      <t>Mar.</t>
    </r>
  </si>
  <si>
    <r>
      <t>Abr. /</t>
    </r>
    <r>
      <rPr>
        <i/>
        <sz val="10"/>
        <color rgb="FF000000"/>
        <rFont val="Calibri Light"/>
        <family val="2"/>
        <scheme val="major"/>
      </rPr>
      <t>Apr.</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</si>
  <si>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</si>
  <si>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</si>
  <si>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</si>
  <si>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</si>
  <si>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</si>
  <si>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</si>
  <si>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</si>
  <si>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</si>
  <si>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COMPAÑIA MINERA ANTAMINA S.A.</t>
  </si>
  <si>
    <t>MINERA LAS BAMBAS S.A.</t>
  </si>
  <si>
    <t>SOCIEDAD MINERA CERRO VERDE S.A.A.</t>
  </si>
  <si>
    <t>SOUTHERN PERU COPPER CORPORATION SUCURSAL DEL PERU</t>
  </si>
  <si>
    <t>ANGLO AMERICAN QUELLAVECO S.A.</t>
  </si>
  <si>
    <t>MINERA CHINALCO PERU S.A.</t>
  </si>
  <si>
    <t>MARCOBRE S.A.C.</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</si>
  <si>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</si>
  <si>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</si>
  <si>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</si>
  <si>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</si>
  <si>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</si>
  <si>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</si>
  <si>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</si>
  <si>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MINERA AURIFERA RETAMAS S.A.</t>
  </si>
  <si>
    <t>MINERA BOROO MISQUICHILCA S.A.</t>
  </si>
  <si>
    <t>MINERA VETA DORADA S.A.C.</t>
  </si>
  <si>
    <t>COMPAÑIA MINERA ARES S.A.C.</t>
  </si>
  <si>
    <t>PALTARUMI S.A.C.</t>
  </si>
  <si>
    <t>SHAHUINDO S.A.C.</t>
  </si>
  <si>
    <t>CONSORCIO MINERO HORIZONTE S.R.L.</t>
  </si>
  <si>
    <t>SUMMA GOLD CORPORATION S.A.C.</t>
  </si>
  <si>
    <r>
      <t xml:space="preserve">ZINC (TMF) / </t>
    </r>
    <r>
      <rPr>
        <i/>
        <sz val="9"/>
        <color theme="1"/>
        <rFont val="Calibri Light"/>
        <family val="2"/>
        <scheme val="major"/>
      </rPr>
      <t>Zinc (FTM)</t>
    </r>
  </si>
  <si>
    <t>VOLCAN COMPAÑIA MINERA S.A.A.</t>
  </si>
  <si>
    <t>NEXA RESOURCES PERU S.A.A.</t>
  </si>
  <si>
    <t>MINERA SHOUXIN PERU S.A.</t>
  </si>
  <si>
    <t>COMPAÑIA MINERA RAURA S.A.</t>
  </si>
  <si>
    <t>CATALINA HUANCA SOCIEDAD MINERA S.A.C.</t>
  </si>
  <si>
    <t>EMPRESA MINERA LOS QUENUALES S.A.C.</t>
  </si>
  <si>
    <t>NEXA RESOURCES EL PORVENIR S.A.C.</t>
  </si>
  <si>
    <t>COMPAÑIA MINERA CHUNGAR S.A.C.</t>
  </si>
  <si>
    <r>
      <t>PLATA (kg finos) /</t>
    </r>
    <r>
      <rPr>
        <i/>
        <sz val="9"/>
        <color theme="1"/>
        <rFont val="Calibri Light"/>
        <family val="2"/>
        <scheme val="major"/>
      </rPr>
      <t xml:space="preserve"> Silver (fkg)</t>
    </r>
  </si>
  <si>
    <t>COMPAÑIA DE MINAS BUENAVENTURA S.A.A.</t>
  </si>
  <si>
    <t>EMPRESA ADMINISTRADORA CERRO S.A.C.</t>
  </si>
  <si>
    <r>
      <t xml:space="preserve">PLOMO (TMF) / </t>
    </r>
    <r>
      <rPr>
        <i/>
        <sz val="9"/>
        <color theme="1"/>
        <rFont val="Calibri Light"/>
        <family val="2"/>
        <scheme val="major"/>
      </rPr>
      <t>Lead (FTM)</t>
    </r>
  </si>
  <si>
    <t>COMPAÑIA MINERA KOLPA S.A.</t>
  </si>
  <si>
    <t>MINERA BATEAS S.A.C.</t>
  </si>
  <si>
    <t>NEXA RESOURCES ATACOCHA S.A.A.</t>
  </si>
  <si>
    <t>PAN AMERICAN SILVER HUARON S.A.</t>
  </si>
  <si>
    <t>SOBREANDES S.A.C.</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</si>
  <si>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</si>
  <si>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</si>
  <si>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</si>
  <si>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</si>
  <si>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</si>
  <si>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OTROS (2025: 3 titulares mineros, 2026: 3 titulares mineros)</t>
  </si>
  <si>
    <r>
      <t>ARSÉNICO (TMF) /</t>
    </r>
    <r>
      <rPr>
        <i/>
        <sz val="9"/>
        <color theme="1"/>
        <rFont val="Calibri Light"/>
        <family val="2"/>
        <scheme val="major"/>
      </rPr>
      <t xml:space="preserve"> Arsenic (FTM)</t>
    </r>
  </si>
  <si>
    <t>COMPAÑIA MINERA LINCUNA S.A.</t>
  </si>
  <si>
    <t>CMC CRITICAL MINERALS CORPORATION S.A.C.</t>
  </si>
  <si>
    <t>SOCIEDAD MINERA ANDEREAL S.A.C.</t>
  </si>
  <si>
    <t>GLORE PERU S.A.C</t>
  </si>
  <si>
    <r>
      <t xml:space="preserve">BISMUTO (TMF) / </t>
    </r>
    <r>
      <rPr>
        <i/>
        <sz val="9"/>
        <color theme="1"/>
        <rFont val="Calibri Light"/>
        <family val="2"/>
        <scheme val="major"/>
      </rPr>
      <t>Bismuth (FTM)</t>
    </r>
  </si>
  <si>
    <t>NORCOBRE S.A.C.</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</si>
  <si>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</si>
  <si>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</si>
  <si>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</si>
  <si>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</si>
  <si>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</si>
  <si>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</si>
  <si>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</si>
  <si>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ÁNCASH</t>
  </si>
  <si>
    <t>MOQUEGUA</t>
  </si>
  <si>
    <t>APURÍMAC</t>
  </si>
  <si>
    <t>AREQUIPA</t>
  </si>
  <si>
    <t>JUNÍN</t>
  </si>
  <si>
    <t>TACNA</t>
  </si>
  <si>
    <t>CUSCO</t>
  </si>
  <si>
    <t>ICA</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</si>
  <si>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</si>
  <si>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</si>
  <si>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</si>
  <si>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</si>
  <si>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</si>
  <si>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</si>
  <si>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</si>
  <si>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</si>
  <si>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</si>
  <si>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</si>
  <si>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</si>
  <si>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</si>
  <si>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</si>
  <si>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</si>
  <si>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</si>
  <si>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</si>
  <si>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</si>
  <si>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t>OTROS** (2025: 3 departamentos, 2026: 3 departamentos)</t>
  </si>
  <si>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</si>
  <si>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</si>
  <si>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</si>
  <si>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</si>
  <si>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</si>
  <si>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(2025: 46 titulares mineros, 2026: 45 titulares mineros)</t>
  </si>
  <si>
    <t>OTROS (2025: 275 titulares mineros, 2026: 289 titulares mineros)</t>
  </si>
  <si>
    <t>OTROS (2025: 32 titulares mineros, 2026: 31 titulares mineros)</t>
  </si>
  <si>
    <t>OTROS (2025: 82 titulares mineros, 2026: 78 titulares mineros)</t>
  </si>
  <si>
    <t>EL PACIFICO DORADO S.A.C.</t>
  </si>
  <si>
    <r>
      <rPr>
        <u/>
        <sz val="10"/>
        <color theme="1"/>
        <rFont val="Calibri Light"/>
        <family val="2"/>
      </rPr>
      <t>Fuente</t>
    </r>
    <r>
      <rPr>
        <sz val="10"/>
        <color theme="1"/>
        <rFont val="Calibri Light"/>
        <family val="2"/>
      </rPr>
      <t xml:space="preserve">:  Dirección de Gestión Minera, DGM. / </t>
    </r>
    <r>
      <rPr>
        <i/>
        <u/>
        <sz val="10"/>
        <color theme="1"/>
        <rFont val="Calibri Light"/>
        <family val="2"/>
      </rPr>
      <t>Source</t>
    </r>
    <r>
      <rPr>
        <i/>
        <sz val="10"/>
        <color theme="1"/>
        <rFont val="Calibri Light"/>
        <family val="2"/>
      </rPr>
      <t>: Mining Management Directorate, MMD.</t>
    </r>
    <r>
      <rPr>
        <sz val="10"/>
        <color theme="1"/>
        <rFont val="Calibri Light"/>
        <family val="2"/>
      </rPr>
      <t xml:space="preserve">
</t>
    </r>
    <r>
      <rPr>
        <u/>
        <sz val="10"/>
        <color theme="1"/>
        <rFont val="Calibri Light"/>
        <family val="2"/>
      </rPr>
      <t>Fecha de consulta</t>
    </r>
    <r>
      <rPr>
        <sz val="10"/>
        <color theme="1"/>
        <rFont val="Calibri Light"/>
        <family val="2"/>
      </rPr>
      <t xml:space="preserve">: 26 de agosto de 2026. / </t>
    </r>
    <r>
      <rPr>
        <i/>
        <u/>
        <sz val="10"/>
        <color theme="1"/>
        <rFont val="Calibri Light"/>
        <family val="2"/>
      </rPr>
      <t>Date of consultation</t>
    </r>
    <r>
      <rPr>
        <i/>
        <sz val="10"/>
        <color theme="1"/>
        <rFont val="Calibri Light"/>
        <family val="2"/>
      </rPr>
      <t>: August 26, 2026.</t>
    </r>
    <r>
      <rPr>
        <sz val="10"/>
        <color theme="1"/>
        <rFont val="Calibri Light"/>
        <family val="2"/>
      </rPr>
      <t xml:space="preserve">
</t>
    </r>
    <r>
      <rPr>
        <u/>
        <sz val="10"/>
        <color theme="1"/>
        <rFont val="Calibri Light"/>
        <family val="2"/>
      </rPr>
      <t>Elaboración</t>
    </r>
    <r>
      <rPr>
        <sz val="10"/>
        <color theme="1"/>
        <rFont val="Calibri Light"/>
        <family val="2"/>
      </rPr>
      <t xml:space="preserve">: Dirección General de Promoción y Sostenibilidad Minera, DGPSM. / </t>
    </r>
    <r>
      <rPr>
        <i/>
        <u/>
        <sz val="10"/>
        <color theme="1"/>
        <rFont val="Calibri Light"/>
        <family val="2"/>
      </rPr>
      <t>Prepared by</t>
    </r>
    <r>
      <rPr>
        <i/>
        <sz val="10"/>
        <color theme="1"/>
        <rFont val="Calibri Light"/>
        <family val="2"/>
      </rPr>
      <t>: General Directorate of Mining Promotion and Sustainability, GDPMS.</t>
    </r>
    <r>
      <rPr>
        <sz val="10"/>
        <color theme="1"/>
        <rFont val="Calibri Light"/>
        <family val="2"/>
      </rPr>
      <t xml:space="preserve">
(*) Información preliminar. Incluye producción aurífera estimada de mineros artesanales de Madre de Dios, Puno, Piura y Arequipa. / </t>
    </r>
    <r>
      <rPr>
        <i/>
        <sz val="10"/>
        <color theme="1"/>
        <rFont val="Calibri Light"/>
        <family val="2"/>
      </rPr>
      <t>(*) Preliminary information. Includes estimated gold production from artisanal miners in Madre de Dios, Puno, Piura, and Arequipa.</t>
    </r>
  </si>
  <si>
    <r>
      <rPr>
        <u/>
        <sz val="10"/>
        <color theme="1"/>
        <rFont val="Calibri Light"/>
        <family val="2"/>
      </rPr>
      <t>Fuente</t>
    </r>
    <r>
      <rPr>
        <sz val="10"/>
        <color theme="1"/>
        <rFont val="Calibri Light"/>
        <family val="2"/>
      </rPr>
      <t xml:space="preserve">:  Dirección de Gestión Minera, DGM / </t>
    </r>
    <r>
      <rPr>
        <i/>
        <u/>
        <sz val="10"/>
        <color theme="1"/>
        <rFont val="Calibri Light"/>
        <family val="2"/>
      </rPr>
      <t>Source</t>
    </r>
    <r>
      <rPr>
        <i/>
        <sz val="10"/>
        <color theme="1"/>
        <rFont val="Calibri Light"/>
        <family val="2"/>
      </rPr>
      <t>: General Directorate of Mining, DGM.</t>
    </r>
    <r>
      <rPr>
        <sz val="10"/>
        <color theme="1"/>
        <rFont val="Calibri Light"/>
        <family val="2"/>
      </rPr>
      <t xml:space="preserve">
</t>
    </r>
    <r>
      <rPr>
        <u/>
        <sz val="10"/>
        <color theme="1"/>
        <rFont val="Calibri Light"/>
        <family val="2"/>
      </rPr>
      <t>Fecha de consulta</t>
    </r>
    <r>
      <rPr>
        <sz val="10"/>
        <color theme="1"/>
        <rFont val="Calibri Light"/>
        <family val="2"/>
      </rPr>
      <t>: 26 de agosto de 2026. /</t>
    </r>
    <r>
      <rPr>
        <i/>
        <sz val="10"/>
        <color theme="1"/>
        <rFont val="Calibri Light"/>
        <family val="2"/>
      </rPr>
      <t xml:space="preserve"> </t>
    </r>
    <r>
      <rPr>
        <i/>
        <u/>
        <sz val="10"/>
        <color theme="1"/>
        <rFont val="Calibri Light"/>
        <family val="2"/>
      </rPr>
      <t>Date of consultation</t>
    </r>
    <r>
      <rPr>
        <i/>
        <sz val="10"/>
        <color theme="1"/>
        <rFont val="Calibri Light"/>
        <family val="2"/>
      </rPr>
      <t>: August 26, 2026.</t>
    </r>
    <r>
      <rPr>
        <sz val="10"/>
        <color theme="1"/>
        <rFont val="Calibri Light"/>
        <family val="2"/>
      </rPr>
      <t xml:space="preserve">
</t>
    </r>
    <r>
      <rPr>
        <u/>
        <sz val="10"/>
        <color theme="1"/>
        <rFont val="Calibri Light"/>
        <family val="2"/>
      </rPr>
      <t>Elaboración</t>
    </r>
    <r>
      <rPr>
        <sz val="10"/>
        <color theme="1"/>
        <rFont val="Calibri Light"/>
        <family val="2"/>
      </rPr>
      <t xml:space="preserve">: Dirección de Promoción y Sostenibilidad Minera, DGPSM. / </t>
    </r>
    <r>
      <rPr>
        <i/>
        <u/>
        <sz val="10"/>
        <color theme="1"/>
        <rFont val="Calibri Light"/>
        <family val="2"/>
      </rPr>
      <t>Prepared by</t>
    </r>
    <r>
      <rPr>
        <i/>
        <sz val="10"/>
        <color theme="1"/>
        <rFont val="Calibri Light"/>
        <family val="2"/>
      </rPr>
      <t>: General Directorate of Mining Promotion and Sustainability, DGPSM.</t>
    </r>
    <r>
      <rPr>
        <sz val="10"/>
        <color theme="1"/>
        <rFont val="Calibri Light"/>
        <family val="2"/>
      </rPr>
      <t xml:space="preserve">
(*)Incluye producción cuprífera por proceso de flotación (TMF), lixiviación y electro-obtención (TM). / </t>
    </r>
    <r>
      <rPr>
        <i/>
        <sz val="10"/>
        <color theme="1"/>
        <rFont val="Calibri Light"/>
        <family val="2"/>
      </rPr>
      <t>(*) Includes copper production through flotation process (FMT), leaching, and electrowinning (MT).</t>
    </r>
    <r>
      <rPr>
        <sz val="10"/>
        <color theme="1"/>
        <rFont val="Calibri Light"/>
        <family val="2"/>
      </rPr>
      <t xml:space="preserve">
(**) Información preliminar. Incluye producción aurífera estimada de mineros artesanales de Madre de Dios, Puno, Piura y Arequipa. / </t>
    </r>
    <r>
      <rPr>
        <i/>
        <sz val="10"/>
        <color theme="1"/>
        <rFont val="Calibri Light"/>
        <family val="2"/>
      </rPr>
      <t>(**) Preliminary information. Includes estimated gold production from artisanal miners in Madre de Dios, Puno, Piura, and Arequipa.</t>
    </r>
  </si>
  <si>
    <r>
      <rPr>
        <u/>
        <sz val="10"/>
        <color theme="1"/>
        <rFont val="Calibri Light"/>
        <family val="2"/>
      </rPr>
      <t>Fuente</t>
    </r>
    <r>
      <rPr>
        <sz val="10"/>
        <color theme="1"/>
        <rFont val="Calibri Light"/>
        <family val="2"/>
      </rPr>
      <t xml:space="preserve">:  Dirección de Gestión Minera, DGM / </t>
    </r>
    <r>
      <rPr>
        <i/>
        <u/>
        <sz val="10"/>
        <color theme="1"/>
        <rFont val="Calibri Light"/>
        <family val="2"/>
      </rPr>
      <t>Source</t>
    </r>
    <r>
      <rPr>
        <i/>
        <sz val="10"/>
        <color theme="1"/>
        <rFont val="Calibri Light"/>
        <family val="2"/>
      </rPr>
      <t>: General Directorate of Mining, DGM.</t>
    </r>
    <r>
      <rPr>
        <sz val="10"/>
        <color theme="1"/>
        <rFont val="Calibri Light"/>
        <family val="2"/>
      </rPr>
      <t xml:space="preserve">
</t>
    </r>
    <r>
      <rPr>
        <u/>
        <sz val="10"/>
        <color theme="1"/>
        <rFont val="Calibri Light"/>
        <family val="2"/>
      </rPr>
      <t>Fecha de consulta</t>
    </r>
    <r>
      <rPr>
        <sz val="10"/>
        <color theme="1"/>
        <rFont val="Calibri Light"/>
        <family val="2"/>
      </rPr>
      <t xml:space="preserve">: 26 de agosto de 2026. / </t>
    </r>
    <r>
      <rPr>
        <i/>
        <u/>
        <sz val="10"/>
        <color theme="1"/>
        <rFont val="Calibri Light"/>
        <family val="2"/>
      </rPr>
      <t>Date of consultation</t>
    </r>
    <r>
      <rPr>
        <i/>
        <sz val="10"/>
        <color theme="1"/>
        <rFont val="Calibri Light"/>
        <family val="2"/>
      </rPr>
      <t>: August 26, 2026.</t>
    </r>
    <r>
      <rPr>
        <sz val="10"/>
        <color theme="1"/>
        <rFont val="Calibri Light"/>
        <family val="2"/>
      </rPr>
      <t xml:space="preserve">
</t>
    </r>
    <r>
      <rPr>
        <u/>
        <sz val="10"/>
        <color theme="1"/>
        <rFont val="Calibri Light"/>
        <family val="2"/>
      </rPr>
      <t>Elaboración</t>
    </r>
    <r>
      <rPr>
        <sz val="10"/>
        <color theme="1"/>
        <rFont val="Calibri Light"/>
        <family val="2"/>
      </rPr>
      <t xml:space="preserve">: Dirección de Promoción y Sostenibilidad Minera, DGPSM. / </t>
    </r>
    <r>
      <rPr>
        <i/>
        <u/>
        <sz val="10"/>
        <color theme="1"/>
        <rFont val="Calibri Light"/>
        <family val="2"/>
      </rPr>
      <t>Prepared by</t>
    </r>
    <r>
      <rPr>
        <i/>
        <sz val="10"/>
        <color theme="1"/>
        <rFont val="Calibri Light"/>
        <family val="2"/>
      </rPr>
      <t>: General Directorate of Mining Promotion and Sustainability, DGPSM.</t>
    </r>
    <r>
      <rPr>
        <sz val="10"/>
        <color theme="1"/>
        <rFont val="Calibri Light"/>
        <family val="2"/>
      </rPr>
      <t xml:space="preserve">
(*) Información preliminar. Incluye producción aurífera estimada de mineros artesanales de Madre de Dios, Puno, Piura y Arequipa. /</t>
    </r>
    <r>
      <rPr>
        <i/>
        <sz val="10"/>
        <color theme="1"/>
        <rFont val="Calibri Light"/>
        <family val="2"/>
      </rPr>
      <t xml:space="preserve"> (*) Preliminary information. Includes estimated gold production from artisanal miners in Madre de Dios, Puno, Piura, and Arequipa.
(**) Contempla la producción metálica de molibdeno de los departamentos de Apurímac, Cusc</t>
    </r>
    <r>
      <rPr>
        <sz val="10"/>
        <color theme="1"/>
        <rFont val="Calibri Light"/>
        <family val="2"/>
      </rPr>
      <t>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t>
    </r>
    <r>
      <rPr>
        <i/>
        <sz val="10"/>
        <color theme="1"/>
        <rFont val="Calibri Light"/>
        <family val="2"/>
      </rPr>
      <t xml:space="preserve"> 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</si>
  <si>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r>
      <t xml:space="preserve">Jul. 2025
</t>
    </r>
    <r>
      <rPr>
        <i/>
        <sz val="8"/>
        <color rgb="FF000000"/>
        <rFont val="Calibri Light"/>
        <family val="2"/>
      </rPr>
      <t>(Jul. 2025)</t>
    </r>
  </si>
  <si>
    <r>
      <t xml:space="preserve">Jul. 2026
</t>
    </r>
    <r>
      <rPr>
        <i/>
        <sz val="8"/>
        <color rgb="FF000000"/>
        <rFont val="Calibri Light"/>
        <family val="2"/>
      </rPr>
      <t>(Jul. 2026)</t>
    </r>
  </si>
  <si>
    <r>
      <t xml:space="preserve">Ene-Jul 2025
</t>
    </r>
    <r>
      <rPr>
        <i/>
        <sz val="8"/>
        <color theme="1"/>
        <rFont val="Calibri Light"/>
        <family val="2"/>
      </rPr>
      <t>(Jan-Jul. 2025)</t>
    </r>
  </si>
  <si>
    <r>
      <t xml:space="preserve">Ene-Jul 2026
</t>
    </r>
    <r>
      <rPr>
        <i/>
        <sz val="8"/>
        <color theme="1"/>
        <rFont val="Calibri Light"/>
        <family val="2"/>
      </rPr>
      <t>(Jan-Jul. 2026)</t>
    </r>
  </si>
  <si>
    <r>
      <t xml:space="preserve">Jun. 2026
</t>
    </r>
    <r>
      <rPr>
        <i/>
        <sz val="8"/>
        <color rgb="FF000000"/>
        <rFont val="Calibri Light"/>
        <family val="2"/>
      </rPr>
      <t>(Jun. 2026)</t>
    </r>
  </si>
  <si>
    <r>
      <t xml:space="preserve">VARIACIÓN INTERANUAL ACUMULADA ENERO-JULIO / </t>
    </r>
    <r>
      <rPr>
        <i/>
        <sz val="8"/>
        <color rgb="FF000000"/>
        <rFont val="Calibri Light"/>
        <family val="2"/>
      </rPr>
      <t>CUMULATIVE YEAR-OVER-YEAR VARIATION, JANUARY–JULY</t>
    </r>
  </si>
  <si>
    <r>
      <t xml:space="preserve">VARIACIÓN INTERANUAL, JULIO / </t>
    </r>
    <r>
      <rPr>
        <i/>
        <sz val="8"/>
        <color rgb="FF000000"/>
        <rFont val="Calibri Light"/>
        <family val="2"/>
      </rPr>
      <t>YEAR-OVER-YEAR VARIATION, JULY</t>
    </r>
  </si>
  <si>
    <r>
      <t>May. /</t>
    </r>
    <r>
      <rPr>
        <i/>
        <sz val="10"/>
        <color rgb="FF000000"/>
        <rFont val="Calibri Light"/>
        <family val="2"/>
      </rPr>
      <t>May.</t>
    </r>
  </si>
  <si>
    <r>
      <t xml:space="preserve">Jun. / </t>
    </r>
    <r>
      <rPr>
        <i/>
        <sz val="10"/>
        <color rgb="FF000000"/>
        <rFont val="Calibri Light"/>
        <family val="2"/>
      </rPr>
      <t>Jun.</t>
    </r>
  </si>
  <si>
    <r>
      <t xml:space="preserve">Jul. / </t>
    </r>
    <r>
      <rPr>
        <i/>
        <sz val="10"/>
        <color rgb="FF000000"/>
        <rFont val="Calibri Light"/>
        <family val="2"/>
      </rPr>
      <t>Jul.</t>
    </r>
  </si>
  <si>
    <r>
      <rPr>
        <u/>
        <sz val="10"/>
        <color rgb="FF000000"/>
        <rFont val="Calibri Light"/>
        <family val="2"/>
      </rPr>
      <t>Fuente</t>
    </r>
    <r>
      <rPr>
        <sz val="10"/>
        <color rgb="FF000000"/>
        <rFont val="Calibri Light"/>
        <family val="2"/>
      </rPr>
      <t xml:space="preserve">:  Dirección de Gestión Minera, DGM. / </t>
    </r>
    <r>
      <rPr>
        <i/>
        <u/>
        <sz val="10"/>
        <color rgb="FF000000"/>
        <rFont val="Calibri Light"/>
        <family val="2"/>
      </rPr>
      <t>Source</t>
    </r>
    <r>
      <rPr>
        <i/>
        <sz val="10"/>
        <color rgb="FF000000"/>
        <rFont val="Calibri Light"/>
        <family val="2"/>
      </rPr>
      <t>: General Directorate of Mining, DGM.</t>
    </r>
    <r>
      <rPr>
        <sz val="10"/>
        <color rgb="FF000000"/>
        <rFont val="Calibri Light"/>
        <family val="2"/>
      </rPr>
      <t xml:space="preserve">
</t>
    </r>
    <r>
      <rPr>
        <u/>
        <sz val="10"/>
        <color rgb="FF000000"/>
        <rFont val="Calibri Light"/>
        <family val="2"/>
      </rPr>
      <t>Fecha de consulta</t>
    </r>
    <r>
      <rPr>
        <sz val="10"/>
        <color rgb="FF000000"/>
        <rFont val="Calibri Light"/>
        <family val="2"/>
      </rPr>
      <t>: 26 de agosto de 2026. /</t>
    </r>
    <r>
      <rPr>
        <i/>
        <sz val="10"/>
        <color rgb="FF000000"/>
        <rFont val="Calibri Light"/>
        <family val="2"/>
      </rPr>
      <t xml:space="preserve"> </t>
    </r>
    <r>
      <rPr>
        <i/>
        <u/>
        <sz val="10"/>
        <color rgb="FF000000"/>
        <rFont val="Calibri Light"/>
        <family val="2"/>
      </rPr>
      <t>Date of consultation</t>
    </r>
    <r>
      <rPr>
        <i/>
        <sz val="10"/>
        <color rgb="FF000000"/>
        <rFont val="Calibri Light"/>
        <family val="2"/>
      </rPr>
      <t>: August 26, 2026.</t>
    </r>
    <r>
      <rPr>
        <sz val="10"/>
        <color rgb="FF000000"/>
        <rFont val="Calibri Light"/>
        <family val="2"/>
      </rPr>
      <t xml:space="preserve">
</t>
    </r>
    <r>
      <rPr>
        <u/>
        <sz val="10"/>
        <color rgb="FF000000"/>
        <rFont val="Calibri Light"/>
        <family val="2"/>
      </rPr>
      <t>Elaboración</t>
    </r>
    <r>
      <rPr>
        <sz val="10"/>
        <color rgb="FF000000"/>
        <rFont val="Calibri Light"/>
        <family val="2"/>
      </rPr>
      <t xml:space="preserve">: Dirección General de Promoción y Sostenibilidad Minera, DGPSM. / </t>
    </r>
    <r>
      <rPr>
        <i/>
        <u/>
        <sz val="10"/>
        <color rgb="FF000000"/>
        <rFont val="Calibri Light"/>
        <family val="2"/>
      </rPr>
      <t>Prepared by</t>
    </r>
    <r>
      <rPr>
        <i/>
        <sz val="10"/>
        <color rgb="FF000000"/>
        <rFont val="Calibri Light"/>
        <family val="2"/>
      </rPr>
      <t xml:space="preserve">: General Directorate of Mining Promotion and Sustainability, DGPSM.
(*) Información preliminar. Incluye producción aurífera estimada de mineros artesanales de Madre de Dios, Puno, Piura y Arequipa. / (*) Preliminary information. Includes estimated gold production from artisanal miners in Madre de Dios, Puno, Piura, and Arequipa.
</t>
    </r>
    <r>
      <rPr>
        <sz val="10"/>
        <color rgb="FF000000"/>
        <rFont val="Calibri Light"/>
        <family val="2"/>
      </rPr>
      <t xml:space="preserve">N/D: Información no disponible / </t>
    </r>
    <r>
      <rPr>
        <i/>
        <sz val="10"/>
        <color rgb="FF000000"/>
        <rFont val="Calibri Light"/>
        <family val="2"/>
      </rPr>
      <t>N/A: Information not available.</t>
    </r>
  </si>
  <si>
    <r>
      <t xml:space="preserve">2026
(Ene-Jul)
</t>
    </r>
    <r>
      <rPr>
        <i/>
        <sz val="8"/>
        <color rgb="FF000000"/>
        <rFont val="Calibri Light"/>
        <family val="2"/>
      </rPr>
      <t>(Jan-Jul)</t>
    </r>
  </si>
  <si>
    <r>
      <t xml:space="preserve">JULIO
</t>
    </r>
    <r>
      <rPr>
        <i/>
        <sz val="8"/>
        <color theme="1"/>
        <rFont val="Calibri Light"/>
        <family val="2"/>
      </rPr>
      <t>July</t>
    </r>
  </si>
  <si>
    <r>
      <t xml:space="preserve">ENERO - JULIO
</t>
    </r>
    <r>
      <rPr>
        <i/>
        <sz val="8"/>
        <color theme="1"/>
        <rFont val="Calibri Light"/>
        <family val="2"/>
      </rPr>
      <t>January - July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</si>
</sst>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s>
  <fonts count="48" x14ac:knownFonts="1">
    <font>
      <sz val="11"/>
      <color theme="1"/>
      <name val="Calibri"/>
    </font>
    <font>
      <sz val="11"/>
      <color theme="1"/>
      <name val="Calibri"/>
      <family val="2"/>
    </font>
    <font>
      <sz val="11"/>
      <color rgb="FF000000"/>
      <name val="Calibri"/>
      <family val="2"/>
    </font>
    <font>
      <b/>
      <sz val="12"/>
      <color rgb="FF000000"/>
      <name val="Calibri Light"/>
      <family val="2"/>
    </font>
    <font>
      <sz val="10"/>
      <color theme="1"/>
      <name val="Calibri Light"/>
      <family val="2"/>
    </font>
    <font>
      <i/>
      <sz val="9"/>
      <color rgb="FF000000"/>
      <name val="Calibri Light"/>
      <family val="2"/>
    </font>
    <font>
      <b/>
      <sz val="10"/>
      <color rgb="FF000000"/>
      <name val="Calibri Light"/>
      <family val="2"/>
    </font>
    <font>
      <sz val="10"/>
      <color rgb="FF000000"/>
      <name val="Calibri Light"/>
      <family val="2"/>
    </font>
    <font>
      <b/>
      <sz val="16"/>
      <color rgb="FF000000"/>
      <name val="Calibri Light"/>
      <family val="2"/>
    </font>
    <font>
      <sz val="10"/>
      <color theme="0"/>
      <name val="Calibri Light"/>
      <family val="2"/>
    </font>
    <font>
      <i/>
      <sz val="9"/>
      <color theme="1"/>
      <name val="Calibri Light"/>
      <family val="2"/>
    </font>
    <font>
      <b/>
      <sz val="10"/>
      <color theme="1"/>
      <name val="Calibri Light"/>
      <family val="2"/>
    </font>
    <font>
      <i/>
      <sz val="10"/>
      <color rgb="FF000000"/>
      <name val="Calibri Light"/>
      <family val="2"/>
    </font>
    <font>
      <sz val="10"/>
      <name val="Calibri Light"/>
      <family val="2"/>
    </font>
    <font>
      <b/>
      <sz val="10"/>
      <name val="Calibri Light"/>
      <family val="2"/>
    </font>
    <font>
      <sz val="9"/>
      <color theme="1"/>
      <name val="Calibri"/>
      <family val="2"/>
    </font>
    <font>
      <sz val="11"/>
      <color theme="0"/>
      <name val="Calibri Light"/>
      <family val="2"/>
    </font>
    <font>
      <sz val="11"/>
      <color theme="1"/>
      <name val="Calibri Light"/>
      <family val="2"/>
    </font>
    <font>
      <b/>
      <sz val="10"/>
      <color indexed="8"/>
      <name val="Calibri Light"/>
      <family val="2"/>
    </font>
    <font>
      <b/>
      <sz val="12"/>
      <color theme="1"/>
      <name val="Calibri Light"/>
      <family val="2"/>
    </font>
    <font>
      <b/>
      <i/>
      <sz val="10"/>
      <color theme="0" tint="-0.49995422223578601"/>
      <name val="Calibri Light"/>
      <family val="2"/>
    </font>
    <font>
      <b/>
      <sz val="11"/>
      <color theme="1"/>
      <name val="Calibri Light"/>
      <family val="2"/>
    </font>
    <font>
      <b/>
      <sz val="12"/>
      <name val="Calibri Light"/>
      <family val="2"/>
    </font>
    <font>
      <i/>
      <sz val="9"/>
      <name val="Calibri Light"/>
      <family val="2"/>
    </font>
    <font>
      <i/>
      <sz val="10"/>
      <color theme="1"/>
      <name val="Calibri Light"/>
      <family val="2"/>
      <scheme val="major"/>
    </font>
    <font>
      <i/>
      <sz val="8"/>
      <color rgb="FF000000"/>
      <name val="Calibri Light"/>
      <family val="2"/>
      <scheme val="major"/>
    </font>
    <font>
      <i/>
      <sz val="10"/>
      <color rgb="FF000000"/>
      <name val="Calibri Light"/>
      <family val="2"/>
      <scheme val="major"/>
    </font>
    <font>
      <b/>
      <sz val="10"/>
      <color indexed="8"/>
      <name val="Calibri Light"/>
      <family val="2"/>
      <scheme val="major"/>
    </font>
    <font>
      <i/>
      <sz val="8"/>
      <color theme="1"/>
      <name val="Calibri Light"/>
      <family val="2"/>
      <scheme val="major"/>
    </font>
    <font>
      <b/>
      <sz val="10"/>
      <color theme="1"/>
      <name val="Calibri Light"/>
      <family val="2"/>
      <scheme val="major"/>
    </font>
    <font>
      <sz val="10"/>
      <color theme="1"/>
      <name val="Calibri Light"/>
      <family val="2"/>
      <scheme val="major"/>
    </font>
    <font>
      <i/>
      <sz val="9"/>
      <color theme="1"/>
      <name val="Calibri Light"/>
      <family val="2"/>
      <scheme val="major"/>
    </font>
    <font>
      <b/>
      <sz val="11"/>
      <color theme="1"/>
      <name val="Calibri Light"/>
      <family val="2"/>
      <scheme val="major"/>
    </font>
    <font>
      <sz val="11"/>
      <color theme="1"/>
      <name val="Calibri Light"/>
      <family val="2"/>
      <scheme val="major"/>
    </font>
    <font>
      <i/>
      <sz val="9"/>
      <name val="Calibri Light"/>
      <family val="2"/>
      <scheme val="major"/>
    </font>
    <font>
      <i/>
      <sz val="8"/>
      <name val="Calibri Light"/>
      <family val="2"/>
      <scheme val="major"/>
    </font>
    <font>
      <sz val="8"/>
      <name val="Calibri Light"/>
      <family val="2"/>
      <scheme val="major"/>
    </font>
    <font>
      <sz val="10"/>
      <color theme="1"/>
      <name val="Calibri Light"/>
      <family val="2"/>
    </font>
    <font>
      <i/>
      <sz val="10"/>
      <color theme="1"/>
      <name val="Calibri Light"/>
      <family val="2"/>
    </font>
    <font>
      <b/>
      <sz val="10"/>
      <color theme="1"/>
      <name val="Calibri Light"/>
      <family val="2"/>
    </font>
    <font>
      <u/>
      <sz val="10"/>
      <color theme="1"/>
      <name val="Calibri Light"/>
      <family val="2"/>
    </font>
    <font>
      <i/>
      <u/>
      <sz val="10"/>
      <color theme="1"/>
      <name val="Calibri Light"/>
      <family val="2"/>
    </font>
    <font>
      <sz val="10"/>
      <color rgb="FF000000"/>
      <name val="Calibri Light"/>
      <family val="2"/>
    </font>
    <font>
      <i/>
      <sz val="8"/>
      <color rgb="FF000000"/>
      <name val="Calibri Light"/>
      <family val="2"/>
    </font>
    <font>
      <i/>
      <sz val="8"/>
      <color theme="1"/>
      <name val="Calibri Light"/>
      <family val="2"/>
    </font>
    <font>
      <b/>
      <sz val="10"/>
      <color rgb="FF000000"/>
      <name val="Calibri Light"/>
      <family val="2"/>
    </font>
    <font>
      <u/>
      <sz val="10"/>
      <color rgb="FF000000"/>
      <name val="Calibri Light"/>
      <family val="2"/>
    </font>
    <font>
      <i/>
      <u/>
      <sz val="10"/>
      <color rgb="FF000000"/>
      <name val="Calibri Light"/>
      <family val="2"/>
    </font>
  </fonts>
  <fills count="10">
    <fill>
      <patternFill patternType="none"/>
    </fill>
    <fill>
      <patternFill patternType="gray125"/>
    </fill>
    <fill>
      <patternFill patternType="solid">
        <fgColor rgb="FFFFFFFF"/>
      </patternFill>
    </fill>
    <fill>
      <patternFill patternType="solid">
        <fgColor theme="0"/>
      </patternFill>
    </fill>
    <fill>
      <patternFill patternType="solid">
        <fgColor theme="2" tint="-9.9978637043366805E-2"/>
        <bgColor indexed="65"/>
      </patternFill>
    </fill>
    <fill>
      <patternFill patternType="solid">
        <fgColor rgb="FFF2F2F2"/>
      </patternFill>
    </fill>
    <fill>
      <patternFill patternType="solid">
        <fgColor rgb="FFD9D9D9"/>
      </patternFill>
    </fill>
    <fill>
      <patternFill patternType="solid">
        <fgColor theme="0" tint="-0.14999847407452621"/>
        <bgColor indexed="65"/>
      </patternFill>
    </fill>
    <fill>
      <patternFill patternType="solid">
        <fgColor theme="0" tint="-0.14999847407452621"/>
        <bgColor indexed="65"/>
      </patternFill>
    </fill>
    <fill>
      <patternFill patternType="solid">
        <fgColor rgb="FFD0CECE"/>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5" fillId="3" borderId="0">
      <alignment horizontal="left"/>
    </xf>
    <xf numFmtId="167" fontId="1" fillId="0" borderId="0" applyFont="0" applyFill="0" applyBorder="0" applyAlignment="0" applyProtection="0"/>
  </cellStyleXfs>
  <cellXfs count="255">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3" fontId="6" fillId="4" borderId="10" xfId="3" applyNumberFormat="1" applyFont="1" applyFill="1" applyBorder="1" applyAlignment="1">
      <alignment horizontal="center" vertical="center"/>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4"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14" fillId="7" borderId="9" xfId="4" applyFont="1" applyFill="1" applyBorder="1" applyAlignment="1">
      <alignment horizontal="center" vertical="center"/>
    </xf>
    <xf numFmtId="166" fontId="14"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13" fillId="3" borderId="0" xfId="4" applyNumberFormat="1" applyFont="1" applyAlignment="1">
      <alignment horizontal="center" vertical="center"/>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4"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16" fillId="0" borderId="0" xfId="0" applyFont="1" applyAlignment="1">
      <alignment vertical="center"/>
    </xf>
    <xf numFmtId="0" fontId="17" fillId="0" borderId="0" xfId="0" applyFont="1" applyAlignment="1">
      <alignment vertical="center"/>
    </xf>
    <xf numFmtId="0" fontId="4" fillId="3" borderId="5" xfId="0" applyFont="1" applyFill="1" applyBorder="1" applyAlignment="1">
      <alignment vertical="center"/>
    </xf>
    <xf numFmtId="10" fontId="17" fillId="0" borderId="0" xfId="0" applyNumberFormat="1" applyFont="1" applyAlignment="1">
      <alignment horizontal="center" vertical="center"/>
    </xf>
    <xf numFmtId="0" fontId="17" fillId="0" borderId="0" xfId="0" applyFont="1" applyAlignment="1">
      <alignment horizontal="center" vertical="center"/>
    </xf>
    <xf numFmtId="0" fontId="19"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0" fillId="3" borderId="0" xfId="5" applyNumberFormat="1" applyFont="1" applyFill="1" applyAlignment="1">
      <alignment horizontal="center" vertical="center"/>
    </xf>
    <xf numFmtId="10" fontId="20"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17" fillId="4" borderId="12" xfId="0" applyFont="1" applyFill="1" applyBorder="1" applyAlignment="1">
      <alignment vertical="center"/>
    </xf>
    <xf numFmtId="0" fontId="4" fillId="0" borderId="14" xfId="4" applyFont="1" applyFill="1" applyBorder="1" applyAlignment="1">
      <alignment horizontal="left" vertical="center"/>
    </xf>
    <xf numFmtId="0" fontId="13" fillId="0" borderId="15" xfId="4" applyFont="1" applyFill="1" applyBorder="1" applyAlignment="1">
      <alignment horizontal="left" vertical="center"/>
    </xf>
    <xf numFmtId="0" fontId="21"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1" fillId="9" borderId="12" xfId="0" applyFont="1" applyFill="1" applyBorder="1" applyAlignment="1">
      <alignment vertical="center"/>
    </xf>
    <xf numFmtId="0" fontId="5" fillId="2" borderId="0" xfId="3" applyFont="1" applyFill="1" applyAlignment="1">
      <alignment vertical="center"/>
    </xf>
    <xf numFmtId="0" fontId="22" fillId="3" borderId="0" xfId="0" applyFont="1" applyFill="1" applyAlignment="1">
      <alignment horizontal="left" vertical="center"/>
    </xf>
    <xf numFmtId="166" fontId="13" fillId="3" borderId="0" xfId="2" applyNumberFormat="1" applyFont="1" applyFill="1" applyAlignment="1">
      <alignment horizontal="center" vertical="center"/>
    </xf>
    <xf numFmtId="0" fontId="23" fillId="3" borderId="0" xfId="4" applyFont="1" applyAlignment="1">
      <alignment horizontal="left" vertical="center"/>
    </xf>
    <xf numFmtId="168" fontId="13"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4" fillId="4" borderId="12" xfId="4" applyFont="1" applyFill="1" applyBorder="1" applyAlignment="1">
      <alignment horizontal="left" vertical="center"/>
    </xf>
    <xf numFmtId="0" fontId="13" fillId="3" borderId="14" xfId="4" applyFont="1" applyBorder="1" applyAlignment="1">
      <alignment horizontal="left" vertical="center"/>
    </xf>
    <xf numFmtId="0" fontId="13" fillId="0" borderId="14" xfId="5" applyNumberFormat="1" applyFont="1" applyFill="1" applyBorder="1" applyAlignment="1">
      <alignment horizontal="left" vertical="center"/>
    </xf>
    <xf numFmtId="0" fontId="13" fillId="0" borderId="14" xfId="4" applyFont="1" applyFill="1" applyBorder="1" applyAlignment="1">
      <alignment horizontal="left" vertical="center"/>
    </xf>
    <xf numFmtId="0" fontId="13" fillId="3" borderId="13" xfId="4" applyFont="1" applyBorder="1" applyAlignment="1">
      <alignment horizontal="left" vertical="center"/>
    </xf>
    <xf numFmtId="0" fontId="13"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17" fillId="0" borderId="0" xfId="0" applyNumberFormat="1" applyFont="1" applyAlignment="1">
      <alignment vertical="center"/>
    </xf>
    <xf numFmtId="166" fontId="17" fillId="0" borderId="0" xfId="0" applyNumberFormat="1" applyFont="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3"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4" fillId="4" borderId="10" xfId="5" applyNumberFormat="1" applyFont="1" applyFill="1" applyBorder="1" applyAlignment="1">
      <alignment horizontal="center" vertical="center"/>
    </xf>
    <xf numFmtId="3" fontId="13" fillId="3" borderId="0" xfId="5" applyNumberFormat="1" applyFont="1" applyFill="1" applyBorder="1" applyAlignment="1">
      <alignment horizontal="center" vertical="center"/>
    </xf>
    <xf numFmtId="3" fontId="13" fillId="0" borderId="0" xfId="5" applyNumberFormat="1" applyFont="1" applyFill="1" applyBorder="1" applyAlignment="1">
      <alignment horizontal="center" vertical="center"/>
    </xf>
    <xf numFmtId="3" fontId="13" fillId="0" borderId="5" xfId="5" applyNumberFormat="1" applyFont="1" applyFill="1" applyBorder="1" applyAlignment="1">
      <alignment horizontal="center" vertical="center"/>
    </xf>
    <xf numFmtId="3" fontId="14" fillId="4" borderId="9" xfId="5" applyNumberFormat="1" applyFont="1" applyFill="1" applyBorder="1" applyAlignment="1">
      <alignment horizontal="center" vertical="center"/>
    </xf>
    <xf numFmtId="3" fontId="13" fillId="3" borderId="0" xfId="5" applyNumberFormat="1" applyFont="1" applyFill="1" applyAlignment="1">
      <alignment horizontal="center" vertical="center"/>
    </xf>
    <xf numFmtId="3" fontId="13" fillId="0" borderId="0" xfId="5" applyNumberFormat="1" applyFont="1" applyFill="1" applyAlignment="1">
      <alignment horizontal="center" vertical="center"/>
    </xf>
    <xf numFmtId="3" fontId="13" fillId="0" borderId="0" xfId="1" applyNumberFormat="1" applyFont="1" applyFill="1" applyBorder="1" applyAlignment="1">
      <alignment horizontal="center" vertical="center"/>
    </xf>
    <xf numFmtId="3" fontId="13" fillId="3" borderId="1" xfId="5" applyNumberFormat="1" applyFont="1" applyFill="1" applyBorder="1" applyAlignment="1">
      <alignment horizontal="center" vertical="center"/>
    </xf>
    <xf numFmtId="3" fontId="13" fillId="3" borderId="2" xfId="5" applyNumberFormat="1" applyFont="1" applyFill="1" applyBorder="1" applyAlignment="1">
      <alignment horizontal="center" vertical="center"/>
    </xf>
    <xf numFmtId="3" fontId="13" fillId="3" borderId="7" xfId="5" applyNumberFormat="1" applyFont="1" applyFill="1" applyBorder="1" applyAlignment="1">
      <alignment horizontal="center" vertical="center"/>
    </xf>
    <xf numFmtId="3" fontId="13" fillId="0" borderId="7" xfId="1" applyNumberFormat="1" applyFont="1" applyFill="1" applyBorder="1" applyAlignment="1">
      <alignment horizontal="center" vertical="center"/>
    </xf>
    <xf numFmtId="3" fontId="13" fillId="0" borderId="0" xfId="1" applyNumberFormat="1" applyFont="1" applyFill="1" applyAlignment="1">
      <alignment horizontal="center" vertical="center"/>
    </xf>
    <xf numFmtId="3" fontId="13" fillId="0" borderId="9" xfId="5" applyNumberFormat="1" applyFont="1" applyFill="1" applyBorder="1" applyAlignment="1">
      <alignment horizontal="center" vertical="center"/>
    </xf>
    <xf numFmtId="3" fontId="13" fillId="0" borderId="10" xfId="5" applyNumberFormat="1" applyFont="1" applyFill="1" applyBorder="1" applyAlignment="1">
      <alignment horizontal="center" vertical="center"/>
    </xf>
    <xf numFmtId="3" fontId="13" fillId="3" borderId="4" xfId="5" applyNumberFormat="1" applyFont="1" applyFill="1" applyBorder="1" applyAlignment="1">
      <alignment horizontal="center" vertical="center"/>
    </xf>
    <xf numFmtId="3" fontId="13" fillId="3" borderId="5" xfId="5" applyNumberFormat="1" applyFont="1" applyFill="1" applyBorder="1" applyAlignment="1">
      <alignment horizontal="center" vertical="center"/>
    </xf>
    <xf numFmtId="3" fontId="13" fillId="3" borderId="0" xfId="1" applyNumberFormat="1" applyFont="1" applyFill="1" applyBorder="1" applyAlignment="1">
      <alignment horizontal="center" vertical="center"/>
    </xf>
    <xf numFmtId="3" fontId="13" fillId="3" borderId="9" xfId="5" applyNumberFormat="1" applyFont="1" applyFill="1" applyBorder="1" applyAlignment="1">
      <alignment horizontal="center" vertical="center"/>
    </xf>
    <xf numFmtId="3" fontId="13"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4" fillId="4" borderId="10" xfId="2" applyNumberFormat="1" applyFont="1" applyFill="1" applyBorder="1" applyAlignment="1">
      <alignment horizontal="center" vertical="center"/>
    </xf>
    <xf numFmtId="166" fontId="13" fillId="3" borderId="0" xfId="2" applyNumberFormat="1" applyFont="1" applyFill="1" applyBorder="1" applyAlignment="1">
      <alignment horizontal="center" vertical="center"/>
    </xf>
    <xf numFmtId="166" fontId="14" fillId="4" borderId="11" xfId="2" applyNumberFormat="1" applyFont="1" applyFill="1" applyBorder="1" applyAlignment="1">
      <alignment horizontal="center" vertical="center"/>
    </xf>
    <xf numFmtId="166" fontId="13" fillId="3" borderId="3" xfId="2" applyNumberFormat="1" applyFont="1" applyFill="1" applyBorder="1" applyAlignment="1">
      <alignment horizontal="center" vertical="center"/>
    </xf>
    <xf numFmtId="166" fontId="13" fillId="3" borderId="8" xfId="2" applyNumberFormat="1" applyFont="1" applyFill="1" applyBorder="1" applyAlignment="1">
      <alignment horizontal="center" vertical="center"/>
    </xf>
    <xf numFmtId="166" fontId="13"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17" fillId="0" borderId="0" xfId="0" applyNumberFormat="1" applyFont="1" applyAlignment="1">
      <alignment horizontal="center" vertical="center"/>
    </xf>
    <xf numFmtId="166" fontId="14" fillId="4" borderId="0" xfId="2" applyNumberFormat="1" applyFont="1" applyFill="1" applyBorder="1" applyAlignment="1">
      <alignment horizontal="center" vertical="center"/>
    </xf>
    <xf numFmtId="166" fontId="14" fillId="4" borderId="12" xfId="2" applyNumberFormat="1" applyFont="1" applyFill="1" applyBorder="1" applyAlignment="1">
      <alignment horizontal="center" vertical="center"/>
    </xf>
    <xf numFmtId="166" fontId="13" fillId="3" borderId="13" xfId="2" applyNumberFormat="1" applyFont="1" applyFill="1" applyBorder="1" applyAlignment="1">
      <alignment horizontal="center" vertical="center"/>
    </xf>
    <xf numFmtId="166" fontId="13" fillId="3" borderId="14" xfId="2" applyNumberFormat="1" applyFont="1" applyFill="1" applyBorder="1" applyAlignment="1">
      <alignment horizontal="center" vertical="center"/>
    </xf>
    <xf numFmtId="166" fontId="13" fillId="3" borderId="12" xfId="2" applyNumberFormat="1" applyFont="1" applyFill="1" applyBorder="1" applyAlignment="1">
      <alignment horizontal="center" vertical="center"/>
    </xf>
    <xf numFmtId="0" fontId="17" fillId="4" borderId="11" xfId="0" applyFont="1" applyFill="1" applyBorder="1" applyAlignment="1">
      <alignment vertical="center"/>
    </xf>
    <xf numFmtId="0" fontId="17" fillId="0" borderId="8" xfId="0" applyFont="1" applyBorder="1" applyAlignment="1">
      <alignment vertical="center"/>
    </xf>
    <xf numFmtId="166" fontId="11" fillId="4" borderId="6" xfId="2" applyNumberFormat="1" applyFont="1" applyFill="1" applyBorder="1" applyAlignment="1">
      <alignment horizontal="center" vertical="center"/>
    </xf>
    <xf numFmtId="0" fontId="21" fillId="4" borderId="11" xfId="0" applyFont="1" applyFill="1" applyBorder="1" applyAlignment="1">
      <alignment vertical="center"/>
    </xf>
    <xf numFmtId="3" fontId="11" fillId="4" borderId="2" xfId="5" applyNumberFormat="1" applyFont="1" applyFill="1" applyBorder="1" applyAlignment="1">
      <alignment horizontal="center" vertical="center"/>
    </xf>
    <xf numFmtId="3" fontId="14" fillId="4" borderId="0" xfId="5" applyNumberFormat="1" applyFont="1" applyFill="1" applyBorder="1" applyAlignment="1">
      <alignment horizontal="center" vertical="center"/>
    </xf>
    <xf numFmtId="3" fontId="4" fillId="3" borderId="9" xfId="5" applyNumberFormat="1" applyFont="1" applyFill="1" applyBorder="1" applyAlignment="1">
      <alignment horizontal="center" vertical="center"/>
    </xf>
    <xf numFmtId="0" fontId="13" fillId="0" borderId="13" xfId="4" applyFont="1" applyFill="1" applyBorder="1" applyAlignment="1">
      <alignment horizontal="left" vertical="center"/>
    </xf>
    <xf numFmtId="3" fontId="13" fillId="0" borderId="1" xfId="5" applyNumberFormat="1" applyFont="1" applyFill="1" applyBorder="1" applyAlignment="1">
      <alignment horizontal="center" vertical="center"/>
    </xf>
    <xf numFmtId="3" fontId="13" fillId="0" borderId="2" xfId="5" applyNumberFormat="1" applyFont="1" applyFill="1" applyBorder="1" applyAlignment="1">
      <alignment horizontal="center" vertical="center"/>
    </xf>
    <xf numFmtId="166" fontId="13" fillId="0" borderId="15" xfId="2" applyNumberFormat="1" applyFont="1" applyFill="1" applyBorder="1" applyAlignment="1">
      <alignment horizontal="center" vertical="center"/>
    </xf>
    <xf numFmtId="166" fontId="13" fillId="0" borderId="14" xfId="2" applyNumberFormat="1" applyFont="1" applyFill="1" applyBorder="1" applyAlignment="1">
      <alignment horizontal="center" vertical="center"/>
    </xf>
    <xf numFmtId="3" fontId="7" fillId="0" borderId="6" xfId="3" applyNumberFormat="1" applyFont="1" applyBorder="1" applyAlignment="1">
      <alignment horizontal="center" vertical="center"/>
    </xf>
    <xf numFmtId="3" fontId="7" fillId="0" borderId="3" xfId="3" applyNumberFormat="1" applyFont="1" applyBorder="1" applyAlignment="1">
      <alignment horizontal="center" vertical="center"/>
    </xf>
    <xf numFmtId="164" fontId="7" fillId="0" borderId="0" xfId="3" applyNumberFormat="1" applyFont="1" applyAlignment="1">
      <alignment horizontal="center" vertical="center"/>
    </xf>
    <xf numFmtId="4" fontId="7" fillId="0" borderId="8" xfId="3" applyNumberFormat="1" applyFont="1" applyBorder="1" applyAlignment="1">
      <alignment horizontal="center" vertical="center"/>
    </xf>
    <xf numFmtId="3" fontId="7" fillId="0" borderId="5" xfId="3" applyNumberFormat="1" applyFont="1" applyBorder="1" applyAlignment="1">
      <alignment horizontal="center" vertical="center"/>
    </xf>
    <xf numFmtId="0" fontId="13" fillId="0" borderId="15" xfId="4" applyFont="1" applyFill="1" applyBorder="1">
      <alignment horizontal="left"/>
    </xf>
    <xf numFmtId="0" fontId="4" fillId="0" borderId="3" xfId="4" applyFont="1" applyFill="1" applyBorder="1" applyAlignment="1">
      <alignment horizontal="left" vertical="center"/>
    </xf>
    <xf numFmtId="0" fontId="4" fillId="0" borderId="8" xfId="4" applyFont="1" applyFill="1" applyBorder="1" applyAlignment="1">
      <alignment horizontal="left" vertical="center"/>
    </xf>
    <xf numFmtId="0" fontId="13" fillId="0" borderId="6" xfId="4" applyFont="1" applyFill="1" applyBorder="1">
      <alignment horizontal="left"/>
    </xf>
    <xf numFmtId="0" fontId="13" fillId="0" borderId="8" xfId="4" applyFont="1" applyFill="1" applyBorder="1">
      <alignment horizontal="left"/>
    </xf>
    <xf numFmtId="0" fontId="4" fillId="3" borderId="8" xfId="4" applyFont="1" applyBorder="1" applyAlignment="1">
      <alignment horizontal="left" vertical="center"/>
    </xf>
    <xf numFmtId="0" fontId="17" fillId="0" borderId="0" xfId="0" applyFont="1" applyAlignment="1">
      <alignment horizontal="right" vertical="center"/>
    </xf>
    <xf numFmtId="43" fontId="4" fillId="0" borderId="0" xfId="1" applyFont="1" applyFill="1" applyAlignment="1">
      <alignment vertical="center"/>
    </xf>
    <xf numFmtId="0" fontId="6" fillId="0" borderId="0" xfId="3" applyFont="1" applyAlignment="1">
      <alignment vertical="center"/>
    </xf>
    <xf numFmtId="3" fontId="4" fillId="0" borderId="7" xfId="1" applyNumberFormat="1" applyFont="1" applyFill="1" applyBorder="1" applyAlignment="1">
      <alignment horizontal="center" vertical="center"/>
    </xf>
    <xf numFmtId="3" fontId="4" fillId="0" borderId="9" xfId="5"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0" fontId="4" fillId="0" borderId="4" xfId="0" applyFont="1" applyBorder="1" applyAlignment="1">
      <alignment horizontal="center" vertical="center"/>
    </xf>
    <xf numFmtId="3" fontId="4" fillId="0" borderId="0" xfId="0" applyNumberFormat="1" applyFont="1" applyAlignment="1">
      <alignment vertical="center"/>
    </xf>
    <xf numFmtId="0" fontId="4" fillId="0" borderId="0" xfId="0" applyFont="1" applyAlignment="1">
      <alignment vertical="center"/>
    </xf>
    <xf numFmtId="0" fontId="42" fillId="2" borderId="4" xfId="3" applyFont="1" applyFill="1" applyBorder="1" applyAlignment="1">
      <alignment horizontal="center" vertical="center" wrapText="1"/>
    </xf>
    <xf numFmtId="0" fontId="42" fillId="2" borderId="7" xfId="3" applyFont="1" applyFill="1" applyBorder="1" applyAlignment="1">
      <alignment horizontal="center" vertical="center" wrapText="1"/>
    </xf>
    <xf numFmtId="0" fontId="37" fillId="3" borderId="7" xfId="4" applyFont="1" applyBorder="1" applyAlignment="1">
      <alignment horizontal="center" vertical="center" wrapText="1"/>
    </xf>
    <xf numFmtId="3" fontId="42" fillId="2" borderId="7" xfId="3" applyNumberFormat="1" applyFont="1" applyFill="1" applyBorder="1" applyAlignment="1">
      <alignment horizontal="center" vertical="center" wrapText="1"/>
    </xf>
    <xf numFmtId="3" fontId="42" fillId="2" borderId="4" xfId="3" applyNumberFormat="1" applyFont="1" applyFill="1" applyBorder="1" applyAlignment="1">
      <alignment horizontal="center" vertical="center" wrapText="1"/>
    </xf>
    <xf numFmtId="0" fontId="45" fillId="5" borderId="9" xfId="3" applyFont="1" applyFill="1" applyBorder="1" applyAlignment="1">
      <alignment horizontal="left" vertical="center"/>
    </xf>
    <xf numFmtId="2" fontId="42" fillId="0" borderId="1" xfId="3" applyNumberFormat="1" applyFont="1" applyBorder="1" applyAlignment="1">
      <alignment horizontal="center" vertical="center" wrapText="1"/>
    </xf>
    <xf numFmtId="2" fontId="42" fillId="0" borderId="7" xfId="3" applyNumberFormat="1" applyFont="1" applyBorder="1" applyAlignment="1">
      <alignment horizontal="center" vertical="center"/>
    </xf>
    <xf numFmtId="2" fontId="42" fillId="0" borderId="4" xfId="3" applyNumberFormat="1" applyFont="1" applyBorder="1" applyAlignment="1">
      <alignment horizontal="center" vertical="center"/>
    </xf>
    <xf numFmtId="0" fontId="45" fillId="4" borderId="9" xfId="3" applyFont="1" applyFill="1" applyBorder="1" applyAlignment="1">
      <alignment horizontal="center" vertical="center" wrapText="1"/>
    </xf>
    <xf numFmtId="3" fontId="4" fillId="3" borderId="5" xfId="2" applyNumberFormat="1" applyFont="1" applyFill="1" applyBorder="1" applyAlignment="1">
      <alignment horizontal="center" vertical="center"/>
    </xf>
    <xf numFmtId="0" fontId="37"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42"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18" fillId="0" borderId="0" xfId="0" applyFont="1" applyAlignment="1">
      <alignment horizontal="center" vertical="center" wrapText="1"/>
    </xf>
    <xf numFmtId="0" fontId="12" fillId="2" borderId="0" xfId="3" applyFont="1" applyFill="1" applyAlignment="1">
      <alignment horizontal="center" vertical="center"/>
    </xf>
    <xf numFmtId="3" fontId="39"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xf numFmtId="3" fontId="39"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37"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164" fontId="7" fillId="0" borderId="5" xfId="3" applyNumberFormat="1" applyFont="1" applyBorder="1" applyAlignment="1">
      <alignment horizontal="center" vertical="center"/>
    </xf>
    <xf numFmtId="164" fontId="7" fillId="0" borderId="8" xfId="3" applyNumberFormat="1" applyFont="1" applyBorder="1" applyAlignment="1">
      <alignment horizontal="center" vertical="center"/>
    </xf>
    <xf numFmtId="164" fontId="7" fillId="0" borderId="6" xfId="3" applyNumberFormat="1" applyFont="1" applyBorder="1" applyAlignment="1">
      <alignment horizontal="center" vertical="center"/>
    </xf>
    <xf numFmtId="10" fontId="4" fillId="0" borderId="0" xfId="2"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164" fontId="4" fillId="3" borderId="7" xfId="1"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4" fontId="4" fillId="3" borderId="7" xfId="1"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164" fontId="4" fillId="3" borderId="7" xfId="5" applyNumberFormat="1" applyFont="1" applyFill="1" applyBorder="1" applyAlignment="1">
      <alignment horizontal="center" vertical="center"/>
    </xf>
    <xf numFmtId="4" fontId="4" fillId="3" borderId="0" xfId="1"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0" borderId="7" xfId="5" applyNumberFormat="1" applyFont="1" applyFill="1" applyBorder="1" applyAlignment="1">
      <alignment horizontal="center" vertical="center"/>
    </xf>
    <xf numFmtId="164" fontId="4" fillId="0" borderId="0" xfId="5" applyNumberFormat="1" applyFont="1" applyFill="1" applyBorder="1" applyAlignment="1">
      <alignment horizontal="center" vertical="center"/>
    </xf>
    <xf numFmtId="10" fontId="13" fillId="3" borderId="0" xfId="2" applyNumberFormat="1" applyFont="1" applyFill="1" applyBorder="1" applyAlignment="1">
      <alignment horizontal="center" vertical="center"/>
    </xf>
    <xf numFmtId="10" fontId="13" fillId="3" borderId="8" xfId="2" applyNumberFormat="1" applyFont="1" applyFill="1" applyBorder="1" applyAlignment="1">
      <alignment horizontal="center" vertical="center"/>
    </xf>
    <xf numFmtId="169" fontId="13" fillId="3" borderId="8" xfId="2" applyNumberFormat="1" applyFont="1" applyFill="1" applyBorder="1" applyAlignment="1">
      <alignment horizontal="center" vertical="center"/>
    </xf>
    <xf numFmtId="10" fontId="13" fillId="3" borderId="14" xfId="2" applyNumberFormat="1" applyFont="1" applyFill="1" applyBorder="1" applyAlignment="1">
      <alignment horizontal="center" vertical="center"/>
    </xf>
    <xf numFmtId="169" fontId="13" fillId="3" borderId="14" xfId="2" applyNumberFormat="1" applyFont="1" applyFill="1" applyBorder="1" applyAlignment="1">
      <alignment horizontal="center" vertical="center"/>
    </xf>
    <xf numFmtId="4" fontId="4" fillId="0" borderId="4" xfId="5"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10" fontId="13" fillId="0" borderId="14" xfId="2" applyNumberFormat="1" applyFont="1" applyFill="1" applyBorder="1" applyAlignment="1">
      <alignment horizontal="center" vertical="center"/>
    </xf>
    <xf numFmtId="164" fontId="4" fillId="3" borderId="5" xfId="5" applyNumberFormat="1" applyFont="1" applyFill="1" applyBorder="1" applyAlignment="1">
      <alignment horizontal="center" vertical="center"/>
    </xf>
  </cellXfs>
  <cellStyles count="6">
    <cellStyle name="Millares" xfId="1" xr:uid="{00000000-0005-0000-0000-000000000000}"/>
    <cellStyle name="Millares 2 3" xfId="5" xr:uid="{00000000-0005-0000-0000-000001000000}"/>
    <cellStyle name="Normal" xfId="0" builtinId="0"/>
    <cellStyle name="Normal 4 3" xfId="3" xr:uid="{00000000-0005-0000-0000-000003000000}"/>
    <cellStyle name="Porcentaje" xfId="2" xr:uid="{00000000-0005-0000-0000-000004000000}"/>
    <cellStyle name="TEXTO NORMAL" xfId="4" xr:uid="{00000000-0005-0000-0000-00000500000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29804"/>
              </a:srgbClr>
            </a:solidFill>
          </c:spPr>
          <c:invertIfNegative val="1"/>
          <c:dPt>
            <c:idx val="10"/>
            <c:invertIfNegative val="1"/>
            <c:bubble3D val="0"/>
            <c:spPr>
              <a:solidFill>
                <a:srgbClr val="C00000"/>
              </a:solidFill>
            </c:spPr>
            <c:extLst>
              <c:ext xmlns:c16="http://schemas.microsoft.com/office/drawing/2014/chart" uri="{C3380CC4-5D6E-409C-BE32-E72D297353CC}">
                <c16:uniqueId val="{00000001-2451-46D3-9F33-792DADB58AB2}"/>
              </c:ext>
            </c:extLst>
          </c:dPt>
          <c:dLbls>
            <c:dLbl>
              <c:idx val="10"/>
              <c:spPr>
                <a:noFill/>
                <a:ln>
                  <a:noFill/>
                </a:ln>
              </c:spPr>
              <c:txPr>
                <a:bodyPr anchorCtr="1"/>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1-2451-46D3-9F33-792DADB58AB2}"/>
                </c:ext>
              </c:extLst>
            </c:dLbl>
            <c:spPr>
              <a:noFill/>
              <a:ln>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'S01.C01'!$C$27:$C$37</c:f>
              <c:strCache>
                <c:ptCount val="11"/>
                <c:pt idx="0">
                  <c:v>2016</c:v>
                </c:pt>
                <c:pt idx="1">
                  <c:v>2017</c:v>
                </c:pt>
                <c:pt idx="2">
                  <c:v>2018</c:v>
                </c:pt>
                <c:pt idx="3">
                  <c:v>2019</c:v>
                </c:pt>
                <c:pt idx="4">
                  <c:v>2020</c:v>
                </c:pt>
                <c:pt idx="5">
                  <c:v>2021</c:v>
                </c:pt>
                <c:pt idx="6">
                  <c:v>2022</c:v>
                </c:pt>
                <c:pt idx="7">
                  <c:v>2023</c:v>
                </c:pt>
                <c:pt idx="8">
                  <c:v>2024</c:v>
                </c:pt>
                <c:pt idx="9">
                  <c:v>2025</c:v>
                </c:pt>
                <c:pt idx="10">
                  <c:v>2026
(Ene-Jul)
(Jan-Jul)</c:v>
                </c:pt>
              </c:strCache>
            </c:strRef>
          </c:cat>
          <c:val>
            <c:numRef>
              <c:f>'S01.C01'!$Q$27:$Q$37</c:f>
              <c:numCache>
                <c:formatCode>#,##0</c:formatCode>
                <c:ptCount val="11"/>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2765.9945368234012</c:v>
                </c:pt>
                <c:pt idx="10">
                  <c:v>1599.1146273238965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2451-46D3-9F33-792DADB58AB2}"/>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zero"/>
    <c:showDLblsOverMax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64</xdr:row>
      <xdr:rowOff>19050</xdr:rowOff>
    </xdr:from>
    <xdr:to>
      <xdr:col>15</xdr:col>
      <xdr:colOff>542924</xdr:colOff>
      <xdr:row>71</xdr:row>
      <xdr:rowOff>1</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C3:AJ73"/>
  <sheetViews>
    <sheetView showGridLines="0" tabSelected="1" view="pageBreakPreview" zoomScaleNormal="100" zoomScaleSheetLayoutView="100" workbookViewId="0"/>
  </sheetViews>
  <sheetFormatPr baseColWidth="10" defaultColWidth="11.42578125" defaultRowHeight="12.75" x14ac:dyDescent="0.25"/>
  <cols>
    <col min="1" max="2" width="2.7109375" style="2" customWidth="1"/>
    <col min="3" max="3" width="11.42578125" style="36" customWidth="1"/>
    <col min="4" max="4" width="12.42578125" style="2" customWidth="1"/>
    <col min="5" max="5" width="13.28515625" style="2" customWidth="1"/>
    <col min="6" max="16" width="12.42578125" style="2" customWidth="1"/>
    <col min="17" max="17" width="2.42578125" style="8" customWidth="1"/>
    <col min="18" max="18" width="11.42578125" style="2"/>
    <col min="19" max="19" width="12.42578125" style="2" customWidth="1"/>
    <col min="20" max="20" width="14.42578125" style="2" customWidth="1"/>
    <col min="21" max="22" width="12.42578125" style="2" customWidth="1"/>
    <col min="23" max="23" width="11.5703125" style="2" customWidth="1"/>
    <col min="24" max="24" width="13.42578125" style="2" customWidth="1"/>
    <col min="25" max="26" width="11.5703125" style="2" customWidth="1"/>
    <col min="27" max="27" width="11.42578125" style="2"/>
    <col min="28" max="28" width="11.5703125" style="2" customWidth="1"/>
    <col min="29" max="29" width="13.42578125" style="2" customWidth="1"/>
    <col min="30" max="32" width="11.5703125" style="2" customWidth="1"/>
    <col min="33" max="33" width="12.42578125" style="2" customWidth="1"/>
    <col min="34" max="35" width="11.5703125" style="2" customWidth="1"/>
    <col min="36" max="16384" width="11.42578125" style="2"/>
  </cols>
  <sheetData>
    <row r="3" spans="3:17" ht="15.75" customHeight="1" x14ac:dyDescent="0.25">
      <c r="C3" s="213" t="s">
        <v>0</v>
      </c>
      <c r="D3" s="213"/>
      <c r="E3" s="213"/>
      <c r="F3" s="213"/>
      <c r="G3" s="213"/>
      <c r="H3" s="213"/>
      <c r="I3" s="213"/>
      <c r="J3" s="213"/>
      <c r="K3" s="213"/>
      <c r="L3" s="213"/>
      <c r="M3" s="213"/>
      <c r="N3" s="213"/>
      <c r="O3" s="213"/>
      <c r="P3" s="213"/>
      <c r="Q3" s="1"/>
    </row>
    <row r="4" spans="3:17" ht="14.25" customHeight="1" x14ac:dyDescent="0.25">
      <c r="C4" s="214" t="s">
        <v>1</v>
      </c>
      <c r="D4" s="214"/>
      <c r="E4" s="214"/>
      <c r="F4" s="214"/>
      <c r="G4" s="214"/>
      <c r="H4" s="214"/>
      <c r="I4" s="214"/>
      <c r="J4" s="214"/>
      <c r="K4" s="214"/>
      <c r="L4" s="214"/>
      <c r="M4" s="214"/>
      <c r="N4" s="214"/>
      <c r="O4" s="214"/>
      <c r="P4" s="214"/>
      <c r="Q4" s="3"/>
    </row>
    <row r="5" spans="3:17" ht="9" customHeight="1" x14ac:dyDescent="0.25">
      <c r="C5" s="192"/>
      <c r="D5" s="5"/>
      <c r="E5" s="5"/>
      <c r="F5" s="5"/>
      <c r="G5" s="5"/>
      <c r="H5" s="6"/>
      <c r="I5" s="7"/>
      <c r="J5" s="6"/>
      <c r="K5" s="5"/>
      <c r="L5" s="5"/>
      <c r="M5" s="5"/>
      <c r="N5" s="5"/>
      <c r="O5" s="5"/>
      <c r="P5" s="5"/>
    </row>
    <row r="6" spans="3:17" ht="14.45" customHeight="1" x14ac:dyDescent="0.25">
      <c r="C6" s="215" t="s">
        <v>2</v>
      </c>
      <c r="D6" s="215"/>
      <c r="E6" s="215"/>
      <c r="F6" s="215"/>
      <c r="G6" s="215"/>
      <c r="H6" s="215"/>
      <c r="I6" s="215"/>
      <c r="J6" s="215"/>
      <c r="K6" s="215"/>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7"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9">
        <v>2024</v>
      </c>
      <c r="D35" s="20">
        <v>2736237.1072517242</v>
      </c>
      <c r="E35" s="20">
        <v>109624691.96159829</v>
      </c>
      <c r="F35" s="20">
        <v>1270646.954794979</v>
      </c>
      <c r="G35" s="20">
        <v>3512301.3933015401</v>
      </c>
      <c r="H35" s="20">
        <v>291319.62661629292</v>
      </c>
      <c r="I35" s="20">
        <v>13309265.480335999</v>
      </c>
      <c r="J35" s="20">
        <v>32317.234399999998</v>
      </c>
      <c r="K35" s="20">
        <v>41941.797900007798</v>
      </c>
      <c r="L35" s="20">
        <v>32027.784417279996</v>
      </c>
      <c r="M35" s="20">
        <v>265.34277630000003</v>
      </c>
      <c r="N35" s="20">
        <v>317.31784800000003</v>
      </c>
      <c r="O35" s="20">
        <v>24159.249493900003</v>
      </c>
      <c r="P35" s="21">
        <v>40.573911600000002</v>
      </c>
      <c r="Q35" s="22">
        <f t="shared" si="0"/>
        <v>2736.2371072517244</v>
      </c>
      <c r="R35" s="24"/>
      <c r="AB35" s="23"/>
      <c r="AC35" s="23"/>
      <c r="AD35" s="23"/>
      <c r="AE35" s="23"/>
      <c r="AF35" s="23"/>
      <c r="AG35" s="23"/>
      <c r="AH35" s="23"/>
      <c r="AI35" s="23"/>
    </row>
    <row r="36" spans="3:35" s="198" customFormat="1" x14ac:dyDescent="0.25">
      <c r="C36" s="196">
        <v>2025</v>
      </c>
      <c r="D36" s="20">
        <v>2765994.5368234012</v>
      </c>
      <c r="E36" s="20">
        <v>109952906.89542851</v>
      </c>
      <c r="F36" s="20">
        <v>1510132.3151698592</v>
      </c>
      <c r="G36" s="20">
        <v>3759378.3093358874</v>
      </c>
      <c r="H36" s="20">
        <v>316316.95088795654</v>
      </c>
      <c r="I36" s="20">
        <v>11892474.643507</v>
      </c>
      <c r="J36" s="20">
        <v>33816.1850402415</v>
      </c>
      <c r="K36" s="20">
        <v>38009.426948576402</v>
      </c>
      <c r="L36" s="20">
        <v>28040.647536211498</v>
      </c>
      <c r="M36" s="20">
        <v>283.76478212150005</v>
      </c>
      <c r="N36" s="20">
        <v>311.76211124150007</v>
      </c>
      <c r="O36" s="20">
        <v>39204.828695041506</v>
      </c>
      <c r="P36" s="179">
        <v>35.5320762415</v>
      </c>
      <c r="Q36" s="22">
        <f t="shared" si="0"/>
        <v>2765.9945368234012</v>
      </c>
      <c r="R36" s="197"/>
      <c r="AB36" s="191"/>
      <c r="AC36" s="191"/>
      <c r="AD36" s="191"/>
      <c r="AE36" s="191"/>
      <c r="AF36" s="191"/>
      <c r="AG36" s="191"/>
      <c r="AH36" s="191"/>
      <c r="AI36" s="191"/>
    </row>
    <row r="37" spans="3:35" ht="36.75" x14ac:dyDescent="0.25">
      <c r="C37" s="208" t="s">
        <v>144</v>
      </c>
      <c r="D37" s="25">
        <f t="shared" ref="D37:P37" si="1">SUM(D38:D44)</f>
        <v>1599114.6273238964</v>
      </c>
      <c r="E37" s="25">
        <f t="shared" si="1"/>
        <v>58302799.220120564</v>
      </c>
      <c r="F37" s="25">
        <f t="shared" si="1"/>
        <v>746053.50504866615</v>
      </c>
      <c r="G37" s="25">
        <f t="shared" si="1"/>
        <v>2051671.2285484239</v>
      </c>
      <c r="H37" s="25">
        <f t="shared" si="1"/>
        <v>165375.35404773499</v>
      </c>
      <c r="I37" s="25">
        <f t="shared" si="1"/>
        <v>8195647.5473280009</v>
      </c>
      <c r="J37" s="25">
        <f t="shared" si="1"/>
        <v>20745.130567</v>
      </c>
      <c r="K37" s="25">
        <f t="shared" si="1"/>
        <v>22384.038452193399</v>
      </c>
      <c r="L37" s="25">
        <f t="shared" si="1"/>
        <v>15178.435844199999</v>
      </c>
      <c r="M37" s="25">
        <f t="shared" si="1"/>
        <v>166.61116559999999</v>
      </c>
      <c r="N37" s="25">
        <f t="shared" si="1"/>
        <v>163.21463399999999</v>
      </c>
      <c r="O37" s="25">
        <f t="shared" si="1"/>
        <v>23884.367795300001</v>
      </c>
      <c r="P37" s="25">
        <f t="shared" si="1"/>
        <v>30.387711000000003</v>
      </c>
      <c r="Q37" s="22">
        <f t="shared" si="0"/>
        <v>1599.1146273238965</v>
      </c>
      <c r="R37" s="24"/>
      <c r="AB37" s="23"/>
      <c r="AC37" s="23"/>
      <c r="AD37" s="23"/>
      <c r="AE37" s="23"/>
      <c r="AF37" s="23"/>
      <c r="AG37" s="23"/>
      <c r="AH37" s="23"/>
      <c r="AI37" s="23"/>
    </row>
    <row r="38" spans="3:35" x14ac:dyDescent="0.25">
      <c r="C38" s="205" t="s">
        <v>22</v>
      </c>
      <c r="D38" s="20">
        <v>226465.13532835097</v>
      </c>
      <c r="E38" s="20">
        <v>8854678.9160302784</v>
      </c>
      <c r="F38" s="20">
        <v>107018.13228034819</v>
      </c>
      <c r="G38" s="20">
        <v>288167.58423592697</v>
      </c>
      <c r="H38" s="20">
        <v>22788.222500706997</v>
      </c>
      <c r="I38" s="20">
        <v>1175604.6615900001</v>
      </c>
      <c r="J38" s="20">
        <v>2638.101392</v>
      </c>
      <c r="K38" s="20">
        <v>3100.2304261199997</v>
      </c>
      <c r="L38" s="20">
        <v>1688.6074727999996</v>
      </c>
      <c r="M38" s="181">
        <v>17.800156399999999</v>
      </c>
      <c r="N38" s="181">
        <v>26.551486000000001</v>
      </c>
      <c r="O38" s="20">
        <v>3476.3602592999996</v>
      </c>
      <c r="P38" s="182">
        <v>3.9908700000000001</v>
      </c>
      <c r="Q38" s="26">
        <v>11138766.849174995</v>
      </c>
      <c r="T38" s="27"/>
      <c r="U38" s="27"/>
      <c r="V38" s="27"/>
      <c r="W38" s="27"/>
      <c r="X38" s="27"/>
      <c r="Y38" s="27"/>
      <c r="Z38" s="27"/>
      <c r="AA38" s="27"/>
      <c r="AB38" s="23"/>
      <c r="AC38" s="23"/>
      <c r="AD38" s="23"/>
      <c r="AE38" s="23"/>
      <c r="AF38" s="23"/>
      <c r="AG38" s="23"/>
      <c r="AH38" s="23"/>
      <c r="AI38" s="23"/>
    </row>
    <row r="39" spans="3:35" x14ac:dyDescent="0.25">
      <c r="C39" s="206" t="s">
        <v>23</v>
      </c>
      <c r="D39" s="20">
        <v>223285.27726754191</v>
      </c>
      <c r="E39" s="20">
        <v>7486935.5034139687</v>
      </c>
      <c r="F39" s="20">
        <v>108417.09502581699</v>
      </c>
      <c r="G39" s="20">
        <v>289956.75850244495</v>
      </c>
      <c r="H39" s="20">
        <v>21536.775960890009</v>
      </c>
      <c r="I39" s="20">
        <v>1138826.6746080001</v>
      </c>
      <c r="J39" s="20">
        <v>2611.0019500000003</v>
      </c>
      <c r="K39" s="20">
        <v>3116.1079425219996</v>
      </c>
      <c r="L39" s="20">
        <v>2087.2887541999999</v>
      </c>
      <c r="M39" s="181">
        <v>18.494443</v>
      </c>
      <c r="N39" s="181">
        <v>22.429242000000002</v>
      </c>
      <c r="O39" s="20">
        <v>3321.9614590000001</v>
      </c>
      <c r="P39" s="182">
        <v>4.047072</v>
      </c>
      <c r="Q39" s="26"/>
      <c r="T39" s="27"/>
      <c r="U39" s="27"/>
      <c r="V39" s="27"/>
      <c r="W39" s="27"/>
      <c r="X39" s="27"/>
      <c r="Y39" s="27"/>
      <c r="Z39" s="27"/>
      <c r="AA39" s="27"/>
      <c r="AB39" s="23"/>
      <c r="AC39" s="23"/>
      <c r="AD39" s="23"/>
      <c r="AE39" s="23"/>
      <c r="AF39" s="23"/>
      <c r="AG39" s="23"/>
      <c r="AH39" s="23"/>
      <c r="AI39" s="23"/>
    </row>
    <row r="40" spans="3:35" x14ac:dyDescent="0.25">
      <c r="C40" s="28" t="s">
        <v>24</v>
      </c>
      <c r="D40" s="20">
        <v>238463.97373834343</v>
      </c>
      <c r="E40" s="20">
        <v>8647862.0769819953</v>
      </c>
      <c r="F40" s="20">
        <v>112647.478523602</v>
      </c>
      <c r="G40" s="20">
        <v>303515.09163658979</v>
      </c>
      <c r="H40" s="20">
        <v>23836.885576989011</v>
      </c>
      <c r="I40" s="20">
        <v>1254443.352592</v>
      </c>
      <c r="J40" s="20">
        <v>2743.6943419999998</v>
      </c>
      <c r="K40" s="20">
        <v>3507.1413508700002</v>
      </c>
      <c r="L40" s="20">
        <v>1923.9981766000001</v>
      </c>
      <c r="M40" s="181">
        <v>24.4855892</v>
      </c>
      <c r="N40" s="181">
        <v>22.518574000000001</v>
      </c>
      <c r="O40" s="20">
        <v>3189.6974124000003</v>
      </c>
      <c r="P40" s="233">
        <v>5.5070579999999998</v>
      </c>
      <c r="Q40" s="26"/>
      <c r="T40" s="27"/>
      <c r="U40" s="27"/>
      <c r="V40" s="27"/>
      <c r="W40" s="27"/>
      <c r="X40" s="27"/>
      <c r="Y40" s="27"/>
      <c r="Z40" s="27"/>
      <c r="AA40" s="27"/>
      <c r="AB40" s="23"/>
      <c r="AC40" s="23"/>
      <c r="AD40" s="23"/>
      <c r="AE40" s="23"/>
      <c r="AF40" s="23"/>
      <c r="AG40" s="23"/>
      <c r="AH40" s="23"/>
      <c r="AI40" s="23"/>
    </row>
    <row r="41" spans="3:35" x14ac:dyDescent="0.25">
      <c r="C41" s="28" t="s">
        <v>25</v>
      </c>
      <c r="D41" s="20">
        <v>230069.22009788002</v>
      </c>
      <c r="E41" s="20">
        <v>8516107.9898368828</v>
      </c>
      <c r="F41" s="20">
        <v>109969.57998020601</v>
      </c>
      <c r="G41" s="20">
        <v>305270.79588996101</v>
      </c>
      <c r="H41" s="20">
        <v>23631.853880305993</v>
      </c>
      <c r="I41" s="20">
        <v>1114153.7374539999</v>
      </c>
      <c r="J41" s="20">
        <v>3064.913102</v>
      </c>
      <c r="K41" s="20">
        <v>3178.84068884</v>
      </c>
      <c r="L41" s="20">
        <v>2173.9089795999998</v>
      </c>
      <c r="M41" s="181">
        <v>25.714176999999999</v>
      </c>
      <c r="N41" s="181">
        <v>22.187384000000002</v>
      </c>
      <c r="O41" s="20">
        <v>4010.9459781999999</v>
      </c>
      <c r="P41" s="233">
        <v>4.3102679999999998</v>
      </c>
      <c r="Q41" s="26"/>
      <c r="T41" s="27"/>
      <c r="U41" s="27"/>
      <c r="V41" s="27"/>
      <c r="W41" s="27"/>
      <c r="X41" s="27"/>
      <c r="Y41" s="27"/>
      <c r="Z41" s="27"/>
      <c r="AA41" s="27"/>
      <c r="AB41" s="23"/>
      <c r="AC41" s="23"/>
      <c r="AD41" s="23"/>
      <c r="AE41" s="23"/>
      <c r="AF41" s="23"/>
      <c r="AG41" s="23"/>
      <c r="AH41" s="23"/>
      <c r="AI41" s="23"/>
    </row>
    <row r="42" spans="3:35" x14ac:dyDescent="0.25">
      <c r="C42" s="206" t="s">
        <v>140</v>
      </c>
      <c r="D42" s="20">
        <v>226083.84848298298</v>
      </c>
      <c r="E42" s="20">
        <v>8406686.3624021597</v>
      </c>
      <c r="F42" s="20">
        <v>104727.58935069098</v>
      </c>
      <c r="G42" s="20">
        <v>279548.38802998757</v>
      </c>
      <c r="H42" s="20">
        <v>23262.244831822001</v>
      </c>
      <c r="I42" s="20">
        <v>1240371.767396</v>
      </c>
      <c r="J42" s="20">
        <v>3301.3702799999996</v>
      </c>
      <c r="K42" s="20">
        <v>2845.6354515879998</v>
      </c>
      <c r="L42" s="20">
        <v>1988.2823851000003</v>
      </c>
      <c r="M42" s="181">
        <v>28.570499000000002</v>
      </c>
      <c r="N42" s="181">
        <v>21.732047000000001</v>
      </c>
      <c r="O42" s="20">
        <v>3105.3971604000008</v>
      </c>
      <c r="P42" s="233">
        <v>3.9205589999999999</v>
      </c>
      <c r="Q42" s="26"/>
      <c r="T42" s="27"/>
      <c r="U42" s="27"/>
      <c r="V42" s="27"/>
      <c r="W42" s="27"/>
      <c r="X42" s="27"/>
      <c r="Y42" s="27"/>
      <c r="Z42" s="27"/>
      <c r="AA42" s="27"/>
      <c r="AB42" s="23"/>
      <c r="AC42" s="23"/>
      <c r="AD42" s="23"/>
      <c r="AE42" s="23"/>
      <c r="AF42" s="23"/>
      <c r="AG42" s="23"/>
      <c r="AH42" s="23"/>
      <c r="AI42" s="23"/>
    </row>
    <row r="43" spans="3:35" x14ac:dyDescent="0.25">
      <c r="C43" s="206" t="s">
        <v>141</v>
      </c>
      <c r="D43" s="20">
        <v>218232.08372879706</v>
      </c>
      <c r="E43" s="20">
        <v>7941508.7744702762</v>
      </c>
      <c r="F43" s="20">
        <v>101132.97571300203</v>
      </c>
      <c r="G43" s="20">
        <v>282494.02233459521</v>
      </c>
      <c r="H43" s="20">
        <v>24196.878218021004</v>
      </c>
      <c r="I43" s="20">
        <v>1205876.703828</v>
      </c>
      <c r="J43" s="20">
        <v>3155.2792760000002</v>
      </c>
      <c r="K43" s="20">
        <v>3029.2893922533999</v>
      </c>
      <c r="L43" s="20">
        <v>3039.2595268999999</v>
      </c>
      <c r="M43" s="181">
        <v>27.428760999999998</v>
      </c>
      <c r="N43" s="181">
        <v>26.299002999999999</v>
      </c>
      <c r="O43" s="20">
        <v>3319.0097819999996</v>
      </c>
      <c r="P43" s="233">
        <v>5.3677859999999997</v>
      </c>
      <c r="Q43" s="26"/>
      <c r="T43" s="27"/>
      <c r="U43" s="27"/>
      <c r="V43" s="27"/>
      <c r="W43" s="27"/>
      <c r="X43" s="27"/>
      <c r="Y43" s="27"/>
      <c r="Z43" s="27"/>
      <c r="AA43" s="27"/>
      <c r="AB43" s="23"/>
      <c r="AC43" s="23"/>
      <c r="AD43" s="23"/>
      <c r="AE43" s="23"/>
      <c r="AF43" s="23"/>
      <c r="AG43" s="23"/>
      <c r="AH43" s="23"/>
      <c r="AI43" s="23"/>
    </row>
    <row r="44" spans="3:35" x14ac:dyDescent="0.25">
      <c r="C44" s="207" t="s">
        <v>142</v>
      </c>
      <c r="D44" s="183">
        <v>236515.08868000004</v>
      </c>
      <c r="E44" s="183">
        <v>8449019.5969850011</v>
      </c>
      <c r="F44" s="183">
        <v>102140.65417500002</v>
      </c>
      <c r="G44" s="183">
        <v>302718.58791891823</v>
      </c>
      <c r="H44" s="183">
        <v>26122.493078999989</v>
      </c>
      <c r="I44" s="183">
        <v>1066370.64986</v>
      </c>
      <c r="J44" s="183">
        <v>3230.7702250000002</v>
      </c>
      <c r="K44" s="183">
        <v>3606.7932000000001</v>
      </c>
      <c r="L44" s="183">
        <v>2277.090549</v>
      </c>
      <c r="M44" s="232">
        <v>24.117539999999998</v>
      </c>
      <c r="N44" s="232">
        <v>21.496898000000002</v>
      </c>
      <c r="O44" s="183">
        <v>3460.9957440000003</v>
      </c>
      <c r="P44" s="234">
        <v>3.2440980000000001</v>
      </c>
      <c r="Q44" s="26"/>
      <c r="T44" s="27"/>
      <c r="U44" s="27"/>
      <c r="V44" s="27"/>
      <c r="W44" s="27"/>
      <c r="X44" s="27"/>
      <c r="Y44" s="27"/>
      <c r="Z44" s="27"/>
      <c r="AA44" s="27"/>
      <c r="AB44" s="23"/>
      <c r="AC44" s="23"/>
      <c r="AD44" s="23"/>
      <c r="AE44" s="23"/>
      <c r="AF44" s="23"/>
      <c r="AG44" s="23"/>
      <c r="AH44" s="23"/>
      <c r="AI44" s="23"/>
    </row>
    <row r="45" spans="3:35" x14ac:dyDescent="0.25">
      <c r="C45" s="28"/>
      <c r="D45" s="20"/>
      <c r="E45" s="20"/>
      <c r="F45" s="20"/>
      <c r="G45" s="20"/>
      <c r="H45" s="20"/>
      <c r="I45" s="20"/>
      <c r="J45" s="20"/>
      <c r="K45" s="20"/>
      <c r="L45" s="20"/>
      <c r="M45" s="181"/>
      <c r="N45" s="20"/>
      <c r="O45" s="20"/>
      <c r="P45" s="182"/>
      <c r="Q45" s="26"/>
      <c r="T45" s="27"/>
      <c r="U45" s="27"/>
      <c r="V45" s="27"/>
      <c r="W45" s="27"/>
      <c r="X45" s="27"/>
      <c r="Y45" s="27"/>
      <c r="Z45" s="27"/>
      <c r="AA45" s="27"/>
      <c r="AB45" s="23"/>
      <c r="AC45" s="23"/>
      <c r="AD45" s="23"/>
      <c r="AE45" s="23"/>
      <c r="AF45" s="23"/>
      <c r="AG45" s="23"/>
      <c r="AH45" s="23"/>
      <c r="AI45" s="23"/>
    </row>
    <row r="46" spans="3:35" x14ac:dyDescent="0.25">
      <c r="C46" s="204" t="s">
        <v>139</v>
      </c>
      <c r="D46" s="33"/>
      <c r="E46" s="33"/>
      <c r="F46" s="34"/>
      <c r="G46" s="33"/>
      <c r="H46" s="33"/>
      <c r="I46" s="33"/>
      <c r="J46" s="33"/>
      <c r="K46" s="33"/>
      <c r="L46" s="33"/>
      <c r="M46" s="33"/>
      <c r="N46" s="33"/>
      <c r="O46" s="33"/>
      <c r="P46" s="35"/>
      <c r="R46" s="24"/>
      <c r="S46" s="36"/>
    </row>
    <row r="47" spans="3:35" ht="24" x14ac:dyDescent="0.25">
      <c r="C47" s="200" t="s">
        <v>133</v>
      </c>
      <c r="D47" s="20">
        <v>228180.46886820658</v>
      </c>
      <c r="E47" s="20">
        <v>9286589.3074801657</v>
      </c>
      <c r="F47" s="20">
        <v>131258.66800095557</v>
      </c>
      <c r="G47" s="20">
        <v>301304.84401216079</v>
      </c>
      <c r="H47" s="20">
        <v>26804.970046064802</v>
      </c>
      <c r="I47" s="20">
        <v>1040961.796982</v>
      </c>
      <c r="J47" s="20">
        <v>3033.0752000000002</v>
      </c>
      <c r="K47" s="20">
        <v>3136.82096976</v>
      </c>
      <c r="L47" s="20">
        <v>2570.5636898000002</v>
      </c>
      <c r="M47" s="20">
        <v>24.658781080000001</v>
      </c>
      <c r="N47" s="20">
        <v>27.761948999999998</v>
      </c>
      <c r="O47" s="20">
        <v>3634.8462650000006</v>
      </c>
      <c r="P47" s="21">
        <v>3.8380540000000001</v>
      </c>
      <c r="R47" s="24"/>
      <c r="S47" s="36"/>
    </row>
    <row r="48" spans="3:35" ht="24" x14ac:dyDescent="0.25">
      <c r="C48" s="199" t="s">
        <v>134</v>
      </c>
      <c r="D48" s="20">
        <v>236515.08868000004</v>
      </c>
      <c r="E48" s="20">
        <v>8449019.5969850011</v>
      </c>
      <c r="F48" s="20">
        <v>102140.65417500002</v>
      </c>
      <c r="G48" s="20">
        <v>302718.58791891823</v>
      </c>
      <c r="H48" s="20">
        <v>26122.493078999989</v>
      </c>
      <c r="I48" s="20">
        <v>1066370.64986</v>
      </c>
      <c r="J48" s="20">
        <v>3230.7702250000002</v>
      </c>
      <c r="K48" s="20">
        <v>3606.7932000000001</v>
      </c>
      <c r="L48" s="20">
        <v>2277.090549</v>
      </c>
      <c r="M48" s="20">
        <v>24.117539999999998</v>
      </c>
      <c r="N48" s="20">
        <v>21.496898000000002</v>
      </c>
      <c r="O48" s="20">
        <v>3460.9957440000003</v>
      </c>
      <c r="P48" s="179">
        <v>3.2440980000000001</v>
      </c>
      <c r="Q48" s="37"/>
      <c r="R48" s="24"/>
      <c r="S48" s="23"/>
      <c r="T48" s="23"/>
      <c r="U48" s="23"/>
      <c r="V48" s="23"/>
      <c r="W48" s="23"/>
      <c r="X48" s="23"/>
      <c r="Y48" s="23"/>
      <c r="Z48" s="23"/>
    </row>
    <row r="49" spans="3:35" x14ac:dyDescent="0.25">
      <c r="C49" s="38" t="s">
        <v>26</v>
      </c>
      <c r="D49" s="39">
        <f t="shared" ref="D49:P49" si="2">+D48/D47-1</f>
        <v>3.6526438275518824E-2</v>
      </c>
      <c r="E49" s="39">
        <f>+E48/E47-1</f>
        <v>-9.0191315967910746E-2</v>
      </c>
      <c r="F49" s="40">
        <f>+F48/F47-1</f>
        <v>-0.22183688338010232</v>
      </c>
      <c r="G49" s="40">
        <f>+G48/G47-1</f>
        <v>4.6920716173430854E-3</v>
      </c>
      <c r="H49" s="40">
        <f t="shared" si="2"/>
        <v>-2.5460836773626871E-2</v>
      </c>
      <c r="I49" s="40">
        <f t="shared" si="2"/>
        <v>2.4409015731092554E-2</v>
      </c>
      <c r="J49" s="39">
        <f t="shared" si="2"/>
        <v>6.5179730789398205E-2</v>
      </c>
      <c r="K49" s="39">
        <f t="shared" si="2"/>
        <v>0.14982437148013505</v>
      </c>
      <c r="L49" s="39">
        <f t="shared" si="2"/>
        <v>-0.11416684284637724</v>
      </c>
      <c r="M49" s="39">
        <f t="shared" si="2"/>
        <v>-2.1949222804000912E-2</v>
      </c>
      <c r="N49" s="39">
        <f t="shared" si="2"/>
        <v>-0.22567043113579655</v>
      </c>
      <c r="O49" s="39">
        <f t="shared" si="2"/>
        <v>-4.7828851160504393E-2</v>
      </c>
      <c r="P49" s="41">
        <f t="shared" si="2"/>
        <v>-0.15475446671672677</v>
      </c>
      <c r="R49" s="24"/>
      <c r="S49" s="23"/>
      <c r="T49" s="23"/>
      <c r="U49" s="23"/>
      <c r="V49" s="23"/>
      <c r="W49" s="23"/>
      <c r="X49" s="23"/>
      <c r="Y49" s="23"/>
      <c r="Z49" s="23"/>
    </row>
    <row r="50" spans="3:35" x14ac:dyDescent="0.25">
      <c r="C50" s="31"/>
      <c r="D50" s="29"/>
      <c r="E50" s="29"/>
      <c r="F50" s="29"/>
      <c r="G50" s="29"/>
      <c r="H50" s="29"/>
      <c r="I50" s="29"/>
      <c r="J50" s="29"/>
      <c r="K50" s="29"/>
      <c r="L50" s="29"/>
      <c r="M50" s="29"/>
      <c r="N50" s="29"/>
      <c r="O50" s="29"/>
      <c r="P50" s="30"/>
      <c r="Q50" s="26"/>
      <c r="T50" s="27"/>
      <c r="U50" s="27"/>
      <c r="V50" s="27"/>
      <c r="W50" s="27"/>
      <c r="X50" s="27"/>
      <c r="Y50" s="27"/>
      <c r="Z50" s="27"/>
      <c r="AA50" s="27"/>
      <c r="AB50" s="23"/>
      <c r="AC50" s="23"/>
      <c r="AD50" s="23"/>
      <c r="AE50" s="23"/>
      <c r="AF50" s="23"/>
      <c r="AG50" s="23"/>
      <c r="AH50" s="23"/>
      <c r="AI50" s="23"/>
    </row>
    <row r="51" spans="3:35" x14ac:dyDescent="0.25">
      <c r="C51" s="204" t="s">
        <v>138</v>
      </c>
      <c r="D51" s="33"/>
      <c r="E51" s="33"/>
      <c r="F51" s="34"/>
      <c r="G51" s="33"/>
      <c r="H51" s="33"/>
      <c r="I51" s="33"/>
      <c r="J51" s="33"/>
      <c r="K51" s="33"/>
      <c r="L51" s="33"/>
      <c r="M51" s="33"/>
      <c r="N51" s="33"/>
      <c r="O51" s="33"/>
      <c r="P51" s="35"/>
      <c r="R51" s="24"/>
      <c r="S51" s="23"/>
      <c r="T51" s="23"/>
      <c r="U51" s="23"/>
      <c r="V51" s="23"/>
      <c r="W51" s="23"/>
      <c r="X51" s="23"/>
      <c r="Y51" s="23"/>
      <c r="Z51" s="23"/>
    </row>
    <row r="52" spans="3:35" ht="24" x14ac:dyDescent="0.25">
      <c r="C52" s="201" t="s">
        <v>135</v>
      </c>
      <c r="D52" s="20">
        <v>1565092.1184596838</v>
      </c>
      <c r="E52" s="20">
        <v>62264167.215438105</v>
      </c>
      <c r="F52" s="20">
        <v>847942.91200161166</v>
      </c>
      <c r="G52" s="20">
        <v>2102663.7178525673</v>
      </c>
      <c r="H52" s="20">
        <v>180178.03668610088</v>
      </c>
      <c r="I52" s="20">
        <v>6092975.9230459994</v>
      </c>
      <c r="J52" s="20">
        <v>19479.14014</v>
      </c>
      <c r="K52" s="20">
        <v>22794.191209574899</v>
      </c>
      <c r="L52" s="20">
        <v>16256.438501799999</v>
      </c>
      <c r="M52" s="20">
        <v>151.99251388000002</v>
      </c>
      <c r="N52" s="20">
        <v>194.26823600000003</v>
      </c>
      <c r="O52" s="20">
        <v>20858.642326800004</v>
      </c>
      <c r="P52" s="180">
        <v>21.336172000000001</v>
      </c>
      <c r="R52" s="24"/>
      <c r="S52" s="23"/>
      <c r="T52" s="23"/>
      <c r="U52" s="23"/>
      <c r="V52" s="23"/>
      <c r="W52" s="23"/>
      <c r="X52" s="23"/>
      <c r="Y52" s="23"/>
      <c r="Z52" s="23"/>
    </row>
    <row r="53" spans="3:35" ht="24" x14ac:dyDescent="0.25">
      <c r="C53" s="201" t="s">
        <v>136</v>
      </c>
      <c r="D53" s="20">
        <v>1599114.6273238964</v>
      </c>
      <c r="E53" s="20">
        <v>58302799.220120564</v>
      </c>
      <c r="F53" s="20">
        <v>746053.50504866615</v>
      </c>
      <c r="G53" s="20">
        <v>2051671.2285484239</v>
      </c>
      <c r="H53" s="20">
        <v>165375.35404773499</v>
      </c>
      <c r="I53" s="20">
        <v>8195647.5473280009</v>
      </c>
      <c r="J53" s="20">
        <v>20745.130567</v>
      </c>
      <c r="K53" s="20">
        <v>22384.038452193399</v>
      </c>
      <c r="L53" s="20">
        <v>15178.435844199999</v>
      </c>
      <c r="M53" s="20">
        <v>166.61116559999999</v>
      </c>
      <c r="N53" s="20">
        <v>163.21463399999999</v>
      </c>
      <c r="O53" s="20">
        <v>23884.367795300001</v>
      </c>
      <c r="P53" s="179">
        <v>30.387711000000003</v>
      </c>
      <c r="R53" s="24"/>
      <c r="S53" s="23"/>
      <c r="T53" s="23"/>
      <c r="U53" s="23"/>
      <c r="V53" s="23"/>
      <c r="W53" s="23"/>
      <c r="X53" s="23"/>
      <c r="Y53" s="23"/>
      <c r="Z53" s="23"/>
    </row>
    <row r="54" spans="3:35" x14ac:dyDescent="0.25">
      <c r="C54" s="42" t="s">
        <v>26</v>
      </c>
      <c r="D54" s="43">
        <f t="shared" ref="D54:P54" si="3">+D53/D52-1</f>
        <v>2.1738342723044646E-2</v>
      </c>
      <c r="E54" s="44">
        <f t="shared" si="3"/>
        <v>-6.3621954206999121E-2</v>
      </c>
      <c r="F54" s="43">
        <f t="shared" si="3"/>
        <v>-0.12016069184708489</v>
      </c>
      <c r="G54" s="43">
        <f t="shared" si="3"/>
        <v>-2.4251376418965243E-2</v>
      </c>
      <c r="H54" s="43">
        <f t="shared" si="3"/>
        <v>-8.2155866001329292E-2</v>
      </c>
      <c r="I54" s="44">
        <f t="shared" si="3"/>
        <v>0.34509764207813154</v>
      </c>
      <c r="J54" s="44">
        <f t="shared" si="3"/>
        <v>6.4992110426903116E-2</v>
      </c>
      <c r="K54" s="44">
        <f t="shared" si="3"/>
        <v>-1.799374031789347E-2</v>
      </c>
      <c r="L54" s="44">
        <f t="shared" si="3"/>
        <v>-6.6312351102034928E-2</v>
      </c>
      <c r="M54" s="44">
        <f>+M53/M52-1</f>
        <v>9.618007720789179E-2</v>
      </c>
      <c r="N54" s="43">
        <f>+N53/N52-1</f>
        <v>-0.15984909648327705</v>
      </c>
      <c r="O54" s="43">
        <f>+O53/O52-1</f>
        <v>0.14505860070348042</v>
      </c>
      <c r="P54" s="45">
        <f t="shared" si="3"/>
        <v>0.42423444092970386</v>
      </c>
      <c r="R54" s="24"/>
      <c r="S54" s="23"/>
      <c r="T54" s="23"/>
      <c r="U54" s="23"/>
      <c r="V54" s="23"/>
      <c r="W54" s="23"/>
      <c r="X54" s="23"/>
      <c r="Y54" s="23"/>
      <c r="Z54" s="23"/>
    </row>
    <row r="55" spans="3:35" x14ac:dyDescent="0.25">
      <c r="C55" s="31"/>
      <c r="D55" s="29"/>
      <c r="E55" s="29"/>
      <c r="F55" s="29"/>
      <c r="G55" s="29"/>
      <c r="H55" s="29"/>
      <c r="I55" s="29"/>
      <c r="J55" s="29"/>
      <c r="K55" s="29"/>
      <c r="L55" s="29"/>
      <c r="M55" s="29"/>
      <c r="N55" s="29"/>
      <c r="O55" s="29"/>
      <c r="P55" s="30"/>
      <c r="Q55" s="26"/>
      <c r="T55" s="27"/>
      <c r="U55" s="27"/>
      <c r="V55" s="27"/>
      <c r="W55" s="27"/>
      <c r="X55" s="27"/>
      <c r="Y55" s="27"/>
      <c r="Z55" s="27"/>
      <c r="AA55" s="27"/>
      <c r="AB55" s="23"/>
      <c r="AC55" s="23"/>
      <c r="AD55" s="23"/>
      <c r="AE55" s="23"/>
      <c r="AF55" s="23"/>
      <c r="AG55" s="23"/>
      <c r="AH55" s="23"/>
      <c r="AI55" s="23"/>
    </row>
    <row r="56" spans="3:35" x14ac:dyDescent="0.25">
      <c r="C56" s="32" t="s">
        <v>27</v>
      </c>
      <c r="D56" s="33"/>
      <c r="E56" s="33"/>
      <c r="F56" s="34"/>
      <c r="G56" s="33"/>
      <c r="H56" s="33"/>
      <c r="I56" s="33"/>
      <c r="J56" s="33"/>
      <c r="K56" s="33"/>
      <c r="L56" s="33"/>
      <c r="M56" s="33"/>
      <c r="N56" s="33"/>
      <c r="O56" s="33"/>
      <c r="P56" s="35"/>
      <c r="Q56" s="26"/>
      <c r="T56" s="27"/>
      <c r="U56" s="27"/>
      <c r="V56" s="27"/>
      <c r="W56" s="27"/>
      <c r="X56" s="27"/>
      <c r="Y56" s="27"/>
      <c r="Z56" s="27"/>
      <c r="AA56" s="27"/>
      <c r="AB56" s="23"/>
      <c r="AC56" s="23"/>
      <c r="AD56" s="23"/>
      <c r="AE56" s="23"/>
      <c r="AF56" s="23"/>
      <c r="AG56" s="23"/>
      <c r="AH56" s="23"/>
      <c r="AI56" s="23"/>
    </row>
    <row r="57" spans="3:35" ht="24" x14ac:dyDescent="0.25">
      <c r="C57" s="202" t="s">
        <v>137</v>
      </c>
      <c r="D57" s="20">
        <v>218232.08372879706</v>
      </c>
      <c r="E57" s="20">
        <v>7941508.7744702762</v>
      </c>
      <c r="F57" s="20">
        <v>101132.97571300203</v>
      </c>
      <c r="G57" s="20">
        <v>282494.02233459521</v>
      </c>
      <c r="H57" s="20">
        <v>24196.878218021004</v>
      </c>
      <c r="I57" s="20">
        <v>1205876.703828</v>
      </c>
      <c r="J57" s="20">
        <v>3155.2792760000002</v>
      </c>
      <c r="K57" s="20">
        <v>3029.2893922533999</v>
      </c>
      <c r="L57" s="20">
        <v>3039.2595268999999</v>
      </c>
      <c r="M57" s="20">
        <v>27.428760999999998</v>
      </c>
      <c r="N57" s="20">
        <v>26.299002999999999</v>
      </c>
      <c r="O57" s="20">
        <v>3319.0097819999996</v>
      </c>
      <c r="P57" s="180">
        <v>5.3677859999999997</v>
      </c>
      <c r="Q57" s="26"/>
      <c r="T57" s="27"/>
      <c r="U57" s="27"/>
      <c r="V57" s="27"/>
      <c r="W57" s="27"/>
      <c r="X57" s="27"/>
      <c r="Y57" s="27"/>
      <c r="Z57" s="27"/>
      <c r="AA57" s="27"/>
      <c r="AB57" s="23"/>
      <c r="AC57" s="23"/>
      <c r="AD57" s="23"/>
      <c r="AE57" s="23"/>
      <c r="AF57" s="23"/>
      <c r="AG57" s="23"/>
      <c r="AH57" s="23"/>
      <c r="AI57" s="23"/>
    </row>
    <row r="58" spans="3:35" ht="24" x14ac:dyDescent="0.25">
      <c r="C58" s="203" t="s">
        <v>134</v>
      </c>
      <c r="D58" s="20">
        <v>236515.08868000004</v>
      </c>
      <c r="E58" s="20">
        <v>8449019.5969850011</v>
      </c>
      <c r="F58" s="20">
        <v>102140.65417500002</v>
      </c>
      <c r="G58" s="20">
        <v>302718.58791891823</v>
      </c>
      <c r="H58" s="20">
        <v>26122.493078999989</v>
      </c>
      <c r="I58" s="20">
        <v>1066370.64986</v>
      </c>
      <c r="J58" s="20">
        <v>3230.7702250000002</v>
      </c>
      <c r="K58" s="20">
        <v>3606.7932000000001</v>
      </c>
      <c r="L58" s="20">
        <v>2277.090549</v>
      </c>
      <c r="M58" s="20">
        <v>24.117539999999998</v>
      </c>
      <c r="N58" s="20">
        <v>21.496898000000002</v>
      </c>
      <c r="O58" s="20">
        <v>3460.9957440000003</v>
      </c>
      <c r="P58" s="179">
        <v>3.2440980000000001</v>
      </c>
      <c r="Q58" s="26"/>
      <c r="T58" s="27"/>
      <c r="U58" s="27"/>
      <c r="V58" s="27"/>
      <c r="W58" s="27"/>
      <c r="X58" s="27"/>
      <c r="Y58" s="27"/>
      <c r="Z58" s="27"/>
      <c r="AA58" s="27"/>
      <c r="AB58" s="23"/>
      <c r="AC58" s="23"/>
      <c r="AD58" s="23"/>
      <c r="AE58" s="23"/>
      <c r="AF58" s="23"/>
      <c r="AG58" s="23"/>
      <c r="AH58" s="23"/>
      <c r="AI58" s="23"/>
    </row>
    <row r="59" spans="3:35" x14ac:dyDescent="0.25">
      <c r="C59" s="47" t="s">
        <v>26</v>
      </c>
      <c r="D59" s="44">
        <f t="shared" ref="D59:M59" si="4">+D58/D57-1</f>
        <v>8.3777804980883497E-2</v>
      </c>
      <c r="E59" s="44">
        <f t="shared" si="4"/>
        <v>6.3906096048930827E-2</v>
      </c>
      <c r="F59" s="44">
        <f t="shared" si="4"/>
        <v>9.9638960971306645E-3</v>
      </c>
      <c r="G59" s="44">
        <f t="shared" si="4"/>
        <v>7.1592897496317143E-2</v>
      </c>
      <c r="H59" s="44">
        <f t="shared" si="4"/>
        <v>7.9581127930166362E-2</v>
      </c>
      <c r="I59" s="44">
        <f t="shared" si="4"/>
        <v>-0.11568848915079333</v>
      </c>
      <c r="J59" s="44">
        <f t="shared" si="4"/>
        <v>2.3925282802763848E-2</v>
      </c>
      <c r="K59" s="44">
        <f t="shared" si="4"/>
        <v>0.19064002575105965</v>
      </c>
      <c r="L59" s="44">
        <f t="shared" si="4"/>
        <v>-0.25077456240711404</v>
      </c>
      <c r="M59" s="44">
        <f t="shared" si="4"/>
        <v>-0.12072076460179881</v>
      </c>
      <c r="N59" s="44">
        <f>+N58/N57-1</f>
        <v>-0.18259646572913801</v>
      </c>
      <c r="O59" s="44">
        <f>+O58/O57-1</f>
        <v>4.2779615405183158E-2</v>
      </c>
      <c r="P59" s="45">
        <f>+P58/P57-1</f>
        <v>-0.39563574255754597</v>
      </c>
      <c r="Q59" s="26"/>
      <c r="T59" s="27"/>
      <c r="U59" s="27"/>
      <c r="V59" s="27"/>
      <c r="W59" s="27"/>
      <c r="X59" s="27"/>
      <c r="Y59" s="27"/>
      <c r="Z59" s="27"/>
      <c r="AA59" s="27"/>
      <c r="AB59" s="23"/>
      <c r="AC59" s="23"/>
      <c r="AD59" s="23"/>
      <c r="AE59" s="23"/>
      <c r="AF59" s="23"/>
      <c r="AG59" s="23"/>
      <c r="AH59" s="23"/>
      <c r="AI59" s="23"/>
    </row>
    <row r="60" spans="3:35" x14ac:dyDescent="0.25">
      <c r="C60" s="48"/>
      <c r="D60" s="49"/>
      <c r="E60" s="50"/>
      <c r="F60" s="49"/>
      <c r="G60" s="49"/>
      <c r="H60" s="49"/>
      <c r="I60" s="49"/>
      <c r="J60" s="49"/>
      <c r="K60" s="49"/>
      <c r="L60" s="49"/>
      <c r="M60" s="49"/>
      <c r="N60" s="49"/>
      <c r="O60" s="49"/>
      <c r="P60" s="51"/>
      <c r="R60" s="24"/>
      <c r="S60" s="23"/>
      <c r="T60" s="23"/>
      <c r="U60" s="23"/>
      <c r="V60" s="23"/>
      <c r="W60" s="23"/>
      <c r="X60" s="23"/>
      <c r="Y60" s="23"/>
      <c r="Z60" s="23"/>
    </row>
    <row r="61" spans="3:35" s="53" customFormat="1" ht="77.25" customHeight="1" x14ac:dyDescent="0.25">
      <c r="C61" s="216" t="s">
        <v>143</v>
      </c>
      <c r="D61" s="217"/>
      <c r="E61" s="217"/>
      <c r="F61" s="217"/>
      <c r="G61" s="217"/>
      <c r="H61" s="217"/>
      <c r="I61" s="217"/>
      <c r="J61" s="217"/>
      <c r="K61" s="217"/>
      <c r="L61" s="217"/>
      <c r="M61" s="217"/>
      <c r="N61" s="217"/>
      <c r="O61" s="217"/>
      <c r="P61" s="218"/>
      <c r="Q61" s="52"/>
    </row>
    <row r="62" spans="3:35" s="53" customFormat="1" ht="41.25" customHeight="1" x14ac:dyDescent="0.25">
      <c r="C62" s="219"/>
      <c r="D62" s="220"/>
      <c r="E62" s="220"/>
      <c r="F62" s="220"/>
      <c r="G62" s="220"/>
      <c r="H62" s="220"/>
      <c r="I62" s="220"/>
      <c r="J62" s="220"/>
      <c r="K62" s="220"/>
      <c r="L62" s="220"/>
      <c r="M62" s="220"/>
      <c r="N62" s="220"/>
      <c r="O62" s="220"/>
      <c r="P62" s="221"/>
      <c r="Q62" s="52"/>
    </row>
    <row r="63" spans="3:35" s="53" customFormat="1" ht="15" x14ac:dyDescent="0.25">
      <c r="Q63" s="52"/>
    </row>
    <row r="64" spans="3:35" ht="36.6" customHeight="1" x14ac:dyDescent="0.25">
      <c r="C64" s="222" t="s">
        <v>28</v>
      </c>
      <c r="D64" s="222"/>
      <c r="E64" s="222"/>
      <c r="F64" s="222"/>
      <c r="G64" s="222"/>
      <c r="H64" s="222"/>
      <c r="I64" s="222"/>
      <c r="J64" s="222"/>
      <c r="K64" s="222"/>
      <c r="L64" s="222"/>
      <c r="M64" s="222"/>
      <c r="N64" s="222"/>
      <c r="O64" s="222"/>
      <c r="P64" s="222"/>
    </row>
    <row r="65" spans="3:36" ht="36.75" customHeight="1" x14ac:dyDescent="0.25"/>
    <row r="66" spans="3:36" ht="36.75" customHeight="1" x14ac:dyDescent="0.25"/>
    <row r="67" spans="3:36" ht="36.75" customHeight="1" x14ac:dyDescent="0.25"/>
    <row r="68" spans="3:36" s="8" customFormat="1" ht="36.75" customHeight="1" x14ac:dyDescent="0.25">
      <c r="C68" s="36"/>
      <c r="D68" s="2"/>
      <c r="E68" s="2"/>
      <c r="F68" s="2"/>
      <c r="G68" s="2"/>
      <c r="H68" s="2"/>
      <c r="I68" s="2"/>
      <c r="J68" s="2"/>
      <c r="K68" s="2"/>
      <c r="L68" s="2"/>
      <c r="M68" s="2"/>
      <c r="N68" s="2"/>
      <c r="O68" s="2"/>
      <c r="P68" s="2"/>
      <c r="R68" s="2"/>
      <c r="S68" s="2"/>
      <c r="T68" s="2"/>
      <c r="U68" s="2"/>
      <c r="V68" s="2"/>
      <c r="W68" s="2"/>
      <c r="X68" s="2"/>
      <c r="Y68" s="2"/>
      <c r="Z68" s="2"/>
      <c r="AA68" s="2"/>
      <c r="AB68" s="2"/>
      <c r="AC68" s="2"/>
      <c r="AD68" s="2"/>
      <c r="AE68" s="2"/>
      <c r="AF68" s="2"/>
      <c r="AG68" s="2"/>
      <c r="AH68" s="2"/>
      <c r="AI68" s="2"/>
      <c r="AJ68" s="2"/>
    </row>
    <row r="69" spans="3:36" s="8" customFormat="1" ht="36.75" customHeight="1" x14ac:dyDescent="0.25">
      <c r="C69" s="36"/>
      <c r="D69" s="2"/>
      <c r="E69" s="2"/>
      <c r="F69" s="2"/>
      <c r="G69" s="2"/>
      <c r="H69" s="2"/>
      <c r="I69" s="2"/>
      <c r="J69" s="2"/>
      <c r="K69" s="2"/>
      <c r="L69" s="2"/>
      <c r="M69" s="2"/>
      <c r="N69" s="2"/>
      <c r="O69" s="2"/>
      <c r="P69" s="2"/>
      <c r="R69" s="2"/>
      <c r="S69" s="2"/>
      <c r="T69" s="2"/>
      <c r="U69" s="2"/>
      <c r="V69" s="2"/>
      <c r="W69" s="2"/>
      <c r="X69" s="2"/>
      <c r="Y69" s="2"/>
      <c r="Z69" s="2"/>
      <c r="AA69" s="2"/>
      <c r="AB69" s="2"/>
      <c r="AC69" s="2"/>
      <c r="AD69" s="2"/>
      <c r="AE69" s="2"/>
      <c r="AF69" s="2"/>
      <c r="AG69" s="2"/>
      <c r="AH69" s="2"/>
      <c r="AI69" s="2"/>
      <c r="AJ69" s="2"/>
    </row>
    <row r="70" spans="3:36" ht="36.75" customHeight="1" x14ac:dyDescent="0.25"/>
    <row r="71" spans="3:36" s="8" customFormat="1" ht="36.75" customHeight="1" x14ac:dyDescent="0.25">
      <c r="C71" s="2"/>
      <c r="D71" s="2"/>
      <c r="E71" s="2"/>
      <c r="F71" s="2"/>
      <c r="G71" s="2"/>
      <c r="H71" s="2"/>
      <c r="I71" s="2"/>
      <c r="J71" s="2"/>
      <c r="K71" s="2"/>
      <c r="L71" s="2"/>
      <c r="M71" s="2"/>
      <c r="N71" s="2"/>
      <c r="O71" s="2"/>
      <c r="P71" s="2"/>
      <c r="R71" s="2"/>
      <c r="S71" s="2"/>
      <c r="T71" s="2"/>
      <c r="U71" s="2"/>
      <c r="V71" s="2"/>
      <c r="W71" s="2"/>
      <c r="X71" s="2"/>
      <c r="Y71" s="2"/>
      <c r="Z71" s="2"/>
      <c r="AA71" s="2"/>
      <c r="AB71" s="2"/>
      <c r="AC71" s="2"/>
      <c r="AD71" s="2"/>
      <c r="AE71" s="2"/>
      <c r="AF71" s="2"/>
      <c r="AG71" s="2"/>
      <c r="AH71" s="2"/>
      <c r="AI71" s="2"/>
      <c r="AJ71" s="2"/>
    </row>
    <row r="72" spans="3:36" s="8" customFormat="1" x14ac:dyDescent="0.25">
      <c r="C72" s="36"/>
      <c r="D72" s="2"/>
      <c r="E72" s="2"/>
      <c r="F72" s="2"/>
      <c r="G72" s="2"/>
      <c r="H72" s="2"/>
      <c r="I72" s="2"/>
      <c r="J72" s="2"/>
      <c r="K72" s="54"/>
      <c r="L72" s="54"/>
      <c r="M72" s="54"/>
      <c r="N72" s="54"/>
      <c r="O72" s="54"/>
      <c r="P72" s="54"/>
      <c r="R72" s="2"/>
      <c r="S72" s="2"/>
      <c r="T72" s="2"/>
      <c r="U72" s="2"/>
      <c r="V72" s="2"/>
      <c r="W72" s="2"/>
      <c r="X72" s="2"/>
      <c r="Y72" s="2"/>
      <c r="Z72" s="2"/>
      <c r="AA72" s="2"/>
      <c r="AB72" s="2"/>
      <c r="AC72" s="2"/>
      <c r="AD72" s="2"/>
      <c r="AE72" s="2"/>
      <c r="AF72" s="2"/>
      <c r="AG72" s="2"/>
      <c r="AH72" s="2"/>
      <c r="AI72" s="2"/>
      <c r="AJ72" s="2"/>
    </row>
    <row r="73" spans="3:36" s="8" customFormat="1" ht="67.5" customHeight="1" x14ac:dyDescent="0.25">
      <c r="C73" s="210" t="s">
        <v>130</v>
      </c>
      <c r="D73" s="211"/>
      <c r="E73" s="211"/>
      <c r="F73" s="211"/>
      <c r="G73" s="211"/>
      <c r="H73" s="211"/>
      <c r="I73" s="211"/>
      <c r="J73" s="211"/>
      <c r="K73" s="211"/>
      <c r="L73" s="211"/>
      <c r="M73" s="211"/>
      <c r="N73" s="211"/>
      <c r="O73" s="211"/>
      <c r="P73" s="212"/>
      <c r="R73" s="2"/>
      <c r="S73" s="2"/>
      <c r="T73" s="2"/>
      <c r="U73" s="2"/>
      <c r="V73" s="2"/>
      <c r="W73" s="2"/>
      <c r="X73" s="2"/>
      <c r="Y73" s="2"/>
      <c r="Z73" s="2"/>
      <c r="AA73" s="2"/>
      <c r="AB73" s="2"/>
      <c r="AC73" s="2"/>
      <c r="AD73" s="2"/>
      <c r="AE73" s="2"/>
      <c r="AF73" s="2"/>
      <c r="AG73" s="2"/>
      <c r="AH73" s="2"/>
      <c r="AI73" s="2"/>
      <c r="AJ73" s="2"/>
    </row>
  </sheetData>
  <mergeCells count="7">
    <mergeCell ref="C73:P73"/>
    <mergeCell ref="C3:P3"/>
    <mergeCell ref="C4:P4"/>
    <mergeCell ref="C6:K6"/>
    <mergeCell ref="C61:P61"/>
    <mergeCell ref="C62:P62"/>
    <mergeCell ref="C64:P64"/>
  </mergeCells>
  <conditionalFormatting sqref="D54 O54 D60:P60">
    <cfRule type="cellIs" dxfId="0" priority="1" operator="lessThan">
      <formula>0</formula>
    </cfRule>
  </conditionalFormatting>
  <pageMargins left="0.7" right="0.7" top="0.75" bottom="0.75" header="0.3" footer="0.3"/>
  <pageSetup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B1:Q109"/>
  <sheetViews>
    <sheetView showGridLines="0" view="pageBreakPreview" zoomScaleNormal="100" zoomScaleSheetLayoutView="100" workbookViewId="0"/>
  </sheetViews>
  <sheetFormatPr baseColWidth="10" defaultColWidth="11.5703125" defaultRowHeight="15" x14ac:dyDescent="0.25"/>
  <cols>
    <col min="1" max="2" width="3.7109375" style="53" customWidth="1"/>
    <col min="3" max="3" width="51.7109375" style="53" customWidth="1"/>
    <col min="4" max="4" width="14.42578125" style="53" customWidth="1"/>
    <col min="5" max="5" width="13.140625" style="53" customWidth="1"/>
    <col min="6" max="6" width="14" style="55" customWidth="1"/>
    <col min="7" max="8" width="12.42578125" style="53" customWidth="1"/>
    <col min="9" max="9" width="12" style="53" customWidth="1"/>
    <col min="10" max="10" width="10.85546875" style="56" customWidth="1"/>
    <col min="11" max="11" width="3.7109375" style="53" customWidth="1"/>
    <col min="12" max="16384" width="11.5703125" style="53"/>
  </cols>
  <sheetData>
    <row r="1" spans="2:17" ht="10.5" customHeight="1" x14ac:dyDescent="0.25"/>
    <row r="2" spans="2:17" ht="10.5" customHeight="1" x14ac:dyDescent="0.25"/>
    <row r="3" spans="2:17" ht="15.75" x14ac:dyDescent="0.25">
      <c r="C3" s="213" t="s">
        <v>0</v>
      </c>
      <c r="D3" s="213"/>
      <c r="E3" s="213"/>
      <c r="F3" s="213"/>
      <c r="G3" s="213"/>
      <c r="H3" s="213"/>
      <c r="I3" s="213"/>
      <c r="J3" s="213"/>
      <c r="K3" s="4"/>
      <c r="L3" s="4"/>
      <c r="M3" s="4"/>
      <c r="N3" s="4"/>
      <c r="O3" s="4"/>
      <c r="P3" s="4"/>
      <c r="Q3" s="4"/>
    </row>
    <row r="4" spans="2:17" x14ac:dyDescent="0.25">
      <c r="B4" s="214" t="s">
        <v>1</v>
      </c>
      <c r="C4" s="223"/>
      <c r="D4" s="223"/>
      <c r="E4" s="223"/>
      <c r="F4" s="223"/>
      <c r="G4" s="223"/>
      <c r="H4" s="223"/>
      <c r="I4" s="223"/>
      <c r="J4" s="223"/>
      <c r="K4" s="223"/>
      <c r="L4" s="4"/>
      <c r="M4" s="4"/>
      <c r="N4" s="4"/>
      <c r="O4" s="4"/>
      <c r="P4" s="4"/>
      <c r="Q4" s="4"/>
    </row>
    <row r="5" spans="2:17" x14ac:dyDescent="0.25">
      <c r="C5" s="192"/>
      <c r="D5" s="4"/>
      <c r="E5" s="4"/>
      <c r="F5" s="3"/>
      <c r="G5" s="4"/>
      <c r="H5" s="4"/>
      <c r="I5" s="4"/>
      <c r="J5" s="3"/>
      <c r="K5" s="4"/>
      <c r="L5" s="4"/>
      <c r="M5" s="4"/>
      <c r="N5" s="4"/>
      <c r="O5" s="4"/>
      <c r="P5" s="4"/>
      <c r="Q5" s="4"/>
    </row>
    <row r="6" spans="2:17" ht="15.75" x14ac:dyDescent="0.25">
      <c r="C6" s="57" t="s">
        <v>29</v>
      </c>
      <c r="D6" s="58"/>
      <c r="E6" s="58"/>
      <c r="F6" s="59"/>
    </row>
    <row r="7" spans="2:17" x14ac:dyDescent="0.25">
      <c r="C7" s="60" t="s">
        <v>30</v>
      </c>
      <c r="D7" s="61"/>
      <c r="E7" s="61"/>
      <c r="F7" s="62"/>
    </row>
    <row r="8" spans="2:17" ht="27" customHeight="1" x14ac:dyDescent="0.25">
      <c r="C8" s="63"/>
      <c r="D8" s="224" t="s">
        <v>145</v>
      </c>
      <c r="E8" s="225"/>
      <c r="F8" s="225"/>
      <c r="G8" s="226" t="s">
        <v>146</v>
      </c>
      <c r="H8" s="227"/>
      <c r="I8" s="227"/>
      <c r="J8" s="228"/>
    </row>
    <row r="9" spans="2:17" ht="25.5" customHeight="1" x14ac:dyDescent="0.25">
      <c r="C9" s="64" t="s">
        <v>31</v>
      </c>
      <c r="D9" s="89">
        <v>2025</v>
      </c>
      <c r="E9" s="88">
        <v>2026</v>
      </c>
      <c r="F9" s="129" t="s">
        <v>26</v>
      </c>
      <c r="G9" s="89">
        <v>2025</v>
      </c>
      <c r="H9" s="88">
        <v>2026</v>
      </c>
      <c r="I9" s="129" t="s">
        <v>26</v>
      </c>
      <c r="J9" s="130" t="s">
        <v>32</v>
      </c>
    </row>
    <row r="10" spans="2:17" ht="6.75" customHeight="1" x14ac:dyDescent="0.25">
      <c r="D10" s="56"/>
      <c r="E10" s="56"/>
      <c r="F10" s="56"/>
      <c r="G10" s="56"/>
      <c r="H10" s="56"/>
      <c r="I10" s="56"/>
    </row>
    <row r="11" spans="2:17" x14ac:dyDescent="0.25">
      <c r="C11" s="65" t="s">
        <v>33</v>
      </c>
      <c r="D11" s="99">
        <f>SUM(D12:D22)</f>
        <v>228180.4688682066</v>
      </c>
      <c r="E11" s="90">
        <f>SUM(E12:E22)</f>
        <v>236515.08867999999</v>
      </c>
      <c r="F11" s="100">
        <f t="shared" ref="F11:F74" si="0">(E11-D11)/D11</f>
        <v>3.6526438275518339E-2</v>
      </c>
      <c r="G11" s="99">
        <f>SUM(G12:G22)</f>
        <v>1565092.1184596841</v>
      </c>
      <c r="H11" s="90">
        <f>SUM(H12:H22)</f>
        <v>1599114.6273238966</v>
      </c>
      <c r="I11" s="100">
        <f t="shared" ref="I11:I74" si="1">(H11-G11)/G11</f>
        <v>2.1738342723044611E-2</v>
      </c>
      <c r="J11" s="101">
        <f>SUM(J12:J22)</f>
        <v>0.99999999999999989</v>
      </c>
    </row>
    <row r="12" spans="2:17" x14ac:dyDescent="0.25">
      <c r="B12" s="168"/>
      <c r="C12" s="70" t="s">
        <v>34</v>
      </c>
      <c r="D12" s="94">
        <v>26440.278171499998</v>
      </c>
      <c r="E12" s="94">
        <v>48268.890940999998</v>
      </c>
      <c r="F12" s="102">
        <f t="shared" si="0"/>
        <v>0.82558181226054883</v>
      </c>
      <c r="G12" s="94">
        <v>192952.37247950997</v>
      </c>
      <c r="H12" s="94">
        <v>297144.99793540005</v>
      </c>
      <c r="I12" s="103">
        <f t="shared" si="1"/>
        <v>0.53999141921385041</v>
      </c>
      <c r="J12" s="104">
        <f>(H12/$H$11)</f>
        <v>0.18581844781988482</v>
      </c>
    </row>
    <row r="13" spans="2:17" x14ac:dyDescent="0.25">
      <c r="B13" s="168"/>
      <c r="C13" s="66" t="s">
        <v>35</v>
      </c>
      <c r="D13" s="94">
        <v>37704.023022000001</v>
      </c>
      <c r="E13" s="94">
        <v>35404.95966</v>
      </c>
      <c r="F13" s="105">
        <f t="shared" si="0"/>
        <v>-6.097660614779795E-2</v>
      </c>
      <c r="G13" s="94">
        <v>248346.78284</v>
      </c>
      <c r="H13" s="94">
        <v>245609.57144399997</v>
      </c>
      <c r="I13" s="235">
        <f t="shared" si="1"/>
        <v>-1.1021730842245316E-2</v>
      </c>
      <c r="J13" s="106">
        <f t="shared" ref="J13:J22" si="2">(H13/$H$11)</f>
        <v>0.15359097293420754</v>
      </c>
    </row>
    <row r="14" spans="2:17" x14ac:dyDescent="0.25">
      <c r="B14" s="168"/>
      <c r="C14" s="66" t="s">
        <v>36</v>
      </c>
      <c r="D14" s="94">
        <v>31615.3752972</v>
      </c>
      <c r="E14" s="94">
        <v>37305.053629000002</v>
      </c>
      <c r="F14" s="105">
        <f t="shared" si="0"/>
        <v>0.17996554772208903</v>
      </c>
      <c r="G14" s="94">
        <v>233642.75613289999</v>
      </c>
      <c r="H14" s="94">
        <v>231023.47921039999</v>
      </c>
      <c r="I14" s="235">
        <f t="shared" si="1"/>
        <v>-1.1210606165808558E-2</v>
      </c>
      <c r="J14" s="106">
        <f t="shared" si="2"/>
        <v>0.14446961791414267</v>
      </c>
    </row>
    <row r="15" spans="2:17" x14ac:dyDescent="0.25">
      <c r="B15" s="168"/>
      <c r="C15" s="66" t="s">
        <v>37</v>
      </c>
      <c r="D15" s="94">
        <v>33116.708421374002</v>
      </c>
      <c r="E15" s="94">
        <v>30875.902847999998</v>
      </c>
      <c r="F15" s="105">
        <f t="shared" si="0"/>
        <v>-6.7663897778190887E-2</v>
      </c>
      <c r="G15" s="94">
        <v>243380.69891262002</v>
      </c>
      <c r="H15" s="94">
        <v>218213.211363284</v>
      </c>
      <c r="I15" s="103">
        <f t="shared" si="1"/>
        <v>-0.10340790235947098</v>
      </c>
      <c r="J15" s="106">
        <f t="shared" si="2"/>
        <v>0.13645876764223072</v>
      </c>
    </row>
    <row r="16" spans="2:17" x14ac:dyDescent="0.25">
      <c r="B16" s="168"/>
      <c r="C16" s="66" t="s">
        <v>38</v>
      </c>
      <c r="D16" s="94">
        <v>27453.265201506601</v>
      </c>
      <c r="E16" s="94">
        <v>23562.256100999999</v>
      </c>
      <c r="F16" s="105">
        <f t="shared" si="0"/>
        <v>-0.14173210625208504</v>
      </c>
      <c r="G16" s="94">
        <v>184069.67764183533</v>
      </c>
      <c r="H16" s="94">
        <v>172011.34069645099</v>
      </c>
      <c r="I16" s="103">
        <f t="shared" si="1"/>
        <v>-6.5509632547124733E-2</v>
      </c>
      <c r="J16" s="106">
        <f t="shared" si="2"/>
        <v>0.10756661077155573</v>
      </c>
    </row>
    <row r="17" spans="2:10" x14ac:dyDescent="0.25">
      <c r="B17" s="168"/>
      <c r="C17" s="66" t="s">
        <v>39</v>
      </c>
      <c r="D17" s="94">
        <v>21357.734680000001</v>
      </c>
      <c r="E17" s="94">
        <v>17518.983456000002</v>
      </c>
      <c r="F17" s="105">
        <f t="shared" si="0"/>
        <v>-0.17973587936714641</v>
      </c>
      <c r="G17" s="94">
        <v>140494.53549799998</v>
      </c>
      <c r="H17" s="94">
        <v>133095.32702100003</v>
      </c>
      <c r="I17" s="103">
        <f t="shared" si="1"/>
        <v>-5.2665453861052702E-2</v>
      </c>
      <c r="J17" s="106">
        <f t="shared" si="2"/>
        <v>8.3230635719800661E-2</v>
      </c>
    </row>
    <row r="18" spans="2:10" x14ac:dyDescent="0.25">
      <c r="B18" s="168"/>
      <c r="C18" s="66" t="s">
        <v>40</v>
      </c>
      <c r="D18" s="94">
        <v>11145.8635196</v>
      </c>
      <c r="E18" s="94">
        <v>8671.2794920000015</v>
      </c>
      <c r="F18" s="105">
        <f t="shared" si="0"/>
        <v>-0.22201815258624352</v>
      </c>
      <c r="G18" s="94">
        <v>79409.08502120999</v>
      </c>
      <c r="H18" s="94">
        <v>62348.940057900007</v>
      </c>
      <c r="I18" s="103">
        <f t="shared" si="1"/>
        <v>-0.21483870464888566</v>
      </c>
      <c r="J18" s="106">
        <f t="shared" si="2"/>
        <v>3.8989662774982163E-2</v>
      </c>
    </row>
    <row r="19" spans="2:10" x14ac:dyDescent="0.25">
      <c r="B19" s="168"/>
      <c r="C19" s="66" t="s">
        <v>41</v>
      </c>
      <c r="D19" s="94">
        <v>12588.684010000001</v>
      </c>
      <c r="E19" s="94">
        <v>7954.7565290000002</v>
      </c>
      <c r="F19" s="105">
        <f t="shared" si="0"/>
        <v>-0.36810261321349985</v>
      </c>
      <c r="G19" s="94">
        <v>60670.537133999998</v>
      </c>
      <c r="H19" s="94">
        <v>55965.377896879996</v>
      </c>
      <c r="I19" s="103">
        <f t="shared" si="1"/>
        <v>-7.7552622069719787E-2</v>
      </c>
      <c r="J19" s="106">
        <f t="shared" si="2"/>
        <v>3.4997727455309151E-2</v>
      </c>
    </row>
    <row r="20" spans="2:10" x14ac:dyDescent="0.25">
      <c r="B20" s="168"/>
      <c r="C20" s="66" t="s">
        <v>42</v>
      </c>
      <c r="D20" s="94">
        <v>5920.4644254000004</v>
      </c>
      <c r="E20" s="94">
        <v>6349.9115549999997</v>
      </c>
      <c r="F20" s="105">
        <f t="shared" si="0"/>
        <v>7.253605439424371E-2</v>
      </c>
      <c r="G20" s="94">
        <v>47923.471304950006</v>
      </c>
      <c r="H20" s="94">
        <v>46368.633556919995</v>
      </c>
      <c r="I20" s="103">
        <f t="shared" si="1"/>
        <v>-3.2444180392028753E-2</v>
      </c>
      <c r="J20" s="106">
        <f t="shared" si="2"/>
        <v>2.8996441383640815E-2</v>
      </c>
    </row>
    <row r="21" spans="2:10" x14ac:dyDescent="0.25">
      <c r="B21" s="168"/>
      <c r="C21" s="66" t="s">
        <v>43</v>
      </c>
      <c r="D21" s="94">
        <v>4906.6627941999996</v>
      </c>
      <c r="E21" s="94">
        <v>4359.5020169999998</v>
      </c>
      <c r="F21" s="105">
        <f t="shared" si="0"/>
        <v>-0.11151383336282657</v>
      </c>
      <c r="G21" s="94">
        <v>30048.979637800003</v>
      </c>
      <c r="H21" s="94">
        <v>29210.991585100001</v>
      </c>
      <c r="I21" s="103">
        <f t="shared" si="1"/>
        <v>-2.7887404590798762E-2</v>
      </c>
      <c r="J21" s="106">
        <f t="shared" si="2"/>
        <v>1.8266977917639537E-2</v>
      </c>
    </row>
    <row r="22" spans="2:10" x14ac:dyDescent="0.2">
      <c r="B22" s="168"/>
      <c r="C22" s="184" t="s">
        <v>125</v>
      </c>
      <c r="D22" s="94">
        <v>15931.409325425993</v>
      </c>
      <c r="E22" s="94">
        <v>16243.592451999997</v>
      </c>
      <c r="F22" s="107">
        <f t="shared" si="0"/>
        <v>1.9595449479524078E-2</v>
      </c>
      <c r="G22" s="94">
        <v>104153.22185685889</v>
      </c>
      <c r="H22" s="94">
        <v>108122.75655656145</v>
      </c>
      <c r="I22" s="103">
        <f t="shared" si="1"/>
        <v>3.8112452298000164E-2</v>
      </c>
      <c r="J22" s="116">
        <f t="shared" si="2"/>
        <v>6.7614137666606094E-2</v>
      </c>
    </row>
    <row r="23" spans="2:10" x14ac:dyDescent="0.25">
      <c r="B23" s="168"/>
      <c r="C23" s="167" t="s">
        <v>44</v>
      </c>
      <c r="D23" s="99">
        <f>SUM(D24:D34)</f>
        <v>9286589.3074801713</v>
      </c>
      <c r="E23" s="90">
        <f>SUM(E24:E34)</f>
        <v>8449019.5969849993</v>
      </c>
      <c r="F23" s="100">
        <f t="shared" si="0"/>
        <v>-9.019131596791144E-2</v>
      </c>
      <c r="G23" s="99">
        <f>SUM(G24:G34)</f>
        <v>62264167.215438128</v>
      </c>
      <c r="H23" s="90">
        <f>SUM(H24:H34)</f>
        <v>58302799.220120519</v>
      </c>
      <c r="I23" s="100">
        <f t="shared" si="1"/>
        <v>-6.3621954207000203E-2</v>
      </c>
      <c r="J23" s="101">
        <f>SUM(J24:J34)</f>
        <v>1.0000000000000002</v>
      </c>
    </row>
    <row r="24" spans="2:10" x14ac:dyDescent="0.25">
      <c r="B24" s="168"/>
      <c r="C24" s="185" t="s">
        <v>45</v>
      </c>
      <c r="D24" s="94">
        <v>1430734.9979999999</v>
      </c>
      <c r="E24" s="94">
        <v>1263342.1446</v>
      </c>
      <c r="F24" s="102">
        <f t="shared" si="0"/>
        <v>-0.1169978043690799</v>
      </c>
      <c r="G24" s="94">
        <v>8779240.8999000005</v>
      </c>
      <c r="H24" s="94">
        <v>9709154.3883999996</v>
      </c>
      <c r="I24" s="102">
        <f t="shared" si="1"/>
        <v>0.10592185578488809</v>
      </c>
      <c r="J24" s="104">
        <f>(H24/$H$23)</f>
        <v>0.16652981534803107</v>
      </c>
    </row>
    <row r="25" spans="2:10" x14ac:dyDescent="0.25">
      <c r="B25" s="168"/>
      <c r="C25" s="186" t="s">
        <v>46</v>
      </c>
      <c r="D25" s="94">
        <v>764391.71025</v>
      </c>
      <c r="E25" s="94">
        <v>626600.45900000003</v>
      </c>
      <c r="F25" s="105">
        <f t="shared" si="0"/>
        <v>-0.18026261850083947</v>
      </c>
      <c r="G25" s="94">
        <v>5060104.2136799991</v>
      </c>
      <c r="H25" s="94">
        <v>3911597.9186800001</v>
      </c>
      <c r="I25" s="105">
        <f t="shared" si="1"/>
        <v>-0.22697285401652609</v>
      </c>
      <c r="J25" s="106">
        <f t="shared" ref="J25:J34" si="3">(H25/$H$23)</f>
        <v>6.7091082606718005E-2</v>
      </c>
    </row>
    <row r="26" spans="2:10" x14ac:dyDescent="0.25">
      <c r="B26" s="168"/>
      <c r="C26" s="186" t="s">
        <v>48</v>
      </c>
      <c r="D26" s="94">
        <v>489048.462</v>
      </c>
      <c r="E26" s="94">
        <v>456241.30200000003</v>
      </c>
      <c r="F26" s="105">
        <f t="shared" si="0"/>
        <v>-6.7083658469822519E-2</v>
      </c>
      <c r="G26" s="94">
        <v>3194159.6429999997</v>
      </c>
      <c r="H26" s="94">
        <v>2945290.7610000004</v>
      </c>
      <c r="I26" s="105">
        <f t="shared" si="1"/>
        <v>-7.7913726868785477E-2</v>
      </c>
      <c r="J26" s="106">
        <f t="shared" si="3"/>
        <v>5.0517141550616478E-2</v>
      </c>
    </row>
    <row r="27" spans="2:10" x14ac:dyDescent="0.25">
      <c r="B27" s="168"/>
      <c r="C27" s="186" t="s">
        <v>49</v>
      </c>
      <c r="D27" s="94">
        <v>585133.27099999995</v>
      </c>
      <c r="E27" s="94">
        <v>411298.03</v>
      </c>
      <c r="F27" s="105">
        <f t="shared" si="0"/>
        <v>-0.29708657773452768</v>
      </c>
      <c r="G27" s="94">
        <v>3319438.2920000004</v>
      </c>
      <c r="H27" s="94">
        <v>2673532.0530000003</v>
      </c>
      <c r="I27" s="105">
        <f t="shared" si="1"/>
        <v>-0.19458299332048556</v>
      </c>
      <c r="J27" s="106">
        <f t="shared" si="3"/>
        <v>4.5855980995117541E-2</v>
      </c>
    </row>
    <row r="28" spans="2:10" x14ac:dyDescent="0.25">
      <c r="B28" s="168"/>
      <c r="C28" s="186" t="s">
        <v>50</v>
      </c>
      <c r="D28" s="94">
        <v>204368.84288568</v>
      </c>
      <c r="E28" s="94">
        <v>341572.480751</v>
      </c>
      <c r="F28" s="105">
        <f t="shared" si="0"/>
        <v>0.67135301021432636</v>
      </c>
      <c r="G28" s="94">
        <v>1830530.9561873451</v>
      </c>
      <c r="H28" s="94">
        <v>2342050.9133911217</v>
      </c>
      <c r="I28" s="105">
        <f t="shared" si="1"/>
        <v>0.27943802615017083</v>
      </c>
      <c r="J28" s="106">
        <f t="shared" si="3"/>
        <v>4.0170471138937541E-2</v>
      </c>
    </row>
    <row r="29" spans="2:10" x14ac:dyDescent="0.25">
      <c r="B29" s="168"/>
      <c r="C29" s="186" t="s">
        <v>51</v>
      </c>
      <c r="D29" s="94">
        <v>360819</v>
      </c>
      <c r="E29" s="94">
        <v>322285.59999999998</v>
      </c>
      <c r="F29" s="105">
        <f t="shared" si="0"/>
        <v>-0.10679426526873591</v>
      </c>
      <c r="G29" s="94">
        <v>2554077.23</v>
      </c>
      <c r="H29" s="94">
        <v>2302781.71</v>
      </c>
      <c r="I29" s="105">
        <f t="shared" si="1"/>
        <v>-9.8389945710451371E-2</v>
      </c>
      <c r="J29" s="106">
        <f t="shared" si="3"/>
        <v>3.9496932236579498E-2</v>
      </c>
    </row>
    <row r="30" spans="2:10" x14ac:dyDescent="0.25">
      <c r="B30" s="168"/>
      <c r="C30" s="186" t="s">
        <v>52</v>
      </c>
      <c r="D30" s="94">
        <v>290499.68023506302</v>
      </c>
      <c r="E30" s="94">
        <v>296896.94849099999</v>
      </c>
      <c r="F30" s="105">
        <f t="shared" si="0"/>
        <v>2.2021601713160258E-2</v>
      </c>
      <c r="G30" s="94">
        <v>2013347.7786582049</v>
      </c>
      <c r="H30" s="94">
        <v>2203407.0747961402</v>
      </c>
      <c r="I30" s="105">
        <f t="shared" si="1"/>
        <v>9.4399635349934535E-2</v>
      </c>
      <c r="J30" s="106">
        <f t="shared" si="3"/>
        <v>3.7792474877187988E-2</v>
      </c>
    </row>
    <row r="31" spans="2:10" x14ac:dyDescent="0.25">
      <c r="B31" s="168"/>
      <c r="C31" s="186" t="s">
        <v>53</v>
      </c>
      <c r="D31" s="94">
        <v>396601.93702800001</v>
      </c>
      <c r="E31" s="94">
        <v>328475.65163600002</v>
      </c>
      <c r="F31" s="105">
        <f t="shared" si="0"/>
        <v>-0.17177496888319607</v>
      </c>
      <c r="G31" s="94">
        <v>2384553.3812250001</v>
      </c>
      <c r="H31" s="94">
        <v>1903878.8407410001</v>
      </c>
      <c r="I31" s="105">
        <f t="shared" si="1"/>
        <v>-0.20157843572244391</v>
      </c>
      <c r="J31" s="106">
        <f t="shared" si="3"/>
        <v>3.2655015989077316E-2</v>
      </c>
    </row>
    <row r="32" spans="2:10" x14ac:dyDescent="0.25">
      <c r="B32" s="168"/>
      <c r="C32" s="186" t="s">
        <v>54</v>
      </c>
      <c r="D32" s="94">
        <v>349816.82694</v>
      </c>
      <c r="E32" s="94">
        <v>326985.92774000007</v>
      </c>
      <c r="F32" s="105">
        <f t="shared" si="0"/>
        <v>-6.5265297269178665E-2</v>
      </c>
      <c r="G32" s="94">
        <v>3234700.0777400006</v>
      </c>
      <c r="H32" s="94">
        <v>1888257.8544600001</v>
      </c>
      <c r="I32" s="105">
        <f t="shared" si="1"/>
        <v>-0.41624947937081203</v>
      </c>
      <c r="J32" s="106">
        <f t="shared" si="3"/>
        <v>3.238708740777501E-2</v>
      </c>
    </row>
    <row r="33" spans="2:10" x14ac:dyDescent="0.25">
      <c r="B33" s="168"/>
      <c r="C33" s="186" t="s">
        <v>55</v>
      </c>
      <c r="D33" s="94">
        <v>198965.88</v>
      </c>
      <c r="E33" s="94">
        <v>255224.207112</v>
      </c>
      <c r="F33" s="105">
        <f t="shared" si="0"/>
        <v>0.28275364153894122</v>
      </c>
      <c r="G33" s="94">
        <v>1525503.5664479998</v>
      </c>
      <c r="H33" s="94">
        <v>1766423.2120379999</v>
      </c>
      <c r="I33" s="105">
        <f t="shared" si="1"/>
        <v>0.15792794647537939</v>
      </c>
      <c r="J33" s="106">
        <f t="shared" si="3"/>
        <v>3.0297399707498101E-2</v>
      </c>
    </row>
    <row r="34" spans="2:10" x14ac:dyDescent="0.2">
      <c r="B34" s="168"/>
      <c r="C34" s="187" t="s">
        <v>126</v>
      </c>
      <c r="D34" s="94">
        <v>4216208.6991414288</v>
      </c>
      <c r="E34" s="94">
        <v>3820096.8456549975</v>
      </c>
      <c r="F34" s="109">
        <f t="shared" si="0"/>
        <v>-9.3949773778298468E-2</v>
      </c>
      <c r="G34" s="94">
        <v>28368511.176599573</v>
      </c>
      <c r="H34" s="94">
        <v>26656424.49361426</v>
      </c>
      <c r="I34" s="109">
        <f t="shared" si="1"/>
        <v>-6.0351657946630902E-2</v>
      </c>
      <c r="J34" s="116">
        <f t="shared" si="3"/>
        <v>0.45720659814246151</v>
      </c>
    </row>
    <row r="35" spans="2:10" x14ac:dyDescent="0.25">
      <c r="C35" s="68" t="s">
        <v>56</v>
      </c>
      <c r="D35" s="99">
        <f>SUM(D36:D46)</f>
        <v>131258.66800095563</v>
      </c>
      <c r="E35" s="90">
        <f>SUM(E36:E46)</f>
        <v>102140.65417499999</v>
      </c>
      <c r="F35" s="100">
        <f t="shared" si="0"/>
        <v>-0.22183688338010291</v>
      </c>
      <c r="G35" s="99">
        <f>SUM(G36:G46)</f>
        <v>847942.91200161166</v>
      </c>
      <c r="H35" s="90">
        <f>SUM(H36:H46)</f>
        <v>746053.50504866627</v>
      </c>
      <c r="I35" s="100">
        <f t="shared" si="1"/>
        <v>-0.12016069184708479</v>
      </c>
      <c r="J35" s="101">
        <f>SUM(J36:J46)</f>
        <v>0.99999999999999989</v>
      </c>
    </row>
    <row r="36" spans="2:10" x14ac:dyDescent="0.25">
      <c r="B36" s="168"/>
      <c r="C36" s="185" t="s">
        <v>34</v>
      </c>
      <c r="D36" s="94">
        <v>47023.378405399999</v>
      </c>
      <c r="E36" s="94">
        <v>19233.156309999998</v>
      </c>
      <c r="F36" s="102">
        <f t="shared" si="0"/>
        <v>-0.59098735645520251</v>
      </c>
      <c r="G36" s="94">
        <v>303584.16167025</v>
      </c>
      <c r="H36" s="94">
        <v>171949.77364869998</v>
      </c>
      <c r="I36" s="112">
        <f t="shared" si="1"/>
        <v>-0.43360097344119664</v>
      </c>
      <c r="J36" s="113">
        <f>(H36/$H$35)</f>
        <v>0.23047914457218913</v>
      </c>
    </row>
    <row r="37" spans="2:10" x14ac:dyDescent="0.25">
      <c r="B37" s="168"/>
      <c r="C37" s="186" t="s">
        <v>57</v>
      </c>
      <c r="D37" s="94">
        <v>14618.292059877</v>
      </c>
      <c r="E37" s="94">
        <v>10845.118243999999</v>
      </c>
      <c r="F37" s="105">
        <f t="shared" si="0"/>
        <v>-0.2581131776832723</v>
      </c>
      <c r="G37" s="94">
        <v>96550.170476792002</v>
      </c>
      <c r="H37" s="94">
        <v>82862.798898291992</v>
      </c>
      <c r="I37" s="114">
        <f t="shared" si="1"/>
        <v>-0.14176434397689724</v>
      </c>
      <c r="J37" s="115">
        <f t="shared" ref="J37:J46" si="4">(H37/$H$35)</f>
        <v>0.11106817183693377</v>
      </c>
    </row>
    <row r="38" spans="2:10" x14ac:dyDescent="0.25">
      <c r="B38" s="168"/>
      <c r="C38" s="186" t="s">
        <v>58</v>
      </c>
      <c r="D38" s="94">
        <v>8432.112000000001</v>
      </c>
      <c r="E38" s="94">
        <v>6918.8033999999998</v>
      </c>
      <c r="F38" s="105">
        <f t="shared" si="0"/>
        <v>-0.17946969869470436</v>
      </c>
      <c r="G38" s="94">
        <v>51647.586500000005</v>
      </c>
      <c r="H38" s="94">
        <v>53411.672499999993</v>
      </c>
      <c r="I38" s="114">
        <f t="shared" si="1"/>
        <v>3.4156213669345195E-2</v>
      </c>
      <c r="J38" s="115">
        <f t="shared" si="4"/>
        <v>7.1592281436323874E-2</v>
      </c>
    </row>
    <row r="39" spans="2:10" x14ac:dyDescent="0.25">
      <c r="B39" s="168"/>
      <c r="C39" s="186" t="s">
        <v>59</v>
      </c>
      <c r="D39" s="94">
        <v>6803.480517</v>
      </c>
      <c r="E39" s="94">
        <v>4723.339215</v>
      </c>
      <c r="F39" s="105">
        <f t="shared" si="0"/>
        <v>-0.30574663906250737</v>
      </c>
      <c r="G39" s="94">
        <v>32156.221278000001</v>
      </c>
      <c r="H39" s="94">
        <v>37969.789947999998</v>
      </c>
      <c r="I39" s="114">
        <f t="shared" si="1"/>
        <v>0.18079141263956308</v>
      </c>
      <c r="J39" s="115">
        <f t="shared" si="4"/>
        <v>5.0894191490358544E-2</v>
      </c>
    </row>
    <row r="40" spans="2:10" x14ac:dyDescent="0.25">
      <c r="B40" s="168"/>
      <c r="C40" s="186" t="s">
        <v>39</v>
      </c>
      <c r="D40" s="94">
        <v>4274.03388</v>
      </c>
      <c r="E40" s="94">
        <v>4991.8371109999998</v>
      </c>
      <c r="F40" s="114">
        <f t="shared" si="0"/>
        <v>0.16794514296175861</v>
      </c>
      <c r="G40" s="94">
        <v>28616.711080999998</v>
      </c>
      <c r="H40" s="94">
        <v>37395.076810999999</v>
      </c>
      <c r="I40" s="114">
        <f t="shared" si="1"/>
        <v>0.30675662570561357</v>
      </c>
      <c r="J40" s="115">
        <f t="shared" si="4"/>
        <v>5.0123853795929367E-2</v>
      </c>
    </row>
    <row r="41" spans="2:10" x14ac:dyDescent="0.25">
      <c r="B41" s="168"/>
      <c r="C41" s="186" t="s">
        <v>60</v>
      </c>
      <c r="D41" s="94">
        <v>4470.5531922099999</v>
      </c>
      <c r="E41" s="94">
        <v>5122.2058180000004</v>
      </c>
      <c r="F41" s="114">
        <f t="shared" si="0"/>
        <v>0.14576554573279971</v>
      </c>
      <c r="G41" s="94">
        <v>29279.718501110001</v>
      </c>
      <c r="H41" s="94">
        <v>34447.2394518</v>
      </c>
      <c r="I41" s="114">
        <f t="shared" si="1"/>
        <v>0.17648806802886774</v>
      </c>
      <c r="J41" s="115">
        <f t="shared" si="4"/>
        <v>4.6172612578977097E-2</v>
      </c>
    </row>
    <row r="42" spans="2:10" x14ac:dyDescent="0.25">
      <c r="B42" s="168"/>
      <c r="C42" s="186" t="s">
        <v>61</v>
      </c>
      <c r="D42" s="94">
        <v>3893.0745082499998</v>
      </c>
      <c r="E42" s="94">
        <v>5094.4128229999997</v>
      </c>
      <c r="F42" s="114">
        <f t="shared" si="0"/>
        <v>0.30858343764142881</v>
      </c>
      <c r="G42" s="94">
        <v>24812.053538759999</v>
      </c>
      <c r="H42" s="94">
        <v>31455.530429589995</v>
      </c>
      <c r="I42" s="114">
        <f t="shared" si="1"/>
        <v>0.26775199724810883</v>
      </c>
      <c r="J42" s="115">
        <f t="shared" si="4"/>
        <v>4.2162566379924854E-2</v>
      </c>
    </row>
    <row r="43" spans="2:10" x14ac:dyDescent="0.25">
      <c r="B43" s="168"/>
      <c r="C43" s="186" t="s">
        <v>63</v>
      </c>
      <c r="D43" s="94">
        <v>4709.3742300000004</v>
      </c>
      <c r="E43" s="94">
        <v>4554.5139400000007</v>
      </c>
      <c r="F43" s="114">
        <f t="shared" si="0"/>
        <v>-3.2883411348687747E-2</v>
      </c>
      <c r="G43" s="94">
        <v>31749.291926000002</v>
      </c>
      <c r="H43" s="94">
        <v>29045.899142000002</v>
      </c>
      <c r="I43" s="114">
        <f t="shared" si="1"/>
        <v>-8.5148128351994784E-2</v>
      </c>
      <c r="J43" s="115">
        <f t="shared" si="4"/>
        <v>3.8932729282071116E-2</v>
      </c>
    </row>
    <row r="44" spans="2:10" x14ac:dyDescent="0.25">
      <c r="B44" s="168"/>
      <c r="C44" s="186" t="s">
        <v>62</v>
      </c>
      <c r="D44" s="94">
        <v>4552.1032715999991</v>
      </c>
      <c r="E44" s="94">
        <v>2348.6230229999996</v>
      </c>
      <c r="F44" s="114">
        <f t="shared" si="0"/>
        <v>-0.48405761405881015</v>
      </c>
      <c r="G44" s="94">
        <v>21790.840496700002</v>
      </c>
      <c r="H44" s="94">
        <v>28447.7039921</v>
      </c>
      <c r="I44" s="114">
        <f t="shared" si="1"/>
        <v>0.30548906529824355</v>
      </c>
      <c r="J44" s="115">
        <f t="shared" si="4"/>
        <v>3.8130916616019798E-2</v>
      </c>
    </row>
    <row r="45" spans="2:10" x14ac:dyDescent="0.25">
      <c r="B45" s="168"/>
      <c r="C45" s="186" t="s">
        <v>64</v>
      </c>
      <c r="D45" s="94">
        <v>4254.5052203449995</v>
      </c>
      <c r="E45" s="94">
        <v>5749.4404340000001</v>
      </c>
      <c r="F45" s="114">
        <f t="shared" si="0"/>
        <v>0.35137698421575225</v>
      </c>
      <c r="G45" s="94">
        <v>29199.137352618</v>
      </c>
      <c r="H45" s="94">
        <v>27349.964812271002</v>
      </c>
      <c r="I45" s="114">
        <f t="shared" si="1"/>
        <v>-6.3329697655646666E-2</v>
      </c>
      <c r="J45" s="115">
        <f t="shared" si="4"/>
        <v>3.6659521907194736E-2</v>
      </c>
    </row>
    <row r="46" spans="2:10" x14ac:dyDescent="0.2">
      <c r="B46" s="168"/>
      <c r="C46" s="188" t="s">
        <v>127</v>
      </c>
      <c r="D46" s="94">
        <v>28227.760716273602</v>
      </c>
      <c r="E46" s="94">
        <v>32559.203857</v>
      </c>
      <c r="F46" s="109">
        <f>(E46-D46)/D46</f>
        <v>0.15344621857408886</v>
      </c>
      <c r="G46" s="118">
        <v>198557.01918038153</v>
      </c>
      <c r="H46" s="118">
        <v>211718.05541491331</v>
      </c>
      <c r="I46" s="107">
        <f t="shared" si="1"/>
        <v>6.6283409616335359E-2</v>
      </c>
      <c r="J46" s="116">
        <f t="shared" si="4"/>
        <v>0.28378401010407772</v>
      </c>
    </row>
    <row r="47" spans="2:10" x14ac:dyDescent="0.25">
      <c r="B47" s="168"/>
      <c r="C47" s="170" t="s">
        <v>65</v>
      </c>
      <c r="D47" s="90">
        <f>SUM(D48:D58)</f>
        <v>301304.84401216073</v>
      </c>
      <c r="E47" s="90">
        <f>SUM(E48:E58)</f>
        <v>302718.58791891835</v>
      </c>
      <c r="F47" s="169">
        <f t="shared" si="0"/>
        <v>4.6920716173436648E-3</v>
      </c>
      <c r="G47" s="99">
        <f>SUM(G48:G58)</f>
        <v>2102663.7178525669</v>
      </c>
      <c r="H47" s="90">
        <f>SUM(H48:H58)</f>
        <v>2051671.2285484236</v>
      </c>
      <c r="I47" s="100">
        <f t="shared" si="1"/>
        <v>-2.4251376418965104E-2</v>
      </c>
      <c r="J47" s="101">
        <f>SUM(J48:J58)</f>
        <v>1</v>
      </c>
    </row>
    <row r="48" spans="2:10" x14ac:dyDescent="0.25">
      <c r="B48" s="168"/>
      <c r="C48" s="70" t="s">
        <v>34</v>
      </c>
      <c r="D48" s="94">
        <v>45401.5433214402</v>
      </c>
      <c r="E48" s="94">
        <v>41046.510733999996</v>
      </c>
      <c r="F48" s="102">
        <f t="shared" si="0"/>
        <v>-9.592256713845243E-2</v>
      </c>
      <c r="G48" s="94">
        <v>293039.7509462288</v>
      </c>
      <c r="H48" s="94">
        <v>302617.18651793705</v>
      </c>
      <c r="I48" s="105">
        <f t="shared" si="1"/>
        <v>3.2683059348714974E-2</v>
      </c>
      <c r="J48" s="104">
        <f>(H48/$H$47)</f>
        <v>0.14749789454913861</v>
      </c>
    </row>
    <row r="49" spans="2:10" x14ac:dyDescent="0.25">
      <c r="B49" s="168"/>
      <c r="C49" s="66" t="s">
        <v>66</v>
      </c>
      <c r="D49" s="94">
        <v>33812.951507596998</v>
      </c>
      <c r="E49" s="94">
        <v>36113.417808999999</v>
      </c>
      <c r="F49" s="105">
        <f t="shared" si="0"/>
        <v>6.8035063454491368E-2</v>
      </c>
      <c r="G49" s="94">
        <v>231495.41518653498</v>
      </c>
      <c r="H49" s="94">
        <v>238918.91414225742</v>
      </c>
      <c r="I49" s="105">
        <f t="shared" si="1"/>
        <v>3.2067585225135913E-2</v>
      </c>
      <c r="J49" s="106">
        <f t="shared" ref="J49:J58" si="5">(H49/$H$47)</f>
        <v>0.11645087712776221</v>
      </c>
    </row>
    <row r="50" spans="2:10" x14ac:dyDescent="0.25">
      <c r="B50" s="168"/>
      <c r="C50" s="66" t="s">
        <v>39</v>
      </c>
      <c r="D50" s="94">
        <v>19966.953098749302</v>
      </c>
      <c r="E50" s="94">
        <v>19562.626187999998</v>
      </c>
      <c r="F50" s="105">
        <f t="shared" si="0"/>
        <v>-2.024980520310982E-2</v>
      </c>
      <c r="G50" s="94">
        <v>134828.42524112851</v>
      </c>
      <c r="H50" s="94">
        <v>130953.65198458989</v>
      </c>
      <c r="I50" s="105">
        <f t="shared" si="1"/>
        <v>-2.8738548637714498E-2</v>
      </c>
      <c r="J50" s="106">
        <f t="shared" si="5"/>
        <v>6.3827795683054356E-2</v>
      </c>
    </row>
    <row r="51" spans="2:10" x14ac:dyDescent="0.25">
      <c r="B51" s="168"/>
      <c r="C51" s="66" t="s">
        <v>35</v>
      </c>
      <c r="D51" s="94">
        <v>13309.31241167</v>
      </c>
      <c r="E51" s="94">
        <v>16146.660593000001</v>
      </c>
      <c r="F51" s="105">
        <f t="shared" si="0"/>
        <v>0.21318518144048745</v>
      </c>
      <c r="G51" s="94">
        <v>86893.638741154602</v>
      </c>
      <c r="H51" s="94">
        <v>103808.6082217581</v>
      </c>
      <c r="I51" s="105">
        <f t="shared" si="1"/>
        <v>0.19466292038927152</v>
      </c>
      <c r="J51" s="106">
        <f t="shared" si="5"/>
        <v>5.0597097028651929E-2</v>
      </c>
    </row>
    <row r="52" spans="2:10" x14ac:dyDescent="0.25">
      <c r="B52" s="168"/>
      <c r="C52" s="66" t="s">
        <v>37</v>
      </c>
      <c r="D52" s="94">
        <v>13893.590780262799</v>
      </c>
      <c r="E52" s="94">
        <v>13878.178148999999</v>
      </c>
      <c r="F52" s="105">
        <f t="shared" si="0"/>
        <v>-1.1093339012614866E-3</v>
      </c>
      <c r="G52" s="94">
        <v>104103.96626871219</v>
      </c>
      <c r="H52" s="94">
        <v>97420.385266986385</v>
      </c>
      <c r="I52" s="105">
        <f t="shared" si="1"/>
        <v>-6.4201021740845174E-2</v>
      </c>
      <c r="J52" s="236">
        <f t="shared" si="5"/>
        <v>4.7483429075482142E-2</v>
      </c>
    </row>
    <row r="53" spans="2:10" x14ac:dyDescent="0.25">
      <c r="B53" s="168"/>
      <c r="C53" s="66" t="s">
        <v>57</v>
      </c>
      <c r="D53" s="94">
        <v>16443.792785001002</v>
      </c>
      <c r="E53" s="94">
        <v>14725.254002</v>
      </c>
      <c r="F53" s="105">
        <f t="shared" si="0"/>
        <v>-0.10450987831521118</v>
      </c>
      <c r="G53" s="94">
        <v>123500.83208306158</v>
      </c>
      <c r="H53" s="94">
        <v>96940.686127859604</v>
      </c>
      <c r="I53" s="105">
        <f t="shared" si="1"/>
        <v>-0.21506046159542244</v>
      </c>
      <c r="J53" s="236">
        <f t="shared" si="5"/>
        <v>4.724962010431176E-2</v>
      </c>
    </row>
    <row r="54" spans="2:10" x14ac:dyDescent="0.25">
      <c r="B54" s="168"/>
      <c r="C54" s="66" t="s">
        <v>51</v>
      </c>
      <c r="D54" s="94">
        <v>14849.337187081899</v>
      </c>
      <c r="E54" s="94">
        <v>11690.477672000001</v>
      </c>
      <c r="F54" s="105">
        <f t="shared" si="0"/>
        <v>-0.21272730730567094</v>
      </c>
      <c r="G54" s="94">
        <v>106952.05378395249</v>
      </c>
      <c r="H54" s="94">
        <v>83563.152915768587</v>
      </c>
      <c r="I54" s="105">
        <f t="shared" si="1"/>
        <v>-0.21868585072176769</v>
      </c>
      <c r="J54" s="106">
        <f t="shared" si="5"/>
        <v>4.0729309722245456E-2</v>
      </c>
    </row>
    <row r="55" spans="2:10" x14ac:dyDescent="0.25">
      <c r="B55" s="168"/>
      <c r="C55" s="66" t="s">
        <v>67</v>
      </c>
      <c r="D55" s="94">
        <v>12592.988665832499</v>
      </c>
      <c r="E55" s="94">
        <v>11602.282858</v>
      </c>
      <c r="F55" s="105">
        <f t="shared" si="0"/>
        <v>-7.8671222068236901E-2</v>
      </c>
      <c r="G55" s="94">
        <v>77762.174141124895</v>
      </c>
      <c r="H55" s="94">
        <v>76571.871859936815</v>
      </c>
      <c r="I55" s="105">
        <f t="shared" si="1"/>
        <v>-1.5306957326423093E-2</v>
      </c>
      <c r="J55" s="106">
        <f t="shared" si="5"/>
        <v>3.7321706711319493E-2</v>
      </c>
    </row>
    <row r="56" spans="2:10" x14ac:dyDescent="0.25">
      <c r="B56" s="168"/>
      <c r="C56" s="66" t="s">
        <v>63</v>
      </c>
      <c r="D56" s="94">
        <v>12243.943109251599</v>
      </c>
      <c r="E56" s="94">
        <v>11189.458528000001</v>
      </c>
      <c r="F56" s="105">
        <f t="shared" si="0"/>
        <v>-8.6122956619654883E-2</v>
      </c>
      <c r="G56" s="94">
        <v>80239.839069085399</v>
      </c>
      <c r="H56" s="94">
        <v>74313.2352054066</v>
      </c>
      <c r="I56" s="105">
        <f t="shared" si="1"/>
        <v>-7.3861113537080691E-2</v>
      </c>
      <c r="J56" s="106">
        <f t="shared" si="5"/>
        <v>3.6220830204839349E-2</v>
      </c>
    </row>
    <row r="57" spans="2:10" x14ac:dyDescent="0.25">
      <c r="B57" s="168"/>
      <c r="C57" s="66" t="s">
        <v>62</v>
      </c>
      <c r="D57" s="94">
        <v>8569.4142982408994</v>
      </c>
      <c r="E57" s="94">
        <v>8870.0574740000011</v>
      </c>
      <c r="F57" s="105">
        <f t="shared" si="0"/>
        <v>3.5083281691820727E-2</v>
      </c>
      <c r="G57" s="94">
        <v>60173.229647044194</v>
      </c>
      <c r="H57" s="94">
        <v>69469.94615953241</v>
      </c>
      <c r="I57" s="105">
        <f t="shared" si="1"/>
        <v>0.15449921114455065</v>
      </c>
      <c r="J57" s="106">
        <f t="shared" si="5"/>
        <v>3.3860174667791704E-2</v>
      </c>
    </row>
    <row r="58" spans="2:10" x14ac:dyDescent="0.2">
      <c r="B58" s="168"/>
      <c r="C58" s="184" t="s">
        <v>128</v>
      </c>
      <c r="D58" s="94">
        <v>110221.01684703352</v>
      </c>
      <c r="E58" s="94">
        <v>117893.66391191835</v>
      </c>
      <c r="F58" s="109">
        <f t="shared" si="0"/>
        <v>6.9611470519574822E-2</v>
      </c>
      <c r="G58" s="94">
        <v>803674.39274453954</v>
      </c>
      <c r="H58" s="94">
        <v>777093.59014639095</v>
      </c>
      <c r="I58" s="107">
        <f t="shared" si="1"/>
        <v>-3.3074094232834049E-2</v>
      </c>
      <c r="J58" s="116">
        <f t="shared" si="5"/>
        <v>0.37876126512540309</v>
      </c>
    </row>
    <row r="59" spans="2:10" x14ac:dyDescent="0.25">
      <c r="C59" s="68" t="s">
        <v>68</v>
      </c>
      <c r="D59" s="99">
        <f>SUM(D60:D70)</f>
        <v>26804.970046064795</v>
      </c>
      <c r="E59" s="90">
        <f>SUM(E60:E70)</f>
        <v>26122.493079</v>
      </c>
      <c r="F59" s="100">
        <f t="shared" si="0"/>
        <v>-2.5460836773626178E-2</v>
      </c>
      <c r="G59" s="99">
        <f>SUM(G60:G70)</f>
        <v>180178.03668610088</v>
      </c>
      <c r="H59" s="90">
        <f>SUM(H60:H70)</f>
        <v>165375.35404773499</v>
      </c>
      <c r="I59" s="100">
        <f t="shared" si="1"/>
        <v>-8.2155866001329264E-2</v>
      </c>
      <c r="J59" s="101">
        <f>SUM(J60:J70)</f>
        <v>1</v>
      </c>
    </row>
    <row r="60" spans="2:10" x14ac:dyDescent="0.25">
      <c r="B60" s="168"/>
      <c r="C60" s="185" t="s">
        <v>57</v>
      </c>
      <c r="D60" s="94">
        <v>2498.0608063149998</v>
      </c>
      <c r="E60" s="94">
        <v>1925.9219909999999</v>
      </c>
      <c r="F60" s="102">
        <f t="shared" si="0"/>
        <v>-0.22903318200608064</v>
      </c>
      <c r="G60" s="94">
        <v>16794.906290555999</v>
      </c>
      <c r="H60" s="94">
        <v>14626.459411671</v>
      </c>
      <c r="I60" s="102">
        <f t="shared" si="1"/>
        <v>-0.12911336576521096</v>
      </c>
      <c r="J60" s="104">
        <f>(H60/$H$59)</f>
        <v>8.844400966451825E-2</v>
      </c>
    </row>
    <row r="61" spans="2:10" x14ac:dyDescent="0.25">
      <c r="B61" s="168"/>
      <c r="C61" s="186" t="s">
        <v>63</v>
      </c>
      <c r="D61" s="94">
        <v>2402.8685459999997</v>
      </c>
      <c r="E61" s="94">
        <v>2358.3908219999998</v>
      </c>
      <c r="F61" s="105">
        <f t="shared" si="0"/>
        <v>-1.8510261026988307E-2</v>
      </c>
      <c r="G61" s="94">
        <v>16082.704029999999</v>
      </c>
      <c r="H61" s="94">
        <v>14196.972720999998</v>
      </c>
      <c r="I61" s="105">
        <f t="shared" si="1"/>
        <v>-0.11725213033097151</v>
      </c>
      <c r="J61" s="106">
        <f t="shared" ref="J61:J70" si="6">(H61/$H$59)</f>
        <v>8.5846967964174972E-2</v>
      </c>
    </row>
    <row r="62" spans="2:10" x14ac:dyDescent="0.25">
      <c r="B62" s="168"/>
      <c r="C62" s="186" t="s">
        <v>64</v>
      </c>
      <c r="D62" s="94">
        <v>2471.1671703329998</v>
      </c>
      <c r="E62" s="94">
        <v>3161.2701529999999</v>
      </c>
      <c r="F62" s="105">
        <f t="shared" si="0"/>
        <v>0.2792619580544225</v>
      </c>
      <c r="G62" s="94">
        <v>14911.8405386182</v>
      </c>
      <c r="H62" s="94">
        <v>13955.863484760999</v>
      </c>
      <c r="I62" s="105">
        <f t="shared" si="1"/>
        <v>-6.4108588834587033E-2</v>
      </c>
      <c r="J62" s="106">
        <f t="shared" si="6"/>
        <v>8.4389016520156263E-2</v>
      </c>
    </row>
    <row r="63" spans="2:10" x14ac:dyDescent="0.25">
      <c r="B63" s="168"/>
      <c r="C63" s="186" t="s">
        <v>69</v>
      </c>
      <c r="D63" s="94">
        <v>1883.4267584000002</v>
      </c>
      <c r="E63" s="94">
        <v>2291.9720859999998</v>
      </c>
      <c r="F63" s="105">
        <f t="shared" si="0"/>
        <v>0.21691596223633625</v>
      </c>
      <c r="G63" s="94">
        <v>12771.153926700001</v>
      </c>
      <c r="H63" s="94">
        <v>13642.109737499999</v>
      </c>
      <c r="I63" s="105">
        <f t="shared" si="1"/>
        <v>6.8197111693966458E-2</v>
      </c>
      <c r="J63" s="106">
        <f t="shared" si="6"/>
        <v>8.2491794596927986E-2</v>
      </c>
    </row>
    <row r="64" spans="2:10" x14ac:dyDescent="0.25">
      <c r="B64" s="168"/>
      <c r="C64" s="186" t="s">
        <v>66</v>
      </c>
      <c r="D64" s="94">
        <v>1838.1777520000001</v>
      </c>
      <c r="E64" s="94">
        <v>1848.369389</v>
      </c>
      <c r="F64" s="105">
        <f t="shared" si="0"/>
        <v>5.5444240846191572E-3</v>
      </c>
      <c r="G64" s="94">
        <v>11953.990322599999</v>
      </c>
      <c r="H64" s="94">
        <v>12428.849136299999</v>
      </c>
      <c r="I64" s="105">
        <f t="shared" si="1"/>
        <v>3.9723874696655982E-2</v>
      </c>
      <c r="J64" s="106">
        <f t="shared" si="6"/>
        <v>7.5155389434343758E-2</v>
      </c>
    </row>
    <row r="65" spans="2:10" x14ac:dyDescent="0.25">
      <c r="B65" s="168"/>
      <c r="C65" s="186" t="s">
        <v>70</v>
      </c>
      <c r="D65" s="94">
        <v>1401.988681</v>
      </c>
      <c r="E65" s="94">
        <v>1242.5934999999999</v>
      </c>
      <c r="F65" s="105">
        <f t="shared" si="0"/>
        <v>-0.1136922024836234</v>
      </c>
      <c r="G65" s="94">
        <v>9550.4767740000007</v>
      </c>
      <c r="H65" s="94">
        <v>8566.9340489999995</v>
      </c>
      <c r="I65" s="105">
        <f t="shared" si="1"/>
        <v>-0.10298362566333603</v>
      </c>
      <c r="J65" s="106">
        <f t="shared" si="6"/>
        <v>5.1802967245815755E-2</v>
      </c>
    </row>
    <row r="66" spans="2:10" x14ac:dyDescent="0.25">
      <c r="B66" s="168"/>
      <c r="C66" s="186" t="s">
        <v>71</v>
      </c>
      <c r="D66" s="94">
        <v>1358.530524</v>
      </c>
      <c r="E66" s="94">
        <v>1352.1978360000001</v>
      </c>
      <c r="F66" s="105">
        <f t="shared" si="0"/>
        <v>-4.6614248911789353E-3</v>
      </c>
      <c r="G66" s="94">
        <v>7201.060434</v>
      </c>
      <c r="H66" s="94">
        <v>8405.5245670000004</v>
      </c>
      <c r="I66" s="105">
        <f t="shared" si="1"/>
        <v>0.16726205036595593</v>
      </c>
      <c r="J66" s="106">
        <f t="shared" si="6"/>
        <v>5.0826948280175872E-2</v>
      </c>
    </row>
    <row r="67" spans="2:10" x14ac:dyDescent="0.25">
      <c r="B67" s="168"/>
      <c r="C67" s="186" t="s">
        <v>72</v>
      </c>
      <c r="D67" s="94">
        <v>1081.6554719999999</v>
      </c>
      <c r="E67" s="94">
        <v>1284.28973</v>
      </c>
      <c r="F67" s="105">
        <f t="shared" si="0"/>
        <v>0.18733715424683772</v>
      </c>
      <c r="G67" s="94">
        <v>9563.211418400002</v>
      </c>
      <c r="H67" s="94">
        <v>8097.9155260000007</v>
      </c>
      <c r="I67" s="105">
        <f t="shared" si="1"/>
        <v>-0.15322215815293105</v>
      </c>
      <c r="J67" s="106">
        <f t="shared" si="6"/>
        <v>4.8966882475502169E-2</v>
      </c>
    </row>
    <row r="68" spans="2:10" x14ac:dyDescent="0.25">
      <c r="B68" s="168"/>
      <c r="C68" s="186" t="s">
        <v>67</v>
      </c>
      <c r="D68" s="94">
        <v>1483.9098158520001</v>
      </c>
      <c r="E68" s="94">
        <v>1081.26439</v>
      </c>
      <c r="F68" s="105">
        <f t="shared" si="0"/>
        <v>-0.27134090060642774</v>
      </c>
      <c r="G68" s="94">
        <v>9235.9519969370012</v>
      </c>
      <c r="H68" s="94">
        <v>7455.0426564729996</v>
      </c>
      <c r="I68" s="105">
        <f t="shared" si="1"/>
        <v>-0.19282358126748819</v>
      </c>
      <c r="J68" s="236">
        <f t="shared" si="6"/>
        <v>4.5079526507445171E-2</v>
      </c>
    </row>
    <row r="69" spans="2:10" x14ac:dyDescent="0.25">
      <c r="B69" s="168"/>
      <c r="C69" s="186" t="s">
        <v>73</v>
      </c>
      <c r="D69" s="94">
        <v>814.17752000000007</v>
      </c>
      <c r="E69" s="94">
        <v>665.39927999999998</v>
      </c>
      <c r="F69" s="105">
        <f t="shared" si="0"/>
        <v>-0.18273439924993273</v>
      </c>
      <c r="G69" s="94">
        <v>7746.7608202000001</v>
      </c>
      <c r="H69" s="94">
        <v>7441.781693500001</v>
      </c>
      <c r="I69" s="105">
        <f t="shared" si="1"/>
        <v>-3.9368599828815347E-2</v>
      </c>
      <c r="J69" s="236">
        <f t="shared" si="6"/>
        <v>4.4999339450254229E-2</v>
      </c>
    </row>
    <row r="70" spans="2:10" x14ac:dyDescent="0.2">
      <c r="B70" s="168"/>
      <c r="C70" s="187" t="s">
        <v>127</v>
      </c>
      <c r="D70" s="94">
        <v>9571.0070001647964</v>
      </c>
      <c r="E70" s="94">
        <v>8910.8239020000019</v>
      </c>
      <c r="F70" s="114">
        <f t="shared" si="0"/>
        <v>-6.8977391632189522E-2</v>
      </c>
      <c r="G70" s="94">
        <v>64365.980134089696</v>
      </c>
      <c r="H70" s="94">
        <v>56557.90106453</v>
      </c>
      <c r="I70" s="107">
        <f t="shared" si="1"/>
        <v>-0.12130754558997786</v>
      </c>
      <c r="J70" s="116">
        <f t="shared" si="6"/>
        <v>0.34199715786068563</v>
      </c>
    </row>
    <row r="71" spans="2:10" x14ac:dyDescent="0.25">
      <c r="C71" s="68" t="s">
        <v>74</v>
      </c>
      <c r="D71" s="99">
        <f>SUM(D72:D73)</f>
        <v>1040961.796982</v>
      </c>
      <c r="E71" s="90">
        <f>SUM(E72:E73)</f>
        <v>1066370.64986</v>
      </c>
      <c r="F71" s="100">
        <f t="shared" si="0"/>
        <v>2.4409015731092547E-2</v>
      </c>
      <c r="G71" s="90">
        <f>SUM(G72:G73)</f>
        <v>6092975.9230459994</v>
      </c>
      <c r="H71" s="90">
        <f>SUM(H72:H73)</f>
        <v>8195647.5473280009</v>
      </c>
      <c r="I71" s="100">
        <f t="shared" si="1"/>
        <v>0.34509764207813154</v>
      </c>
      <c r="J71" s="101">
        <f>SUM(J72:J73)</f>
        <v>1</v>
      </c>
    </row>
    <row r="72" spans="2:10" x14ac:dyDescent="0.25">
      <c r="B72" s="168"/>
      <c r="C72" s="185" t="s">
        <v>75</v>
      </c>
      <c r="D72" s="94">
        <v>1018129.4808</v>
      </c>
      <c r="E72" s="94">
        <v>1045094.9774</v>
      </c>
      <c r="F72" s="105">
        <f t="shared" si="0"/>
        <v>2.6485331294809074E-2</v>
      </c>
      <c r="G72" s="94">
        <v>5962035.7491799993</v>
      </c>
      <c r="H72" s="94">
        <v>8052387.5045000007</v>
      </c>
      <c r="I72" s="102">
        <f t="shared" si="1"/>
        <v>0.35061040276511291</v>
      </c>
      <c r="J72" s="104">
        <f>(H72/$H$71)</f>
        <v>0.98251998490653658</v>
      </c>
    </row>
    <row r="73" spans="2:10" x14ac:dyDescent="0.25">
      <c r="B73" s="168"/>
      <c r="C73" s="189" t="s">
        <v>59</v>
      </c>
      <c r="D73" s="94">
        <v>22832.316181999999</v>
      </c>
      <c r="E73" s="94">
        <v>21275.672460000002</v>
      </c>
      <c r="F73" s="107">
        <f t="shared" si="0"/>
        <v>-6.8177214680794712E-2</v>
      </c>
      <c r="G73" s="94">
        <v>130940.17386599998</v>
      </c>
      <c r="H73" s="94">
        <v>143260.04282800001</v>
      </c>
      <c r="I73" s="107">
        <f t="shared" si="1"/>
        <v>9.4087769996454906E-2</v>
      </c>
      <c r="J73" s="108">
        <f>(H73/$H$71)</f>
        <v>1.7480015093463429E-2</v>
      </c>
    </row>
    <row r="74" spans="2:10" x14ac:dyDescent="0.25">
      <c r="B74" s="168"/>
      <c r="C74" s="170" t="s">
        <v>76</v>
      </c>
      <c r="D74" s="90">
        <f>SUM(D75:D75)</f>
        <v>3033.0752000000002</v>
      </c>
      <c r="E74" s="90">
        <f>SUM(E75:E75)</f>
        <v>3230.7702250000002</v>
      </c>
      <c r="F74" s="100">
        <f t="shared" si="0"/>
        <v>6.5179730789398163E-2</v>
      </c>
      <c r="G74" s="99">
        <f>SUM(G75:G75)</f>
        <v>19479.14014</v>
      </c>
      <c r="H74" s="90">
        <f>SUM(H75:H75)</f>
        <v>20745.130567</v>
      </c>
      <c r="I74" s="100">
        <f t="shared" si="1"/>
        <v>6.4992110426903102E-2</v>
      </c>
      <c r="J74" s="101">
        <f>SUM(J75:J75)</f>
        <v>1</v>
      </c>
    </row>
    <row r="75" spans="2:10" x14ac:dyDescent="0.25">
      <c r="C75" s="70" t="s">
        <v>77</v>
      </c>
      <c r="D75" s="92">
        <v>3033.0752000000002</v>
      </c>
      <c r="E75" s="92">
        <v>3230.7702250000002</v>
      </c>
      <c r="F75" s="126">
        <f t="shared" ref="F75:F90" si="7">(E75-D75)/D75</f>
        <v>6.5179730789398163E-2</v>
      </c>
      <c r="G75" s="91">
        <v>19479.14014</v>
      </c>
      <c r="H75" s="92">
        <v>20745.130567</v>
      </c>
      <c r="I75" s="102">
        <f t="shared" ref="I75:I90" si="8">(H75-G75)/G75</f>
        <v>6.4992110426903102E-2</v>
      </c>
      <c r="J75" s="104">
        <f>(H75/$H$74)</f>
        <v>1</v>
      </c>
    </row>
    <row r="76" spans="2:10" x14ac:dyDescent="0.25">
      <c r="C76" s="68" t="s">
        <v>78</v>
      </c>
      <c r="D76" s="99">
        <f>SUM(D77:D81)</f>
        <v>3136.8209697599996</v>
      </c>
      <c r="E76" s="90">
        <f>SUM(E77:E81)</f>
        <v>3606.7932000000001</v>
      </c>
      <c r="F76" s="100">
        <f t="shared" si="7"/>
        <v>0.14982437148013533</v>
      </c>
      <c r="G76" s="99">
        <f>SUM(G77:G81)</f>
        <v>22794.191209574903</v>
      </c>
      <c r="H76" s="90">
        <f>SUM(H77:H81)</f>
        <v>22384.038452193403</v>
      </c>
      <c r="I76" s="100">
        <f t="shared" si="8"/>
        <v>-1.7993740317893438E-2</v>
      </c>
      <c r="J76" s="101">
        <f>SUM(J77:J81)</f>
        <v>1</v>
      </c>
    </row>
    <row r="77" spans="2:10" x14ac:dyDescent="0.25">
      <c r="B77" s="168"/>
      <c r="C77" s="70" t="s">
        <v>37</v>
      </c>
      <c r="D77" s="92">
        <v>1234.8022145999998</v>
      </c>
      <c r="E77" s="92">
        <v>1214.6628940000001</v>
      </c>
      <c r="F77" s="102">
        <f t="shared" si="7"/>
        <v>-1.6309754195349978E-2</v>
      </c>
      <c r="G77" s="91">
        <v>8450.0727282000007</v>
      </c>
      <c r="H77" s="92">
        <v>7989.6873672000011</v>
      </c>
      <c r="I77" s="102">
        <f t="shared" si="8"/>
        <v>-5.4483005745451021E-2</v>
      </c>
      <c r="J77" s="104">
        <f>(H77/$H$76)</f>
        <v>0.35693681389370091</v>
      </c>
    </row>
    <row r="78" spans="2:10" x14ac:dyDescent="0.25">
      <c r="B78" s="168"/>
      <c r="C78" s="66" t="s">
        <v>36</v>
      </c>
      <c r="D78" s="94">
        <v>776.54232479999996</v>
      </c>
      <c r="E78" s="94">
        <v>1012.2219</v>
      </c>
      <c r="F78" s="105">
        <f t="shared" si="7"/>
        <v>0.30349868599976154</v>
      </c>
      <c r="G78" s="93">
        <v>5477.1723153000003</v>
      </c>
      <c r="H78" s="94">
        <v>6229.1810611000001</v>
      </c>
      <c r="I78" s="105">
        <f t="shared" si="8"/>
        <v>0.1372987195782264</v>
      </c>
      <c r="J78" s="106">
        <f t="shared" ref="J78:J81" si="9">(H78/$H$76)</f>
        <v>0.2782867387582425</v>
      </c>
    </row>
    <row r="79" spans="2:10" x14ac:dyDescent="0.25">
      <c r="B79" s="168"/>
      <c r="C79" s="66" t="s">
        <v>38</v>
      </c>
      <c r="D79" s="94">
        <v>371.61218952000002</v>
      </c>
      <c r="E79" s="94">
        <v>458.07126</v>
      </c>
      <c r="F79" s="105">
        <f t="shared" si="7"/>
        <v>0.2326594038577596</v>
      </c>
      <c r="G79" s="121">
        <v>2737.8362086048996</v>
      </c>
      <c r="H79" s="122">
        <v>3477.0579344434</v>
      </c>
      <c r="I79" s="105">
        <f t="shared" si="8"/>
        <v>0.27000217307198976</v>
      </c>
      <c r="J79" s="106">
        <f t="shared" si="9"/>
        <v>0.15533648862646071</v>
      </c>
    </row>
    <row r="80" spans="2:10" x14ac:dyDescent="0.25">
      <c r="B80" s="168"/>
      <c r="C80" s="66" t="s">
        <v>35</v>
      </c>
      <c r="D80" s="96">
        <v>289.52709599999997</v>
      </c>
      <c r="E80" s="94">
        <v>336.65199000000001</v>
      </c>
      <c r="F80" s="105">
        <f t="shared" si="7"/>
        <v>0.16276505602087082</v>
      </c>
      <c r="G80" s="121">
        <v>1672.6255639999999</v>
      </c>
      <c r="H80" s="122">
        <v>1983.2182460000001</v>
      </c>
      <c r="I80" s="105">
        <f t="shared" si="8"/>
        <v>0.18569169853965009</v>
      </c>
      <c r="J80" s="106">
        <f t="shared" si="9"/>
        <v>8.8599662220722519E-2</v>
      </c>
    </row>
    <row r="81" spans="2:10" x14ac:dyDescent="0.25">
      <c r="B81" s="168"/>
      <c r="C81" s="66" t="s">
        <v>79</v>
      </c>
      <c r="D81" s="135">
        <v>464.33714484000001</v>
      </c>
      <c r="E81" s="96">
        <v>585.18515600000001</v>
      </c>
      <c r="F81" s="105">
        <f t="shared" si="7"/>
        <v>0.26025919421467231</v>
      </c>
      <c r="G81" s="93">
        <v>4456.4843934699993</v>
      </c>
      <c r="H81" s="94">
        <v>2704.8938434499996</v>
      </c>
      <c r="I81" s="105">
        <f t="shared" si="8"/>
        <v>-0.39304312443830647</v>
      </c>
      <c r="J81" s="106">
        <f t="shared" si="9"/>
        <v>0.12084029650087329</v>
      </c>
    </row>
    <row r="82" spans="2:10" x14ac:dyDescent="0.25">
      <c r="B82" s="168"/>
      <c r="C82" s="68" t="s">
        <v>80</v>
      </c>
      <c r="D82" s="171">
        <f>SUM(D83:D90)</f>
        <v>2570.5636897999993</v>
      </c>
      <c r="E82" s="90">
        <f>SUM(E83:E90)</f>
        <v>2277.090549</v>
      </c>
      <c r="F82" s="100">
        <f t="shared" si="7"/>
        <v>-0.11416684284637693</v>
      </c>
      <c r="G82" s="99">
        <f>SUM(G83:G90)</f>
        <v>16256.438501800003</v>
      </c>
      <c r="H82" s="90">
        <f>SUM(H83:H90)</f>
        <v>15178.435844199998</v>
      </c>
      <c r="I82" s="100">
        <f t="shared" si="8"/>
        <v>-6.6312351102035233E-2</v>
      </c>
      <c r="J82" s="101">
        <f>SUM(J83:J90)</f>
        <v>1.0000000000000002</v>
      </c>
    </row>
    <row r="83" spans="2:10" x14ac:dyDescent="0.25">
      <c r="C83" s="66" t="s">
        <v>43</v>
      </c>
      <c r="D83" s="124">
        <v>1742.4884334999999</v>
      </c>
      <c r="E83" s="125">
        <v>1464.6457539999999</v>
      </c>
      <c r="F83" s="126">
        <f t="shared" si="7"/>
        <v>-0.15945166358546164</v>
      </c>
      <c r="G83" s="91">
        <v>10556.055878000001</v>
      </c>
      <c r="H83" s="94">
        <v>9439.0423360000004</v>
      </c>
      <c r="I83" s="103">
        <f t="shared" si="8"/>
        <v>-0.10581731992608921</v>
      </c>
      <c r="J83" s="104">
        <f>(H83/$H$82)</f>
        <v>0.62187187355058449</v>
      </c>
    </row>
    <row r="84" spans="2:10" x14ac:dyDescent="0.25">
      <c r="C84" s="66" t="s">
        <v>39</v>
      </c>
      <c r="D84" s="127">
        <v>675.18524000000002</v>
      </c>
      <c r="E84" s="125">
        <v>697.89532599999995</v>
      </c>
      <c r="F84" s="103">
        <f t="shared" si="7"/>
        <v>3.3635341317591501E-2</v>
      </c>
      <c r="G84" s="93">
        <v>4475.3876280000004</v>
      </c>
      <c r="H84" s="94">
        <v>4918.4245969999993</v>
      </c>
      <c r="I84" s="103">
        <f t="shared" si="8"/>
        <v>9.8994099690530496E-2</v>
      </c>
      <c r="J84" s="106">
        <f t="shared" ref="J84:J89" si="10">(H84/$H$82)</f>
        <v>0.32404027974196259</v>
      </c>
    </row>
    <row r="85" spans="2:10" x14ac:dyDescent="0.25">
      <c r="C85" s="66" t="s">
        <v>81</v>
      </c>
      <c r="D85" s="127">
        <v>94.438706999999994</v>
      </c>
      <c r="E85" s="125">
        <v>83.964039999999997</v>
      </c>
      <c r="F85" s="103">
        <f t="shared" si="7"/>
        <v>-0.1109149768431285</v>
      </c>
      <c r="G85" s="93">
        <v>802.49481100000003</v>
      </c>
      <c r="H85" s="94">
        <v>569.47545909999997</v>
      </c>
      <c r="I85" s="103">
        <f t="shared" si="8"/>
        <v>-0.29036867118135179</v>
      </c>
      <c r="J85" s="106">
        <f t="shared" si="10"/>
        <v>3.7518718328121314E-2</v>
      </c>
    </row>
    <row r="86" spans="2:10" x14ac:dyDescent="0.25">
      <c r="C86" s="66" t="s">
        <v>66</v>
      </c>
      <c r="D86" s="127">
        <v>54.096689100000006</v>
      </c>
      <c r="E86" s="125">
        <v>24.834766999999999</v>
      </c>
      <c r="F86" s="103">
        <f t="shared" si="7"/>
        <v>-0.54091890995229142</v>
      </c>
      <c r="G86" s="93">
        <v>398.4386106</v>
      </c>
      <c r="H86" s="94">
        <v>224.82733110000004</v>
      </c>
      <c r="I86" s="103">
        <f t="shared" si="8"/>
        <v>-0.43572905557160369</v>
      </c>
      <c r="J86" s="106">
        <f t="shared" si="10"/>
        <v>1.4812285890835802E-2</v>
      </c>
    </row>
    <row r="87" spans="2:10" x14ac:dyDescent="0.25">
      <c r="C87" s="66" t="s">
        <v>82</v>
      </c>
      <c r="D87" s="131">
        <v>3.8618250000000001</v>
      </c>
      <c r="E87" s="125">
        <v>5.3319619999999999</v>
      </c>
      <c r="F87" s="103">
        <f t="shared" si="7"/>
        <v>0.38068452091951338</v>
      </c>
      <c r="G87" s="93">
        <v>16.077293999999998</v>
      </c>
      <c r="H87" s="94">
        <v>24.046420999999999</v>
      </c>
      <c r="I87" s="103">
        <f t="shared" si="8"/>
        <v>0.49567588923857464</v>
      </c>
      <c r="J87" s="106">
        <f t="shared" si="10"/>
        <v>1.5842489467838444E-3</v>
      </c>
    </row>
    <row r="88" spans="2:10" x14ac:dyDescent="0.25">
      <c r="C88" s="66" t="s">
        <v>83</v>
      </c>
      <c r="D88" s="239">
        <v>0.39200000000000002</v>
      </c>
      <c r="E88" s="240">
        <v>0.41870000000000002</v>
      </c>
      <c r="F88" s="103">
        <f t="shared" si="7"/>
        <v>6.8112244897959182E-2</v>
      </c>
      <c r="G88" s="93">
        <v>5.2055000000000007</v>
      </c>
      <c r="H88" s="94">
        <v>2.6196999999999999</v>
      </c>
      <c r="I88" s="103">
        <f t="shared" si="8"/>
        <v>-0.49674382864278177</v>
      </c>
      <c r="J88" s="236">
        <f t="shared" si="10"/>
        <v>1.7259354171207588E-4</v>
      </c>
    </row>
    <row r="89" spans="2:10" x14ac:dyDescent="0.25">
      <c r="C89" s="66" t="s">
        <v>84</v>
      </c>
      <c r="D89" s="127">
        <v>0</v>
      </c>
      <c r="E89" s="125">
        <v>0</v>
      </c>
      <c r="F89" s="103" t="s">
        <v>47</v>
      </c>
      <c r="G89" s="93">
        <v>2.6779850000000001</v>
      </c>
      <c r="H89" s="94">
        <v>0</v>
      </c>
      <c r="I89" s="103" t="s">
        <v>47</v>
      </c>
      <c r="J89" s="106" t="s">
        <v>47</v>
      </c>
    </row>
    <row r="90" spans="2:10" x14ac:dyDescent="0.25">
      <c r="C90" s="66" t="s">
        <v>129</v>
      </c>
      <c r="D90" s="237">
        <v>0.1007952</v>
      </c>
      <c r="E90" s="132">
        <v>0</v>
      </c>
      <c r="F90" s="103" t="s">
        <v>47</v>
      </c>
      <c r="G90" s="241">
        <v>0.1007952</v>
      </c>
      <c r="H90" s="94">
        <v>0</v>
      </c>
      <c r="I90" s="103" t="s">
        <v>47</v>
      </c>
      <c r="J90" s="106" t="s">
        <v>47</v>
      </c>
    </row>
    <row r="91" spans="2:10" x14ac:dyDescent="0.25">
      <c r="C91" s="68" t="s">
        <v>85</v>
      </c>
      <c r="D91" s="99">
        <f>SUM(D92:D97)</f>
        <v>24.658781080000001</v>
      </c>
      <c r="E91" s="90">
        <f>SUM(E92:E97)</f>
        <v>24.117539999999998</v>
      </c>
      <c r="F91" s="100">
        <f t="shared" ref="F91:F97" si="11">(E91-D91)/D91</f>
        <v>-2.1949222804000922E-2</v>
      </c>
      <c r="G91" s="99">
        <f>SUM(G92:G97)</f>
        <v>151.99251388000002</v>
      </c>
      <c r="H91" s="90">
        <f>SUM(H92:H97)</f>
        <v>166.61116560000002</v>
      </c>
      <c r="I91" s="100">
        <f t="shared" ref="I91:I97" si="12">(H91-G91)/G91</f>
        <v>9.6180077207892026E-2</v>
      </c>
      <c r="J91" s="101">
        <f>SUM(J92:J97)</f>
        <v>0.99999999999999978</v>
      </c>
    </row>
    <row r="92" spans="2:10" x14ac:dyDescent="0.25">
      <c r="B92" s="168"/>
      <c r="C92" s="70" t="s">
        <v>63</v>
      </c>
      <c r="D92" s="125">
        <v>18.831792</v>
      </c>
      <c r="E92" s="128">
        <v>16.106933000000001</v>
      </c>
      <c r="F92" s="103">
        <f t="shared" si="11"/>
        <v>-0.14469462067125627</v>
      </c>
      <c r="G92" s="124">
        <v>109.41370000000001</v>
      </c>
      <c r="H92" s="125">
        <v>109.0395</v>
      </c>
      <c r="I92" s="103">
        <f t="shared" si="12"/>
        <v>-3.4200470325014311E-3</v>
      </c>
      <c r="J92" s="104">
        <f>(H92/$H$91)</f>
        <v>0.65445493768275986</v>
      </c>
    </row>
    <row r="93" spans="2:10" x14ac:dyDescent="0.25">
      <c r="B93" s="168"/>
      <c r="C93" s="66" t="s">
        <v>86</v>
      </c>
      <c r="D93" s="125">
        <v>3.8742030000000001</v>
      </c>
      <c r="E93" s="125">
        <v>5.480607</v>
      </c>
      <c r="F93" s="103">
        <f t="shared" si="11"/>
        <v>0.41464115329010892</v>
      </c>
      <c r="G93" s="127">
        <v>29.975221800000003</v>
      </c>
      <c r="H93" s="125">
        <v>38.166221399999998</v>
      </c>
      <c r="I93" s="103">
        <f t="shared" si="12"/>
        <v>0.27325901555130422</v>
      </c>
      <c r="J93" s="106">
        <f>(H93/$H$91)</f>
        <v>0.22907361137866017</v>
      </c>
    </row>
    <row r="94" spans="2:10" x14ac:dyDescent="0.25">
      <c r="B94" s="168"/>
      <c r="C94" s="66" t="s">
        <v>71</v>
      </c>
      <c r="D94" s="125">
        <v>1.4939100000000001</v>
      </c>
      <c r="E94" s="125">
        <v>2.5247000000000002</v>
      </c>
      <c r="F94" s="103">
        <f t="shared" si="11"/>
        <v>0.68999471186349914</v>
      </c>
      <c r="G94" s="127">
        <v>9.4155700000000007</v>
      </c>
      <c r="H94" s="125">
        <v>15.616754999999998</v>
      </c>
      <c r="I94" s="103">
        <f t="shared" si="12"/>
        <v>0.65860962214714525</v>
      </c>
      <c r="J94" s="106">
        <f>(H94/$H$91)</f>
        <v>9.3731743270392173E-2</v>
      </c>
    </row>
    <row r="95" spans="2:10" x14ac:dyDescent="0.25">
      <c r="B95" s="168"/>
      <c r="C95" s="66" t="s">
        <v>81</v>
      </c>
      <c r="D95" s="238">
        <v>0.28692600000000001</v>
      </c>
      <c r="E95" s="125">
        <v>0</v>
      </c>
      <c r="F95" s="103" t="s">
        <v>47</v>
      </c>
      <c r="G95" s="127">
        <v>2.4109720000000001</v>
      </c>
      <c r="H95" s="125">
        <v>3.5294892</v>
      </c>
      <c r="I95" s="103">
        <f t="shared" si="12"/>
        <v>0.46392790957340019</v>
      </c>
      <c r="J95" s="106">
        <f>(H95/$H$91)</f>
        <v>2.1183989604115702E-2</v>
      </c>
    </row>
    <row r="96" spans="2:10" x14ac:dyDescent="0.25">
      <c r="B96" s="168"/>
      <c r="C96" s="66" t="s">
        <v>83</v>
      </c>
      <c r="D96" s="242">
        <v>0.04</v>
      </c>
      <c r="E96" s="240">
        <v>5.3E-3</v>
      </c>
      <c r="F96" s="103">
        <f t="shared" si="11"/>
        <v>-0.86750000000000005</v>
      </c>
      <c r="G96" s="127">
        <v>0.64510000000000012</v>
      </c>
      <c r="H96" s="238">
        <v>0.25920000000000004</v>
      </c>
      <c r="I96" s="103">
        <f t="shared" si="12"/>
        <v>-0.59820182917377152</v>
      </c>
      <c r="J96" s="106">
        <f>(H96/$H$91)</f>
        <v>1.5557180640719316E-3</v>
      </c>
    </row>
    <row r="97" spans="2:10" x14ac:dyDescent="0.25">
      <c r="B97" s="168"/>
      <c r="C97" s="66" t="s">
        <v>129</v>
      </c>
      <c r="D97" s="238">
        <v>0.13195008</v>
      </c>
      <c r="E97" s="125">
        <v>0</v>
      </c>
      <c r="F97" s="103" t="s">
        <v>47</v>
      </c>
      <c r="G97" s="243">
        <v>0.13195008</v>
      </c>
      <c r="H97" s="125">
        <v>0</v>
      </c>
      <c r="I97" s="103" t="s">
        <v>47</v>
      </c>
      <c r="J97" s="106" t="s">
        <v>47</v>
      </c>
    </row>
    <row r="98" spans="2:10" x14ac:dyDescent="0.25">
      <c r="B98" s="168"/>
      <c r="C98" s="68" t="s">
        <v>87</v>
      </c>
      <c r="D98" s="90">
        <f>SUM(D99:D101)</f>
        <v>27.761948999999998</v>
      </c>
      <c r="E98" s="90">
        <f>SUM(E99:E101)</f>
        <v>21.496898000000002</v>
      </c>
      <c r="F98" s="100">
        <f t="shared" ref="F98:F101" si="13">(E98-D98)/D98</f>
        <v>-0.22567043113579657</v>
      </c>
      <c r="G98" s="99">
        <f>SUM(G99:G101)</f>
        <v>194.268236</v>
      </c>
      <c r="H98" s="90">
        <f>SUM(H99:H101)</f>
        <v>163.21463400000002</v>
      </c>
      <c r="I98" s="100">
        <f t="shared" ref="I98:I107" si="14">(H98-G98)/G98</f>
        <v>-0.15984909648327678</v>
      </c>
      <c r="J98" s="101">
        <f>SUM(J99:J101)</f>
        <v>1</v>
      </c>
    </row>
    <row r="99" spans="2:10" x14ac:dyDescent="0.25">
      <c r="B99" s="168"/>
      <c r="C99" s="66" t="s">
        <v>70</v>
      </c>
      <c r="D99" s="128">
        <v>15.999438</v>
      </c>
      <c r="E99" s="128">
        <v>12.583159999999999</v>
      </c>
      <c r="F99" s="102">
        <f t="shared" si="13"/>
        <v>-0.21352487506123655</v>
      </c>
      <c r="G99" s="91">
        <v>110.351018</v>
      </c>
      <c r="H99" s="92">
        <v>95.791830000000004</v>
      </c>
      <c r="I99" s="102">
        <f t="shared" si="14"/>
        <v>-0.1319352396005988</v>
      </c>
      <c r="J99" s="104">
        <f>(H99/$H$98)</f>
        <v>0.58690711520389771</v>
      </c>
    </row>
    <row r="100" spans="2:10" x14ac:dyDescent="0.25">
      <c r="B100" s="168"/>
      <c r="C100" s="66" t="s">
        <v>81</v>
      </c>
      <c r="D100" s="238">
        <v>6.0054299999999996</v>
      </c>
      <c r="E100" s="238">
        <v>5.6696400000000002</v>
      </c>
      <c r="F100" s="105">
        <f t="shared" si="13"/>
        <v>-5.5914397470289284E-2</v>
      </c>
      <c r="G100" s="93">
        <v>51.912959999999998</v>
      </c>
      <c r="H100" s="94">
        <v>37.035093000000003</v>
      </c>
      <c r="I100" s="105">
        <f t="shared" si="14"/>
        <v>-0.28659253874177076</v>
      </c>
      <c r="J100" s="106">
        <f t="shared" ref="J100:J101" si="15">(H100/$H$98)</f>
        <v>0.22691037005909653</v>
      </c>
    </row>
    <row r="101" spans="2:10" x14ac:dyDescent="0.25">
      <c r="B101" s="168"/>
      <c r="C101" s="66" t="s">
        <v>86</v>
      </c>
      <c r="D101" s="209">
        <v>5.7570810000000003</v>
      </c>
      <c r="E101" s="209">
        <v>3.2440980000000001</v>
      </c>
      <c r="F101" s="107">
        <f t="shared" si="13"/>
        <v>-0.43650297781115116</v>
      </c>
      <c r="G101" s="117">
        <v>32.004258</v>
      </c>
      <c r="H101" s="118">
        <v>30.387711000000003</v>
      </c>
      <c r="I101" s="107">
        <f t="shared" si="14"/>
        <v>-5.0510372713530712E-2</v>
      </c>
      <c r="J101" s="108">
        <f t="shared" si="15"/>
        <v>0.18618251473700576</v>
      </c>
    </row>
    <row r="102" spans="2:10" x14ac:dyDescent="0.25">
      <c r="B102" s="168"/>
      <c r="C102" s="68" t="s">
        <v>88</v>
      </c>
      <c r="D102" s="90">
        <f>SUM(D103:D106)</f>
        <v>3634.8462650000001</v>
      </c>
      <c r="E102" s="90">
        <f>SUM(E103:E106)</f>
        <v>3460.9957439999998</v>
      </c>
      <c r="F102" s="100">
        <f t="shared" ref="F102:F107" si="16">(E102-D102)/D102</f>
        <v>-4.7828851160504386E-2</v>
      </c>
      <c r="G102" s="99">
        <f>SUM(G103:G106)</f>
        <v>20858.6423268</v>
      </c>
      <c r="H102" s="90">
        <f>SUM(H103:H106)</f>
        <v>23884.367795300001</v>
      </c>
      <c r="I102" s="100">
        <f t="shared" si="14"/>
        <v>0.14505860070348059</v>
      </c>
      <c r="J102" s="101">
        <f>SUM(J103:J106)</f>
        <v>1</v>
      </c>
    </row>
    <row r="103" spans="2:10" x14ac:dyDescent="0.25">
      <c r="C103" s="66" t="s">
        <v>66</v>
      </c>
      <c r="D103" s="110">
        <v>3540.3853519999998</v>
      </c>
      <c r="E103" s="111">
        <v>3383.3143699999996</v>
      </c>
      <c r="F103" s="102">
        <f t="shared" si="16"/>
        <v>-4.436550442489804E-2</v>
      </c>
      <c r="G103" s="91">
        <v>20231.2855208</v>
      </c>
      <c r="H103" s="92">
        <v>23320.413098500001</v>
      </c>
      <c r="I103" s="102">
        <f t="shared" si="14"/>
        <v>0.15269062237908887</v>
      </c>
      <c r="J103" s="104">
        <f>(H103/$H$102)</f>
        <v>0.97638812542021836</v>
      </c>
    </row>
    <row r="104" spans="2:10" x14ac:dyDescent="0.25">
      <c r="C104" s="66" t="s">
        <v>70</v>
      </c>
      <c r="D104" s="95">
        <v>82.698402000000002</v>
      </c>
      <c r="E104" s="96">
        <v>68.767635999999996</v>
      </c>
      <c r="F104" s="105">
        <f t="shared" si="16"/>
        <v>-0.1684526624831276</v>
      </c>
      <c r="G104" s="93">
        <v>542.89080000000001</v>
      </c>
      <c r="H104" s="94">
        <v>470.42489799999993</v>
      </c>
      <c r="I104" s="105">
        <f t="shared" si="14"/>
        <v>-0.13348154361798004</v>
      </c>
      <c r="J104" s="106">
        <f t="shared" ref="J104:J106" si="17">(H104/$H$102)</f>
        <v>1.9695932587864888E-2</v>
      </c>
    </row>
    <row r="105" spans="2:10" x14ac:dyDescent="0.25">
      <c r="C105" s="66" t="s">
        <v>81</v>
      </c>
      <c r="D105" s="244">
        <v>6.0054299999999996</v>
      </c>
      <c r="E105" s="245">
        <v>5.6696400000000002</v>
      </c>
      <c r="F105" s="105">
        <f t="shared" si="16"/>
        <v>-5.5914397470289284E-2</v>
      </c>
      <c r="G105" s="93">
        <v>53.333697000000001</v>
      </c>
      <c r="H105" s="94">
        <v>63.142087800000006</v>
      </c>
      <c r="I105" s="105">
        <f t="shared" si="14"/>
        <v>0.18390607349046148</v>
      </c>
      <c r="J105" s="106">
        <f t="shared" si="17"/>
        <v>2.6436574893317962E-3</v>
      </c>
    </row>
    <row r="106" spans="2:10" x14ac:dyDescent="0.25">
      <c r="C106" s="66" t="s">
        <v>86</v>
      </c>
      <c r="D106" s="97">
        <v>5.7570810000000003</v>
      </c>
      <c r="E106" s="98">
        <v>3.2440980000000001</v>
      </c>
      <c r="F106" s="107">
        <f t="shared" si="16"/>
        <v>-0.43650297781115116</v>
      </c>
      <c r="G106" s="117">
        <v>31.132308999999999</v>
      </c>
      <c r="H106" s="118">
        <v>30.387711000000003</v>
      </c>
      <c r="I106" s="107">
        <f t="shared" si="14"/>
        <v>-2.3917210894957915E-2</v>
      </c>
      <c r="J106" s="108">
        <f t="shared" si="17"/>
        <v>1.2722845025849811E-3</v>
      </c>
    </row>
    <row r="107" spans="2:10" x14ac:dyDescent="0.25">
      <c r="C107" s="71" t="s">
        <v>89</v>
      </c>
      <c r="D107" s="99">
        <f>SUM(D108:D108)</f>
        <v>3.8380540000000001</v>
      </c>
      <c r="E107" s="90">
        <f>SUM(E108:E108)</f>
        <v>3.2440980000000001</v>
      </c>
      <c r="F107" s="100">
        <f t="shared" si="16"/>
        <v>-0.15475446671672674</v>
      </c>
      <c r="G107" s="99">
        <f>SUM(G108:G108)</f>
        <v>21.336172000000001</v>
      </c>
      <c r="H107" s="90">
        <f>SUM(H108:H108)</f>
        <v>30.387711000000003</v>
      </c>
      <c r="I107" s="100">
        <f t="shared" si="14"/>
        <v>0.42423444092970386</v>
      </c>
      <c r="J107" s="101">
        <f>SUM(J108:J108)</f>
        <v>1</v>
      </c>
    </row>
    <row r="108" spans="2:10" x14ac:dyDescent="0.25">
      <c r="C108" s="66" t="s">
        <v>86</v>
      </c>
      <c r="D108" s="110">
        <v>3.8380540000000001</v>
      </c>
      <c r="E108" s="111">
        <v>3.2440980000000001</v>
      </c>
      <c r="F108" s="102">
        <f>(E108-D108)/D108</f>
        <v>-0.15475446671672674</v>
      </c>
      <c r="G108" s="91">
        <v>21.336172000000001</v>
      </c>
      <c r="H108" s="92">
        <v>30.387711000000003</v>
      </c>
      <c r="I108" s="102">
        <f>(H108-G108)/G108</f>
        <v>0.42423444092970386</v>
      </c>
      <c r="J108" s="104">
        <f>H108/H107</f>
        <v>1</v>
      </c>
    </row>
    <row r="109" spans="2:10" ht="98.25" customHeight="1" x14ac:dyDescent="0.25">
      <c r="C109" s="229" t="s">
        <v>131</v>
      </c>
      <c r="D109" s="230"/>
      <c r="E109" s="230"/>
      <c r="F109" s="230"/>
      <c r="G109" s="230"/>
      <c r="H109" s="230"/>
      <c r="I109" s="230"/>
      <c r="J109" s="231"/>
    </row>
  </sheetData>
  <mergeCells count="5">
    <mergeCell ref="C3:J3"/>
    <mergeCell ref="B4:K4"/>
    <mergeCell ref="D8:F8"/>
    <mergeCell ref="G8:J8"/>
    <mergeCell ref="C109:J109"/>
  </mergeCells>
  <pageMargins left="0.7" right="0.7" top="0.75" bottom="0.75" header="0.3" footer="0.3"/>
  <pageSetup scale="4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C1:S124"/>
  <sheetViews>
    <sheetView showGridLines="0" view="pageBreakPreview" zoomScaleNormal="100" zoomScaleSheetLayoutView="100" workbookViewId="0"/>
  </sheetViews>
  <sheetFormatPr baseColWidth="10" defaultColWidth="11.42578125" defaultRowHeight="15" x14ac:dyDescent="0.25"/>
  <cols>
    <col min="1" max="2" width="3.28515625" style="53" customWidth="1"/>
    <col min="3" max="3" width="48.85546875" style="53" customWidth="1"/>
    <col min="4" max="4" width="14.7109375" style="53" customWidth="1"/>
    <col min="5" max="5" width="13" style="53" customWidth="1"/>
    <col min="6" max="6" width="11.140625" style="87" customWidth="1"/>
    <col min="7" max="7" width="12.42578125" style="56" customWidth="1"/>
    <col min="8" max="8" width="11.7109375" style="53" customWidth="1"/>
    <col min="9" max="9" width="9.7109375" style="56" customWidth="1"/>
    <col min="10" max="10" width="9.85546875" style="56" customWidth="1"/>
    <col min="11" max="11" width="3.28515625" style="53" customWidth="1"/>
    <col min="12" max="12" width="15.42578125" style="53" customWidth="1"/>
    <col min="13" max="16384" width="11.42578125" style="53"/>
  </cols>
  <sheetData>
    <row r="1" spans="3:19" ht="10.5" customHeight="1" x14ac:dyDescent="0.25">
      <c r="F1" s="56"/>
      <c r="H1" s="55"/>
    </row>
    <row r="2" spans="3:19" ht="10.5" customHeight="1" x14ac:dyDescent="0.25">
      <c r="F2" s="56"/>
      <c r="H2" s="55"/>
    </row>
    <row r="3" spans="3:19" ht="15.75" x14ac:dyDescent="0.25">
      <c r="C3" s="213" t="s">
        <v>0</v>
      </c>
      <c r="D3" s="213"/>
      <c r="E3" s="213"/>
      <c r="F3" s="213"/>
      <c r="G3" s="213"/>
      <c r="H3" s="213"/>
      <c r="I3" s="213"/>
      <c r="J3" s="213"/>
      <c r="K3" s="1"/>
      <c r="L3" s="1"/>
      <c r="M3" s="4"/>
      <c r="N3" s="4"/>
      <c r="O3" s="4"/>
      <c r="P3" s="4"/>
      <c r="Q3" s="4"/>
      <c r="R3" s="4"/>
      <c r="S3" s="4"/>
    </row>
    <row r="4" spans="3:19" ht="15.75" x14ac:dyDescent="0.25">
      <c r="C4" s="214" t="s">
        <v>1</v>
      </c>
      <c r="D4" s="214"/>
      <c r="E4" s="214"/>
      <c r="F4" s="214"/>
      <c r="G4" s="214"/>
      <c r="H4" s="214"/>
      <c r="I4" s="214"/>
      <c r="J4" s="214"/>
      <c r="K4" s="72"/>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73" t="s">
        <v>90</v>
      </c>
      <c r="D6" s="46"/>
      <c r="E6" s="46"/>
      <c r="F6" s="74"/>
    </row>
    <row r="7" spans="3:19" x14ac:dyDescent="0.25">
      <c r="C7" s="75" t="s">
        <v>91</v>
      </c>
      <c r="D7" s="76"/>
      <c r="E7" s="76"/>
      <c r="F7" s="74"/>
    </row>
    <row r="8" spans="3:19" ht="26.25" customHeight="1" x14ac:dyDescent="0.25">
      <c r="C8" s="77"/>
      <c r="D8" s="224" t="s">
        <v>145</v>
      </c>
      <c r="E8" s="225"/>
      <c r="F8" s="225"/>
      <c r="G8" s="226" t="s">
        <v>146</v>
      </c>
      <c r="H8" s="227"/>
      <c r="I8" s="227"/>
      <c r="J8" s="228"/>
    </row>
    <row r="9" spans="3:19" ht="24" x14ac:dyDescent="0.25">
      <c r="C9" s="78" t="s">
        <v>92</v>
      </c>
      <c r="D9" s="89">
        <v>2025</v>
      </c>
      <c r="E9" s="88">
        <v>2026</v>
      </c>
      <c r="F9" s="100" t="s">
        <v>26</v>
      </c>
      <c r="G9" s="89">
        <v>2025</v>
      </c>
      <c r="H9" s="88">
        <v>2026</v>
      </c>
      <c r="I9" s="153" t="s">
        <v>26</v>
      </c>
      <c r="J9" s="130" t="s">
        <v>32</v>
      </c>
    </row>
    <row r="10" spans="3:19" ht="4.5" customHeight="1" x14ac:dyDescent="0.25">
      <c r="D10" s="190"/>
      <c r="E10" s="190"/>
      <c r="F10" s="56"/>
      <c r="H10" s="190"/>
    </row>
    <row r="11" spans="3:19" x14ac:dyDescent="0.25">
      <c r="C11" s="79" t="s">
        <v>93</v>
      </c>
      <c r="D11" s="133">
        <f>+SUM(D12:D26)</f>
        <v>228180.4688682066</v>
      </c>
      <c r="E11" s="133">
        <f>+SUM(E12:E26)</f>
        <v>236515.08867999996</v>
      </c>
      <c r="F11" s="154">
        <f>(E11-D11)/D11</f>
        <v>3.6526438275518207E-2</v>
      </c>
      <c r="G11" s="137">
        <f>+SUM(G12:G26)</f>
        <v>1565092.1184596845</v>
      </c>
      <c r="H11" s="133">
        <f>+SUM(H12:H26)</f>
        <v>1599114.6273238964</v>
      </c>
      <c r="I11" s="156">
        <f>(H11-G11)/G11</f>
        <v>2.173834272304416E-2</v>
      </c>
      <c r="J11" s="156">
        <f>SUM(J12:J26)</f>
        <v>0.99999999999999989</v>
      </c>
    </row>
    <row r="12" spans="3:19" x14ac:dyDescent="0.25">
      <c r="C12" s="80" t="s">
        <v>94</v>
      </c>
      <c r="D12" s="134">
        <v>27311.253211399999</v>
      </c>
      <c r="E12" s="134">
        <v>49230.542522999989</v>
      </c>
      <c r="F12" s="155">
        <f t="shared" ref="F12:F77" si="0">+E12/D12-1</f>
        <v>0.80257354512207635</v>
      </c>
      <c r="G12" s="143">
        <v>198367.81921811</v>
      </c>
      <c r="H12" s="134">
        <v>304194.86379189999</v>
      </c>
      <c r="I12" s="158">
        <f t="shared" ref="I12:I78" si="1">+H12/G12-1</f>
        <v>0.53348897513175109</v>
      </c>
      <c r="J12" s="158">
        <f t="shared" ref="J12:J26" si="2">(H12/$H$11)</f>
        <v>0.19022705351708732</v>
      </c>
    </row>
    <row r="13" spans="3:19" x14ac:dyDescent="0.25">
      <c r="C13" s="80" t="s">
        <v>95</v>
      </c>
      <c r="D13" s="134">
        <v>41809.943294043602</v>
      </c>
      <c r="E13" s="134">
        <v>35733.485606999995</v>
      </c>
      <c r="F13" s="155">
        <f t="shared" si="0"/>
        <v>-0.14533522909391938</v>
      </c>
      <c r="G13" s="143">
        <v>282115.0215753903</v>
      </c>
      <c r="H13" s="134">
        <v>260115.169595032</v>
      </c>
      <c r="I13" s="158">
        <f t="shared" si="1"/>
        <v>-7.7981852428511078E-2</v>
      </c>
      <c r="J13" s="158">
        <f t="shared" si="2"/>
        <v>0.16266199129848016</v>
      </c>
    </row>
    <row r="14" spans="3:19" x14ac:dyDescent="0.25">
      <c r="C14" s="80" t="s">
        <v>96</v>
      </c>
      <c r="D14" s="134">
        <v>37704.023022000001</v>
      </c>
      <c r="E14" s="134">
        <v>35404.95966</v>
      </c>
      <c r="F14" s="155">
        <f t="shared" si="0"/>
        <v>-6.0976606147797985E-2</v>
      </c>
      <c r="G14" s="143">
        <v>248517.95283999998</v>
      </c>
      <c r="H14" s="134">
        <v>245609.57144399997</v>
      </c>
      <c r="I14" s="158">
        <f t="shared" si="1"/>
        <v>-1.1702902598237919E-2</v>
      </c>
      <c r="J14" s="158">
        <f t="shared" si="2"/>
        <v>0.15359097293420756</v>
      </c>
    </row>
    <row r="15" spans="3:19" x14ac:dyDescent="0.25">
      <c r="C15" s="81" t="s">
        <v>97</v>
      </c>
      <c r="D15" s="135">
        <v>31973.716922</v>
      </c>
      <c r="E15" s="135">
        <v>38514.198304999998</v>
      </c>
      <c r="F15" s="155">
        <f t="shared" si="0"/>
        <v>0.2045580561983309</v>
      </c>
      <c r="G15" s="143">
        <v>235532.36073481</v>
      </c>
      <c r="H15" s="134">
        <v>233984.99671495002</v>
      </c>
      <c r="I15" s="158">
        <f t="shared" si="1"/>
        <v>-6.5696451011341139E-3</v>
      </c>
      <c r="J15" s="158">
        <f t="shared" si="2"/>
        <v>0.14632159115855362</v>
      </c>
    </row>
    <row r="16" spans="3:19" x14ac:dyDescent="0.25">
      <c r="C16" s="82" t="s">
        <v>98</v>
      </c>
      <c r="D16" s="135">
        <v>21775.430276194002</v>
      </c>
      <c r="E16" s="135">
        <v>18583.027552</v>
      </c>
      <c r="F16" s="155">
        <f t="shared" si="0"/>
        <v>-0.14660572414424788</v>
      </c>
      <c r="G16" s="143">
        <v>143685.75354362201</v>
      </c>
      <c r="H16" s="134">
        <v>140146.09626079199</v>
      </c>
      <c r="I16" s="158">
        <f t="shared" si="1"/>
        <v>-2.4634712875381881E-2</v>
      </c>
      <c r="J16" s="158">
        <f t="shared" si="2"/>
        <v>8.7639806344167584E-2</v>
      </c>
    </row>
    <row r="17" spans="3:10" x14ac:dyDescent="0.25">
      <c r="C17" s="82" t="s">
        <v>99</v>
      </c>
      <c r="D17" s="135">
        <v>18760.030328837001</v>
      </c>
      <c r="E17" s="135">
        <v>18704.673342000002</v>
      </c>
      <c r="F17" s="155">
        <f t="shared" si="0"/>
        <v>-2.9507941014310646E-3</v>
      </c>
      <c r="G17" s="143">
        <v>145335.35497906501</v>
      </c>
      <c r="H17" s="134">
        <v>130820.64054984201</v>
      </c>
      <c r="I17" s="158">
        <f t="shared" si="1"/>
        <v>-9.9870499035240257E-2</v>
      </c>
      <c r="J17" s="158">
        <f t="shared" si="2"/>
        <v>8.1808169542398057E-2</v>
      </c>
    </row>
    <row r="18" spans="3:10" x14ac:dyDescent="0.25">
      <c r="C18" s="82" t="s">
        <v>100</v>
      </c>
      <c r="D18" s="135">
        <v>18509.148435400002</v>
      </c>
      <c r="E18" s="135">
        <v>14304.668084000001</v>
      </c>
      <c r="F18" s="155">
        <f t="shared" si="0"/>
        <v>-0.22715687683171026</v>
      </c>
      <c r="G18" s="143">
        <v>108594.00843895</v>
      </c>
      <c r="H18" s="134">
        <v>102334.66607080001</v>
      </c>
      <c r="I18" s="158">
        <f t="shared" si="1"/>
        <v>-5.7639850099730827E-2</v>
      </c>
      <c r="J18" s="158">
        <f t="shared" si="2"/>
        <v>6.3994578201098773E-2</v>
      </c>
    </row>
    <row r="19" spans="3:10" x14ac:dyDescent="0.25">
      <c r="C19" s="82" t="s">
        <v>101</v>
      </c>
      <c r="D19" s="135">
        <v>16564.000669599998</v>
      </c>
      <c r="E19" s="135">
        <v>14003.764072</v>
      </c>
      <c r="F19" s="155">
        <f t="shared" si="0"/>
        <v>-0.15456631816604638</v>
      </c>
      <c r="G19" s="143">
        <v>112776.04269131011</v>
      </c>
      <c r="H19" s="134">
        <v>99302.527618100008</v>
      </c>
      <c r="I19" s="158">
        <f t="shared" si="1"/>
        <v>-0.11947142985048453</v>
      </c>
      <c r="J19" s="158">
        <f t="shared" si="2"/>
        <v>6.2098442426408086E-2</v>
      </c>
    </row>
    <row r="20" spans="3:10" x14ac:dyDescent="0.25">
      <c r="C20" s="82" t="s">
        <v>102</v>
      </c>
      <c r="D20" s="135">
        <v>5594.9961718719996</v>
      </c>
      <c r="E20" s="135">
        <v>5184.8750139999984</v>
      </c>
      <c r="F20" s="155">
        <f t="shared" si="0"/>
        <v>-7.3301418852406708E-2</v>
      </c>
      <c r="G20" s="143">
        <v>34775.527334887804</v>
      </c>
      <c r="H20" s="134">
        <v>34265.573748418996</v>
      </c>
      <c r="I20" s="158">
        <f t="shared" si="1"/>
        <v>-1.4664151072619647E-2</v>
      </c>
      <c r="J20" s="158">
        <f t="shared" si="2"/>
        <v>2.1427840858264248E-2</v>
      </c>
    </row>
    <row r="21" spans="3:10" x14ac:dyDescent="0.25">
      <c r="C21" s="82" t="s">
        <v>103</v>
      </c>
      <c r="D21" s="135">
        <v>3858.7952054400002</v>
      </c>
      <c r="E21" s="135">
        <v>3650.5152470000003</v>
      </c>
      <c r="F21" s="246">
        <f t="shared" si="0"/>
        <v>-5.3975385412103227E-2</v>
      </c>
      <c r="G21" s="143">
        <v>27897.981733144003</v>
      </c>
      <c r="H21" s="134">
        <v>25458.69411583</v>
      </c>
      <c r="I21" s="158">
        <f t="shared" si="1"/>
        <v>-8.7435988762442407E-2</v>
      </c>
      <c r="J21" s="158">
        <f t="shared" si="2"/>
        <v>1.5920493553632793E-2</v>
      </c>
    </row>
    <row r="22" spans="3:10" x14ac:dyDescent="0.25">
      <c r="C22" s="82" t="s">
        <v>104</v>
      </c>
      <c r="D22" s="135">
        <v>2320.5855999999999</v>
      </c>
      <c r="E22" s="135">
        <v>1532.6702499999999</v>
      </c>
      <c r="F22" s="155">
        <f t="shared" si="0"/>
        <v>-0.33953298253682174</v>
      </c>
      <c r="G22" s="143">
        <v>14973.814865</v>
      </c>
      <c r="H22" s="134">
        <v>10835.565926900001</v>
      </c>
      <c r="I22" s="158">
        <f t="shared" si="1"/>
        <v>-0.27636570743056266</v>
      </c>
      <c r="J22" s="247">
        <f t="shared" si="2"/>
        <v>6.7759782455578061E-3</v>
      </c>
    </row>
    <row r="23" spans="3:10" x14ac:dyDescent="0.25">
      <c r="C23" s="82" t="s">
        <v>105</v>
      </c>
      <c r="D23" s="135">
        <v>1585.9900575600002</v>
      </c>
      <c r="E23" s="135">
        <v>1500.0170329999999</v>
      </c>
      <c r="F23" s="246">
        <f t="shared" si="0"/>
        <v>-5.420779540841969E-2</v>
      </c>
      <c r="G23" s="143">
        <v>10534.468464445001</v>
      </c>
      <c r="H23" s="134">
        <v>10570.50463471</v>
      </c>
      <c r="I23" s="158">
        <f t="shared" si="1"/>
        <v>3.4207867617264132E-3</v>
      </c>
      <c r="J23" s="247">
        <f t="shared" si="2"/>
        <v>6.6102232160802892E-3</v>
      </c>
    </row>
    <row r="24" spans="3:10" x14ac:dyDescent="0.25">
      <c r="C24" s="82" t="s">
        <v>106</v>
      </c>
      <c r="D24" s="135">
        <v>173.28287327999999</v>
      </c>
      <c r="E24" s="135">
        <v>167.691991</v>
      </c>
      <c r="F24" s="155">
        <f t="shared" si="0"/>
        <v>-3.2264482774162717E-2</v>
      </c>
      <c r="G24" s="143">
        <v>1041.6580977799999</v>
      </c>
      <c r="H24" s="134">
        <v>1197.5624667999998</v>
      </c>
      <c r="I24" s="158">
        <f t="shared" si="1"/>
        <v>0.14966942545953033</v>
      </c>
      <c r="J24" s="158">
        <f t="shared" si="2"/>
        <v>7.4889094648837628E-4</v>
      </c>
    </row>
    <row r="25" spans="3:10" x14ac:dyDescent="0.25">
      <c r="C25" s="82" t="s">
        <v>107</v>
      </c>
      <c r="D25" s="135">
        <v>197.67655049999999</v>
      </c>
      <c r="E25" s="135">
        <v>0</v>
      </c>
      <c r="F25" s="155" t="s">
        <v>47</v>
      </c>
      <c r="G25" s="143">
        <v>701.52940779999994</v>
      </c>
      <c r="H25" s="134">
        <v>163.28291342150001</v>
      </c>
      <c r="I25" s="158">
        <f t="shared" si="1"/>
        <v>-0.76724722925934619</v>
      </c>
      <c r="J25" s="248">
        <f t="shared" si="2"/>
        <v>1.0210832333811646E-4</v>
      </c>
    </row>
    <row r="26" spans="3:10" x14ac:dyDescent="0.25">
      <c r="C26" s="67" t="s">
        <v>108</v>
      </c>
      <c r="D26" s="136">
        <v>41.596250079999997</v>
      </c>
      <c r="E26" s="136">
        <v>0</v>
      </c>
      <c r="F26" s="155" t="s">
        <v>47</v>
      </c>
      <c r="G26" s="148">
        <v>242.82453536999998</v>
      </c>
      <c r="H26" s="149">
        <v>114.91147240000001</v>
      </c>
      <c r="I26" s="158">
        <f t="shared" si="1"/>
        <v>-0.52677157510090367</v>
      </c>
      <c r="J26" s="248">
        <f t="shared" si="2"/>
        <v>7.1859434237246208E-5</v>
      </c>
    </row>
    <row r="27" spans="3:10" x14ac:dyDescent="0.25">
      <c r="C27" s="79" t="s">
        <v>109</v>
      </c>
      <c r="D27" s="137">
        <f>+SUM(D28:D44)</f>
        <v>9286589.3074801713</v>
      </c>
      <c r="E27" s="133">
        <f>+SUM(E28:E44)</f>
        <v>8449019.5969849993</v>
      </c>
      <c r="F27" s="156">
        <f>+E27/D27-1</f>
        <v>-9.0191315967911412E-2</v>
      </c>
      <c r="G27" s="137">
        <f>+SUM(G28:G44)</f>
        <v>62264167.21543815</v>
      </c>
      <c r="H27" s="133">
        <f>+SUM(H28:H44)</f>
        <v>58302799.220120527</v>
      </c>
      <c r="I27" s="156">
        <f>+H27/G27-1</f>
        <v>-6.3621954207000453E-2</v>
      </c>
      <c r="J27" s="163">
        <f>SUM(J28:J44)</f>
        <v>1.0000000000000004</v>
      </c>
    </row>
    <row r="28" spans="3:10" x14ac:dyDescent="0.25">
      <c r="C28" s="83" t="s">
        <v>110</v>
      </c>
      <c r="D28" s="134">
        <v>2596722.3019473506</v>
      </c>
      <c r="E28" s="138">
        <v>2297247.1524299993</v>
      </c>
      <c r="F28" s="155">
        <f t="shared" si="0"/>
        <v>-0.11532813858946989</v>
      </c>
      <c r="G28" s="141">
        <v>18082197.64201276</v>
      </c>
      <c r="H28" s="142">
        <v>14821643.41992284</v>
      </c>
      <c r="I28" s="157">
        <f t="shared" si="1"/>
        <v>-0.18031847050019201</v>
      </c>
      <c r="J28" s="164">
        <f t="shared" ref="J28:J43" si="3">(H28/$H$27)</f>
        <v>0.25421838433458666</v>
      </c>
    </row>
    <row r="29" spans="3:10" x14ac:dyDescent="0.25">
      <c r="C29" s="80" t="s">
        <v>104</v>
      </c>
      <c r="D29" s="134">
        <v>2378549.571428</v>
      </c>
      <c r="E29" s="138">
        <v>2026136.0461760003</v>
      </c>
      <c r="F29" s="155">
        <f t="shared" si="0"/>
        <v>-0.14816320394803573</v>
      </c>
      <c r="G29" s="143">
        <v>14720026.440554999</v>
      </c>
      <c r="H29" s="134">
        <v>14756018.355681</v>
      </c>
      <c r="I29" s="158">
        <f t="shared" si="1"/>
        <v>2.4450985377879597E-3</v>
      </c>
      <c r="J29" s="165">
        <f t="shared" si="3"/>
        <v>0.25309279405213603</v>
      </c>
    </row>
    <row r="30" spans="3:10" x14ac:dyDescent="0.25">
      <c r="C30" s="80" t="s">
        <v>97</v>
      </c>
      <c r="D30" s="134">
        <v>1817406.5016002334</v>
      </c>
      <c r="E30" s="138">
        <v>1882204.0105110002</v>
      </c>
      <c r="F30" s="155">
        <f t="shared" si="0"/>
        <v>3.5653833555515657E-2</v>
      </c>
      <c r="G30" s="143">
        <v>13382635.535611216</v>
      </c>
      <c r="H30" s="135">
        <v>13101416.09389017</v>
      </c>
      <c r="I30" s="158">
        <f t="shared" si="1"/>
        <v>-2.1013756294320451E-2</v>
      </c>
      <c r="J30" s="165">
        <f t="shared" si="3"/>
        <v>0.22471332884766224</v>
      </c>
    </row>
    <row r="31" spans="3:10" x14ac:dyDescent="0.25">
      <c r="C31" s="80" t="s">
        <v>108</v>
      </c>
      <c r="D31" s="135">
        <v>696413.33117486001</v>
      </c>
      <c r="E31" s="139">
        <v>722902.53028299997</v>
      </c>
      <c r="F31" s="155">
        <f t="shared" si="0"/>
        <v>3.8036605450174621E-2</v>
      </c>
      <c r="G31" s="143">
        <v>4900419.986753298</v>
      </c>
      <c r="H31" s="134">
        <v>4800273.357403772</v>
      </c>
      <c r="I31" s="158">
        <f t="shared" si="1"/>
        <v>-2.0436335991657839E-2</v>
      </c>
      <c r="J31" s="165">
        <f t="shared" si="3"/>
        <v>8.2333497218212093E-2</v>
      </c>
    </row>
    <row r="32" spans="3:10" x14ac:dyDescent="0.25">
      <c r="C32" s="80" t="s">
        <v>103</v>
      </c>
      <c r="D32" s="135">
        <v>369641.52106506302</v>
      </c>
      <c r="E32" s="139">
        <v>397676.93759500002</v>
      </c>
      <c r="F32" s="155">
        <f t="shared" si="0"/>
        <v>7.5844879247216168E-2</v>
      </c>
      <c r="G32" s="143">
        <v>2705946.4425341049</v>
      </c>
      <c r="H32" s="135">
        <v>2919063.4484371399</v>
      </c>
      <c r="I32" s="158">
        <f t="shared" si="1"/>
        <v>7.8758767192543599E-2</v>
      </c>
      <c r="J32" s="165">
        <f t="shared" si="3"/>
        <v>5.0067295009563785E-2</v>
      </c>
    </row>
    <row r="33" spans="3:10" x14ac:dyDescent="0.25">
      <c r="C33" s="80" t="s">
        <v>100</v>
      </c>
      <c r="D33" s="135">
        <v>422927.79021200002</v>
      </c>
      <c r="E33" s="139">
        <v>265244.407099</v>
      </c>
      <c r="F33" s="155">
        <f t="shared" si="0"/>
        <v>-0.37283760197918991</v>
      </c>
      <c r="G33" s="143">
        <v>1266701.1663270001</v>
      </c>
      <c r="H33" s="134">
        <v>1745725.0333834318</v>
      </c>
      <c r="I33" s="158">
        <f t="shared" si="1"/>
        <v>0.37816643719168352</v>
      </c>
      <c r="J33" s="165">
        <f t="shared" si="3"/>
        <v>2.9942387959667215E-2</v>
      </c>
    </row>
    <row r="34" spans="3:10" x14ac:dyDescent="0.25">
      <c r="C34" s="80" t="s">
        <v>96</v>
      </c>
      <c r="D34" s="135">
        <v>222862.39489200001</v>
      </c>
      <c r="E34" s="139">
        <v>181112.270399</v>
      </c>
      <c r="F34" s="155">
        <f t="shared" si="0"/>
        <v>-0.18733588730046757</v>
      </c>
      <c r="G34" s="143">
        <v>1535982.4781840001</v>
      </c>
      <c r="H34" s="134">
        <v>1562385.7776065199</v>
      </c>
      <c r="I34" s="158">
        <f t="shared" si="1"/>
        <v>1.7189844153519651E-2</v>
      </c>
      <c r="J34" s="165">
        <f t="shared" si="3"/>
        <v>2.6797783271224725E-2</v>
      </c>
    </row>
    <row r="35" spans="3:10" x14ac:dyDescent="0.25">
      <c r="C35" s="80" t="s">
        <v>107</v>
      </c>
      <c r="D35" s="135">
        <v>188078.23510019778</v>
      </c>
      <c r="E35" s="139">
        <v>197176.30671599996</v>
      </c>
      <c r="F35" s="155">
        <f t="shared" si="0"/>
        <v>4.8373867454441166E-2</v>
      </c>
      <c r="G35" s="143">
        <v>1686697.402662978</v>
      </c>
      <c r="H35" s="134">
        <v>1374749.0140638228</v>
      </c>
      <c r="I35" s="158">
        <f t="shared" si="1"/>
        <v>-0.18494626724784624</v>
      </c>
      <c r="J35" s="165">
        <f t="shared" si="3"/>
        <v>2.357946843810188E-2</v>
      </c>
    </row>
    <row r="36" spans="3:10" x14ac:dyDescent="0.25">
      <c r="C36" s="80" t="s">
        <v>102</v>
      </c>
      <c r="D36" s="135">
        <v>183574.16729709998</v>
      </c>
      <c r="E36" s="139">
        <v>146119.55039000002</v>
      </c>
      <c r="F36" s="155">
        <f t="shared" si="0"/>
        <v>-0.20402988861980065</v>
      </c>
      <c r="G36" s="143">
        <v>1104070.1279114</v>
      </c>
      <c r="H36" s="134">
        <v>894049.60036489996</v>
      </c>
      <c r="I36" s="158">
        <f t="shared" si="1"/>
        <v>-0.19022390175866977</v>
      </c>
      <c r="J36" s="165">
        <f t="shared" si="3"/>
        <v>1.5334591345939353E-2</v>
      </c>
    </row>
    <row r="37" spans="3:10" x14ac:dyDescent="0.25">
      <c r="C37" s="80" t="s">
        <v>99</v>
      </c>
      <c r="D37" s="135">
        <v>137268.60534172499</v>
      </c>
      <c r="E37" s="139">
        <v>104993.456616</v>
      </c>
      <c r="F37" s="155">
        <f t="shared" si="0"/>
        <v>-0.23512403761499023</v>
      </c>
      <c r="G37" s="143">
        <v>986541.47942523193</v>
      </c>
      <c r="H37" s="134">
        <v>800946.47435742093</v>
      </c>
      <c r="I37" s="158">
        <f t="shared" si="1"/>
        <v>-0.18812691502433365</v>
      </c>
      <c r="J37" s="165">
        <f t="shared" si="3"/>
        <v>1.3737701878317554E-2</v>
      </c>
    </row>
    <row r="38" spans="3:10" x14ac:dyDescent="0.25">
      <c r="C38" s="80" t="s">
        <v>111</v>
      </c>
      <c r="D38" s="135">
        <v>110180.45989288513</v>
      </c>
      <c r="E38" s="139">
        <v>115359.30974800001</v>
      </c>
      <c r="F38" s="155">
        <f t="shared" si="0"/>
        <v>4.7003342154767092E-2</v>
      </c>
      <c r="G38" s="143">
        <v>760604.3558737979</v>
      </c>
      <c r="H38" s="134">
        <v>786635.27593921684</v>
      </c>
      <c r="I38" s="158">
        <f t="shared" si="1"/>
        <v>3.4223995516715178E-2</v>
      </c>
      <c r="J38" s="165">
        <f t="shared" si="3"/>
        <v>1.3492238562496772E-2</v>
      </c>
    </row>
    <row r="39" spans="3:10" x14ac:dyDescent="0.25">
      <c r="C39" s="80" t="s">
        <v>101</v>
      </c>
      <c r="D39" s="135">
        <v>42600.680339999999</v>
      </c>
      <c r="E39" s="139">
        <v>42622.085749999998</v>
      </c>
      <c r="F39" s="155">
        <f t="shared" si="0"/>
        <v>5.0246638854489767E-4</v>
      </c>
      <c r="G39" s="143">
        <v>272844.82647000003</v>
      </c>
      <c r="H39" s="134">
        <v>313635.22594000003</v>
      </c>
      <c r="I39" s="158">
        <f t="shared" si="1"/>
        <v>0.14950035885868274</v>
      </c>
      <c r="J39" s="165">
        <f t="shared" si="3"/>
        <v>5.3794196871385083E-3</v>
      </c>
    </row>
    <row r="40" spans="3:10" x14ac:dyDescent="0.25">
      <c r="C40" s="80" t="s">
        <v>105</v>
      </c>
      <c r="D40" s="135">
        <v>62396.277486000006</v>
      </c>
      <c r="E40" s="139">
        <v>32159.77245</v>
      </c>
      <c r="F40" s="155">
        <f t="shared" si="0"/>
        <v>-0.48458828401717136</v>
      </c>
      <c r="G40" s="143">
        <v>421812.21835985302</v>
      </c>
      <c r="H40" s="134">
        <v>195229.115368336</v>
      </c>
      <c r="I40" s="158">
        <f t="shared" si="1"/>
        <v>-0.53716581248534689</v>
      </c>
      <c r="J40" s="165">
        <f t="shared" si="3"/>
        <v>3.3485375999058663E-3</v>
      </c>
    </row>
    <row r="41" spans="3:10" x14ac:dyDescent="0.25">
      <c r="C41" s="80" t="s">
        <v>112</v>
      </c>
      <c r="D41" s="135">
        <v>41309.438790756205</v>
      </c>
      <c r="E41" s="139">
        <v>23334.703964</v>
      </c>
      <c r="F41" s="155">
        <f t="shared" si="0"/>
        <v>-0.43512415934293458</v>
      </c>
      <c r="G41" s="143">
        <v>336716.80113549932</v>
      </c>
      <c r="H41" s="134">
        <v>133464.83317597769</v>
      </c>
      <c r="I41" s="158">
        <f t="shared" si="1"/>
        <v>-0.60362882776891891</v>
      </c>
      <c r="J41" s="165">
        <f t="shared" si="3"/>
        <v>2.2891668146513013E-3</v>
      </c>
    </row>
    <row r="42" spans="3:10" x14ac:dyDescent="0.25">
      <c r="C42" s="80" t="s">
        <v>95</v>
      </c>
      <c r="D42" s="135">
        <v>10950.670400000001</v>
      </c>
      <c r="E42" s="139">
        <v>10431.81414</v>
      </c>
      <c r="F42" s="155">
        <f t="shared" si="0"/>
        <v>-4.7381232476871982E-2</v>
      </c>
      <c r="G42" s="143">
        <v>84749.441220000008</v>
      </c>
      <c r="H42" s="134">
        <v>75724.43346</v>
      </c>
      <c r="I42" s="158">
        <f t="shared" si="1"/>
        <v>-0.10649046920052374</v>
      </c>
      <c r="J42" s="165">
        <f t="shared" si="3"/>
        <v>1.2988129982250869E-3</v>
      </c>
    </row>
    <row r="43" spans="3:10" x14ac:dyDescent="0.25">
      <c r="C43" s="80" t="s">
        <v>94</v>
      </c>
      <c r="D43" s="135">
        <v>1073.9594319999999</v>
      </c>
      <c r="E43" s="139">
        <v>4299.2427179999995</v>
      </c>
      <c r="F43" s="155">
        <f t="shared" si="0"/>
        <v>3.0031705015092225</v>
      </c>
      <c r="G43" s="143">
        <v>8724.5096620000004</v>
      </c>
      <c r="H43" s="134">
        <v>21839.761125999998</v>
      </c>
      <c r="I43" s="158">
        <f t="shared" si="1"/>
        <v>1.5032651658492711</v>
      </c>
      <c r="J43" s="249">
        <f t="shared" si="3"/>
        <v>3.7459198217129527E-4</v>
      </c>
    </row>
    <row r="44" spans="3:10" x14ac:dyDescent="0.25">
      <c r="C44" s="80" t="s">
        <v>98</v>
      </c>
      <c r="D44" s="135">
        <v>4633.4010799999996</v>
      </c>
      <c r="E44" s="139">
        <v>0</v>
      </c>
      <c r="F44" s="155" t="s">
        <v>47</v>
      </c>
      <c r="G44" s="143">
        <v>7496.3607400000001</v>
      </c>
      <c r="H44" s="134">
        <v>0</v>
      </c>
      <c r="I44" s="158" t="s">
        <v>47</v>
      </c>
      <c r="J44" s="165" t="s">
        <v>47</v>
      </c>
    </row>
    <row r="45" spans="3:10" x14ac:dyDescent="0.25">
      <c r="C45" s="79" t="s">
        <v>113</v>
      </c>
      <c r="D45" s="137">
        <f>+SUM(D46:D57)</f>
        <v>131258.66800095557</v>
      </c>
      <c r="E45" s="133">
        <f>+SUM(E46:E57)</f>
        <v>102140.654175</v>
      </c>
      <c r="F45" s="156">
        <f t="shared" si="0"/>
        <v>-0.22183688338010243</v>
      </c>
      <c r="G45" s="137">
        <f>+SUM(G46:G57)</f>
        <v>847942.91200161178</v>
      </c>
      <c r="H45" s="133">
        <f>+SUM(H46:H57)</f>
        <v>746053.50504866615</v>
      </c>
      <c r="I45" s="156">
        <f t="shared" si="1"/>
        <v>-0.120160691847085</v>
      </c>
      <c r="J45" s="163">
        <f>SUM(J46:J57)</f>
        <v>1.0000000000000002</v>
      </c>
    </row>
    <row r="46" spans="3:10" x14ac:dyDescent="0.25">
      <c r="C46" s="83" t="s">
        <v>94</v>
      </c>
      <c r="D46" s="141">
        <v>52313.6125827</v>
      </c>
      <c r="E46" s="142">
        <v>24008.335166999994</v>
      </c>
      <c r="F46" s="157">
        <f t="shared" si="0"/>
        <v>-0.54106906440371705</v>
      </c>
      <c r="G46" s="134">
        <v>340517.58995375002</v>
      </c>
      <c r="H46" s="138">
        <v>206934.44949922999</v>
      </c>
      <c r="I46" s="155">
        <f t="shared" si="1"/>
        <v>-0.39229439064414751</v>
      </c>
      <c r="J46" s="164">
        <f t="shared" ref="J46:J57" si="4">(H46/$H$45)</f>
        <v>0.27737212961117497</v>
      </c>
    </row>
    <row r="47" spans="3:10" x14ac:dyDescent="0.25">
      <c r="C47" s="82" t="s">
        <v>98</v>
      </c>
      <c r="D47" s="143">
        <v>20647.331838618</v>
      </c>
      <c r="E47" s="134">
        <v>23067.363508000006</v>
      </c>
      <c r="F47" s="158">
        <f t="shared" si="0"/>
        <v>0.11720796121732624</v>
      </c>
      <c r="G47" s="134">
        <v>135009.28266358899</v>
      </c>
      <c r="H47" s="138">
        <v>163796.57736568301</v>
      </c>
      <c r="I47" s="155">
        <f t="shared" si="1"/>
        <v>0.21322455859442724</v>
      </c>
      <c r="J47" s="165">
        <f t="shared" si="4"/>
        <v>0.21955071085015321</v>
      </c>
    </row>
    <row r="48" spans="3:10" x14ac:dyDescent="0.25">
      <c r="C48" s="80" t="s">
        <v>103</v>
      </c>
      <c r="D48" s="143">
        <v>16392.612580640001</v>
      </c>
      <c r="E48" s="134">
        <v>12453.395614999999</v>
      </c>
      <c r="F48" s="158">
        <f t="shared" si="0"/>
        <v>-0.24030440213613635</v>
      </c>
      <c r="G48" s="134">
        <v>107029.73454270003</v>
      </c>
      <c r="H48" s="138">
        <v>97500.794497490002</v>
      </c>
      <c r="I48" s="155">
        <f t="shared" si="1"/>
        <v>-8.9030773419403464E-2</v>
      </c>
      <c r="J48" s="165">
        <f t="shared" si="4"/>
        <v>0.13068874261388247</v>
      </c>
    </row>
    <row r="49" spans="3:10" x14ac:dyDescent="0.25">
      <c r="C49" s="82" t="s">
        <v>102</v>
      </c>
      <c r="D49" s="123">
        <v>14260.560564672003</v>
      </c>
      <c r="E49" s="135">
        <v>16142.022466</v>
      </c>
      <c r="F49" s="158">
        <f t="shared" si="0"/>
        <v>0.1319346383892499</v>
      </c>
      <c r="G49" s="134">
        <v>97590.542489610001</v>
      </c>
      <c r="H49" s="138">
        <v>92663.393802348</v>
      </c>
      <c r="I49" s="155">
        <f t="shared" si="1"/>
        <v>-5.048797313311959E-2</v>
      </c>
      <c r="J49" s="165">
        <f t="shared" si="4"/>
        <v>0.12420475632817171</v>
      </c>
    </row>
    <row r="50" spans="3:10" x14ac:dyDescent="0.25">
      <c r="C50" s="82" t="s">
        <v>101</v>
      </c>
      <c r="D50" s="123">
        <v>15235.592516999999</v>
      </c>
      <c r="E50" s="135">
        <v>11642.142615000001</v>
      </c>
      <c r="F50" s="158">
        <f t="shared" si="0"/>
        <v>-0.23585888753524997</v>
      </c>
      <c r="G50" s="134">
        <v>83803.807778000002</v>
      </c>
      <c r="H50" s="138">
        <v>91381.46244800002</v>
      </c>
      <c r="I50" s="155">
        <f t="shared" si="1"/>
        <v>9.0421364743635158E-2</v>
      </c>
      <c r="J50" s="165">
        <f t="shared" si="4"/>
        <v>0.12248647292668248</v>
      </c>
    </row>
    <row r="51" spans="3:10" x14ac:dyDescent="0.25">
      <c r="C51" s="82" t="s">
        <v>106</v>
      </c>
      <c r="D51" s="123">
        <v>4470.5531922099999</v>
      </c>
      <c r="E51" s="135">
        <v>5122.2058180000004</v>
      </c>
      <c r="F51" s="158">
        <f t="shared" si="0"/>
        <v>0.14576554573279976</v>
      </c>
      <c r="G51" s="134">
        <v>29279.718501110001</v>
      </c>
      <c r="H51" s="138">
        <v>34447.2394518</v>
      </c>
      <c r="I51" s="155">
        <f t="shared" si="1"/>
        <v>0.17648806802886763</v>
      </c>
      <c r="J51" s="165">
        <f t="shared" si="4"/>
        <v>4.6172612578977104E-2</v>
      </c>
    </row>
    <row r="52" spans="3:10" x14ac:dyDescent="0.25">
      <c r="C52" s="82" t="s">
        <v>108</v>
      </c>
      <c r="D52" s="123">
        <v>4011.8877082499998</v>
      </c>
      <c r="E52" s="135">
        <v>5204.4307429999999</v>
      </c>
      <c r="F52" s="158">
        <f t="shared" si="0"/>
        <v>0.29725234639485754</v>
      </c>
      <c r="G52" s="134">
        <v>25915.483898759998</v>
      </c>
      <c r="H52" s="138">
        <v>32327.56682959</v>
      </c>
      <c r="I52" s="155">
        <f t="shared" si="1"/>
        <v>0.2474228517545376</v>
      </c>
      <c r="J52" s="165">
        <f t="shared" si="4"/>
        <v>4.3331432143705599E-2</v>
      </c>
    </row>
    <row r="53" spans="3:10" x14ac:dyDescent="0.25">
      <c r="C53" s="82" t="s">
        <v>97</v>
      </c>
      <c r="D53" s="123">
        <v>2378.9879214000002</v>
      </c>
      <c r="E53" s="135">
        <v>1932.8166219999998</v>
      </c>
      <c r="F53" s="158">
        <f t="shared" si="0"/>
        <v>-0.18754668545666053</v>
      </c>
      <c r="G53" s="134">
        <v>16700.969059799998</v>
      </c>
      <c r="H53" s="138">
        <v>14199.180569800001</v>
      </c>
      <c r="I53" s="155">
        <f t="shared" si="1"/>
        <v>-0.1497990015454802</v>
      </c>
      <c r="J53" s="165">
        <f t="shared" si="4"/>
        <v>1.9032389062864558E-2</v>
      </c>
    </row>
    <row r="54" spans="3:10" x14ac:dyDescent="0.25">
      <c r="C54" s="82" t="s">
        <v>105</v>
      </c>
      <c r="D54" s="123">
        <v>1533.6954983000001</v>
      </c>
      <c r="E54" s="135">
        <v>1885.5375770000001</v>
      </c>
      <c r="F54" s="158">
        <f t="shared" si="0"/>
        <v>0.22940804031177864</v>
      </c>
      <c r="G54" s="134">
        <v>9548.1746518270011</v>
      </c>
      <c r="H54" s="138">
        <v>10606.345476759998</v>
      </c>
      <c r="I54" s="155">
        <f t="shared" si="1"/>
        <v>0.11082441026888001</v>
      </c>
      <c r="J54" s="165">
        <f t="shared" si="4"/>
        <v>1.4216601631096325E-2</v>
      </c>
    </row>
    <row r="55" spans="3:10" x14ac:dyDescent="0.25">
      <c r="C55" s="82" t="s">
        <v>107</v>
      </c>
      <c r="D55" s="144">
        <v>0</v>
      </c>
      <c r="E55" s="140">
        <v>679.83884399999999</v>
      </c>
      <c r="F55" s="158" t="s">
        <v>47</v>
      </c>
      <c r="G55" s="134">
        <v>2493.3261962999995</v>
      </c>
      <c r="H55" s="138">
        <v>2167.9413531999999</v>
      </c>
      <c r="I55" s="155">
        <f t="shared" si="1"/>
        <v>-0.13050231597568673</v>
      </c>
      <c r="J55" s="165">
        <f t="shared" si="4"/>
        <v>2.9058791876577028E-3</v>
      </c>
    </row>
    <row r="56" spans="3:10" x14ac:dyDescent="0.25">
      <c r="C56" s="82" t="s">
        <v>100</v>
      </c>
      <c r="D56" s="144">
        <v>1.5880000000000001</v>
      </c>
      <c r="E56" s="140">
        <v>2.5651999999999999</v>
      </c>
      <c r="F56" s="158">
        <f t="shared" si="0"/>
        <v>0.61536523929471021</v>
      </c>
      <c r="G56" s="134">
        <v>8.9490499999999997</v>
      </c>
      <c r="H56" s="138">
        <v>19.0608</v>
      </c>
      <c r="I56" s="155">
        <f t="shared" si="1"/>
        <v>1.1299244053838118</v>
      </c>
      <c r="J56" s="250">
        <f t="shared" si="4"/>
        <v>2.5548837812586428E-5</v>
      </c>
    </row>
    <row r="57" spans="3:10" x14ac:dyDescent="0.25">
      <c r="C57" s="82" t="s">
        <v>96</v>
      </c>
      <c r="D57" s="144">
        <v>12.245597165600001</v>
      </c>
      <c r="E57" s="140">
        <v>0</v>
      </c>
      <c r="F57" s="158" t="s">
        <v>47</v>
      </c>
      <c r="G57" s="150">
        <v>45.3332161656</v>
      </c>
      <c r="H57" s="138">
        <v>9.4929547652000004</v>
      </c>
      <c r="I57" s="155">
        <f t="shared" si="1"/>
        <v>-0.79059604483999757</v>
      </c>
      <c r="J57" s="250">
        <f t="shared" si="4"/>
        <v>1.2724227821409084E-5</v>
      </c>
    </row>
    <row r="58" spans="3:10" x14ac:dyDescent="0.25">
      <c r="C58" s="79" t="s">
        <v>114</v>
      </c>
      <c r="D58" s="137">
        <f>+SUM(D59:D75)</f>
        <v>301304.84401216079</v>
      </c>
      <c r="E58" s="133">
        <f>+SUM(E59:E75)</f>
        <v>302718.58791891829</v>
      </c>
      <c r="F58" s="156">
        <f t="shared" si="0"/>
        <v>4.6920716173433075E-3</v>
      </c>
      <c r="G58" s="137">
        <f>+SUM(G59:G75)</f>
        <v>2102663.7178525669</v>
      </c>
      <c r="H58" s="133">
        <f>+SUM(H59:H75)</f>
        <v>2051671.2285484241</v>
      </c>
      <c r="I58" s="156">
        <f t="shared" si="1"/>
        <v>-2.4251376418964909E-2</v>
      </c>
      <c r="J58" s="163">
        <f>SUM(J59:J75)</f>
        <v>1.0000000000000002</v>
      </c>
    </row>
    <row r="59" spans="3:10" x14ac:dyDescent="0.25">
      <c r="C59" s="83" t="s">
        <v>94</v>
      </c>
      <c r="D59" s="141">
        <v>58070.041280247904</v>
      </c>
      <c r="E59" s="142">
        <v>52593.755839000012</v>
      </c>
      <c r="F59" s="157">
        <f t="shared" si="0"/>
        <v>-9.4304831209248818E-2</v>
      </c>
      <c r="G59" s="141">
        <v>388436.61771019251</v>
      </c>
      <c r="H59" s="142">
        <v>386298.80897399108</v>
      </c>
      <c r="I59" s="157">
        <f t="shared" si="1"/>
        <v>-5.5036230847742562E-3</v>
      </c>
      <c r="J59" s="164">
        <f t="shared" ref="J59:J75" si="5">(H59/$H$58)</f>
        <v>0.18828494721705533</v>
      </c>
    </row>
    <row r="60" spans="3:10" x14ac:dyDescent="0.25">
      <c r="C60" s="80" t="s">
        <v>103</v>
      </c>
      <c r="D60" s="143">
        <v>56162.034002126107</v>
      </c>
      <c r="E60" s="134">
        <v>54916.199246999997</v>
      </c>
      <c r="F60" s="158">
        <f t="shared" si="0"/>
        <v>-2.2182863873465575E-2</v>
      </c>
      <c r="G60" s="143">
        <v>421829.91973783064</v>
      </c>
      <c r="H60" s="134">
        <v>372443.79375520843</v>
      </c>
      <c r="I60" s="158">
        <f t="shared" si="1"/>
        <v>-0.11707592010854972</v>
      </c>
      <c r="J60" s="165">
        <f t="shared" si="5"/>
        <v>0.18153190851085618</v>
      </c>
    </row>
    <row r="61" spans="3:10" ht="15" customHeight="1" x14ac:dyDescent="0.25">
      <c r="C61" s="80" t="s">
        <v>98</v>
      </c>
      <c r="D61" s="143">
        <v>43087.953580173096</v>
      </c>
      <c r="E61" s="134">
        <v>46423.286237999979</v>
      </c>
      <c r="F61" s="158">
        <f t="shared" si="0"/>
        <v>7.7407543888592389E-2</v>
      </c>
      <c r="G61" s="143">
        <v>292930.17993604438</v>
      </c>
      <c r="H61" s="134">
        <v>312878.67981840688</v>
      </c>
      <c r="I61" s="158">
        <f t="shared" si="1"/>
        <v>6.809984511229894E-2</v>
      </c>
      <c r="J61" s="165">
        <f t="shared" si="5"/>
        <v>0.15249942362342886</v>
      </c>
    </row>
    <row r="62" spans="3:10" x14ac:dyDescent="0.25">
      <c r="C62" s="80" t="s">
        <v>102</v>
      </c>
      <c r="D62" s="143">
        <v>45292.317865713587</v>
      </c>
      <c r="E62" s="134">
        <v>45391.642147999999</v>
      </c>
      <c r="F62" s="158">
        <f t="shared" si="0"/>
        <v>2.1929609030144626E-3</v>
      </c>
      <c r="G62" s="143">
        <v>299162.30149909289</v>
      </c>
      <c r="H62" s="134">
        <v>294029.45042704249</v>
      </c>
      <c r="I62" s="158">
        <f t="shared" si="1"/>
        <v>-1.7157412703170949E-2</v>
      </c>
      <c r="J62" s="165">
        <f t="shared" si="5"/>
        <v>0.14331216733739108</v>
      </c>
    </row>
    <row r="63" spans="3:10" x14ac:dyDescent="0.25">
      <c r="C63" s="82" t="s">
        <v>96</v>
      </c>
      <c r="D63" s="123">
        <v>13419.422262449199</v>
      </c>
      <c r="E63" s="135">
        <v>16159.660574000001</v>
      </c>
      <c r="F63" s="158">
        <f t="shared" si="0"/>
        <v>0.20419942512865497</v>
      </c>
      <c r="G63" s="143">
        <v>87101.166144815201</v>
      </c>
      <c r="H63" s="134">
        <v>103938.43935467239</v>
      </c>
      <c r="I63" s="158">
        <f t="shared" si="1"/>
        <v>0.19330709283344594</v>
      </c>
      <c r="J63" s="165">
        <f t="shared" si="5"/>
        <v>5.0660377700090756E-2</v>
      </c>
    </row>
    <row r="64" spans="3:10" x14ac:dyDescent="0.25">
      <c r="C64" s="82" t="s">
        <v>108</v>
      </c>
      <c r="D64" s="123">
        <v>16855.401132617797</v>
      </c>
      <c r="E64" s="135">
        <v>14189.645093000001</v>
      </c>
      <c r="F64" s="158">
        <f t="shared" si="0"/>
        <v>-0.15815441107830697</v>
      </c>
      <c r="G64" s="143">
        <v>120412.4086081789</v>
      </c>
      <c r="H64" s="134">
        <v>99039.221337434705</v>
      </c>
      <c r="I64" s="158">
        <f t="shared" si="1"/>
        <v>-0.17749987329206574</v>
      </c>
      <c r="J64" s="249">
        <f t="shared" si="5"/>
        <v>4.8272461961415644E-2</v>
      </c>
    </row>
    <row r="65" spans="3:10" ht="15" customHeight="1" x14ac:dyDescent="0.25">
      <c r="C65" s="82" t="s">
        <v>101</v>
      </c>
      <c r="D65" s="123">
        <v>19925.6744899035</v>
      </c>
      <c r="E65" s="135">
        <v>14996.802913</v>
      </c>
      <c r="F65" s="158">
        <f t="shared" si="0"/>
        <v>-0.24736284733553182</v>
      </c>
      <c r="G65" s="143">
        <v>137181.75339414043</v>
      </c>
      <c r="H65" s="134">
        <v>98443.928280850087</v>
      </c>
      <c r="I65" s="158">
        <f t="shared" si="1"/>
        <v>-0.28238321901303953</v>
      </c>
      <c r="J65" s="249">
        <f t="shared" si="5"/>
        <v>4.7982311644785336E-2</v>
      </c>
    </row>
    <row r="66" spans="3:10" x14ac:dyDescent="0.25">
      <c r="C66" s="82" t="s">
        <v>105</v>
      </c>
      <c r="D66" s="123">
        <v>9727.0232966015992</v>
      </c>
      <c r="E66" s="135">
        <v>12619.368226000001</v>
      </c>
      <c r="F66" s="158">
        <f t="shared" si="0"/>
        <v>0.29735149605418565</v>
      </c>
      <c r="G66" s="143">
        <v>78591.058523966014</v>
      </c>
      <c r="H66" s="134">
        <v>76958.253960536706</v>
      </c>
      <c r="I66" s="158">
        <f t="shared" si="1"/>
        <v>-2.0775958411749729E-2</v>
      </c>
      <c r="J66" s="165">
        <f t="shared" si="5"/>
        <v>3.7510032255501952E-2</v>
      </c>
    </row>
    <row r="67" spans="3:10" x14ac:dyDescent="0.25">
      <c r="C67" s="82" t="s">
        <v>97</v>
      </c>
      <c r="D67" s="123">
        <v>8814.9823271726</v>
      </c>
      <c r="E67" s="135">
        <v>11092.180218918351</v>
      </c>
      <c r="F67" s="158">
        <f t="shared" si="0"/>
        <v>0.25833266672880106</v>
      </c>
      <c r="G67" s="143">
        <v>48214.5533703478</v>
      </c>
      <c r="H67" s="134">
        <v>67207.144848922951</v>
      </c>
      <c r="I67" s="158">
        <f t="shared" si="1"/>
        <v>0.39391822906018437</v>
      </c>
      <c r="J67" s="165">
        <f t="shared" si="5"/>
        <v>3.2757268276590597E-2</v>
      </c>
    </row>
    <row r="68" spans="3:10" x14ac:dyDescent="0.25">
      <c r="C68" s="82" t="s">
        <v>100</v>
      </c>
      <c r="D68" s="123">
        <v>7497.4705140193</v>
      </c>
      <c r="E68" s="135">
        <v>10226.142895999999</v>
      </c>
      <c r="F68" s="158">
        <f>+E68/D68-1</f>
        <v>0.36394573034711297</v>
      </c>
      <c r="G68" s="143">
        <v>51009.741114203687</v>
      </c>
      <c r="H68" s="134">
        <v>63300.720112856703</v>
      </c>
      <c r="I68" s="158">
        <f t="shared" si="1"/>
        <v>0.24095356553830038</v>
      </c>
      <c r="J68" s="165">
        <f t="shared" si="5"/>
        <v>3.0853247456047103E-2</v>
      </c>
    </row>
    <row r="69" spans="3:10" x14ac:dyDescent="0.25">
      <c r="C69" s="82" t="s">
        <v>99</v>
      </c>
      <c r="D69" s="123">
        <v>6926.0765576351996</v>
      </c>
      <c r="E69" s="135">
        <v>7517.3541640000003</v>
      </c>
      <c r="F69" s="247">
        <f t="shared" si="0"/>
        <v>8.5369776300405764E-2</v>
      </c>
      <c r="G69" s="143">
        <v>55316.573648806603</v>
      </c>
      <c r="H69" s="134">
        <v>52571.882324984603</v>
      </c>
      <c r="I69" s="158">
        <f t="shared" si="1"/>
        <v>-4.9617883805448182E-2</v>
      </c>
      <c r="J69" s="165">
        <f t="shared" si="5"/>
        <v>2.5623931160832083E-2</v>
      </c>
    </row>
    <row r="70" spans="3:10" x14ac:dyDescent="0.25">
      <c r="C70" s="82" t="s">
        <v>95</v>
      </c>
      <c r="D70" s="123">
        <v>7169.7125827048003</v>
      </c>
      <c r="E70" s="135">
        <v>6548.3075509999999</v>
      </c>
      <c r="F70" s="158">
        <f t="shared" si="0"/>
        <v>-8.6670842734169029E-2</v>
      </c>
      <c r="G70" s="143">
        <v>50013.789915750902</v>
      </c>
      <c r="H70" s="134">
        <v>46119.671234591406</v>
      </c>
      <c r="I70" s="158">
        <f t="shared" si="1"/>
        <v>-7.7860899718241838E-2</v>
      </c>
      <c r="J70" s="165">
        <f t="shared" si="5"/>
        <v>2.2479074908713075E-2</v>
      </c>
    </row>
    <row r="71" spans="3:10" x14ac:dyDescent="0.25">
      <c r="C71" s="82" t="s">
        <v>106</v>
      </c>
      <c r="D71" s="123">
        <v>4006.7647318449999</v>
      </c>
      <c r="E71" s="135">
        <v>4347.6208189999998</v>
      </c>
      <c r="F71" s="247">
        <f t="shared" si="0"/>
        <v>8.5070152596168347E-2</v>
      </c>
      <c r="G71" s="143">
        <v>29886.842926731202</v>
      </c>
      <c r="H71" s="134">
        <v>27809.975967733903</v>
      </c>
      <c r="I71" s="158">
        <f t="shared" si="1"/>
        <v>-6.9491011950938542E-2</v>
      </c>
      <c r="J71" s="165">
        <f t="shared" si="5"/>
        <v>1.3554791616105916E-2</v>
      </c>
    </row>
    <row r="72" spans="3:10" x14ac:dyDescent="0.25">
      <c r="C72" s="82" t="s">
        <v>107</v>
      </c>
      <c r="D72" s="123">
        <v>0</v>
      </c>
      <c r="E72" s="135">
        <v>1269.6375559999999</v>
      </c>
      <c r="F72" s="158" t="s">
        <v>47</v>
      </c>
      <c r="G72" s="143">
        <v>14513.036544705799</v>
      </c>
      <c r="H72" s="134">
        <v>20783.268640666902</v>
      </c>
      <c r="I72" s="158">
        <f t="shared" si="1"/>
        <v>0.43204136340774357</v>
      </c>
      <c r="J72" s="165">
        <f t="shared" si="5"/>
        <v>1.0129921573921594E-2</v>
      </c>
    </row>
    <row r="73" spans="3:10" x14ac:dyDescent="0.25">
      <c r="C73" s="82" t="s">
        <v>104</v>
      </c>
      <c r="D73" s="123">
        <v>2385.3781558360001</v>
      </c>
      <c r="E73" s="140">
        <v>2224.1968830000001</v>
      </c>
      <c r="F73" s="158">
        <f t="shared" si="0"/>
        <v>-6.7570532765070523E-2</v>
      </c>
      <c r="G73" s="143">
        <v>15592.401619278802</v>
      </c>
      <c r="H73" s="134">
        <v>18264.589848600299</v>
      </c>
      <c r="I73" s="158">
        <f t="shared" si="1"/>
        <v>0.17137759112217466</v>
      </c>
      <c r="J73" s="165">
        <f t="shared" si="5"/>
        <v>8.9022985722340426E-3</v>
      </c>
    </row>
    <row r="74" spans="3:10" x14ac:dyDescent="0.25">
      <c r="C74" s="82" t="s">
        <v>110</v>
      </c>
      <c r="D74" s="123">
        <v>1948.6901311122001</v>
      </c>
      <c r="E74" s="135">
        <v>2173.1498419999994</v>
      </c>
      <c r="F74" s="158">
        <f t="shared" si="0"/>
        <v>0.11518491693684041</v>
      </c>
      <c r="G74" s="143">
        <v>12394.326539393001</v>
      </c>
      <c r="H74" s="134">
        <v>11460.7079184414</v>
      </c>
      <c r="I74" s="158">
        <f t="shared" si="1"/>
        <v>-7.5326288845486977E-2</v>
      </c>
      <c r="J74" s="165">
        <f t="shared" si="5"/>
        <v>5.5860353057394846E-3</v>
      </c>
    </row>
    <row r="75" spans="3:10" x14ac:dyDescent="0.25">
      <c r="C75" s="82" t="s">
        <v>112</v>
      </c>
      <c r="D75" s="144">
        <v>15.9011020029</v>
      </c>
      <c r="E75" s="140">
        <v>29.637710999999999</v>
      </c>
      <c r="F75" s="158">
        <f t="shared" si="0"/>
        <v>0.86387779882141214</v>
      </c>
      <c r="G75" s="143">
        <v>77.046619088599996</v>
      </c>
      <c r="H75" s="134">
        <v>122.6917434831</v>
      </c>
      <c r="I75" s="158">
        <f t="shared" si="1"/>
        <v>0.59243513777042245</v>
      </c>
      <c r="J75" s="249">
        <f t="shared" si="5"/>
        <v>5.9800879290930794E-5</v>
      </c>
    </row>
    <row r="76" spans="3:10" x14ac:dyDescent="0.25">
      <c r="C76" s="79" t="s">
        <v>115</v>
      </c>
      <c r="D76" s="137">
        <f>+SUM(D77:D88)</f>
        <v>26804.970046064802</v>
      </c>
      <c r="E76" s="133">
        <f>+SUM(E77:E88)</f>
        <v>26122.493078999996</v>
      </c>
      <c r="F76" s="156">
        <f t="shared" si="0"/>
        <v>-2.5460836773626538E-2</v>
      </c>
      <c r="G76" s="137">
        <f>+SUM(G77:G88)</f>
        <v>180178.03668610091</v>
      </c>
      <c r="H76" s="133">
        <f>+SUM(H77:H88)</f>
        <v>165375.35404773502</v>
      </c>
      <c r="I76" s="156">
        <f t="shared" si="1"/>
        <v>-8.2155866001329292E-2</v>
      </c>
      <c r="J76" s="163">
        <f>SUM(J77:J88)</f>
        <v>0.99999999999999989</v>
      </c>
    </row>
    <row r="77" spans="3:10" x14ac:dyDescent="0.25">
      <c r="C77" s="83" t="s">
        <v>102</v>
      </c>
      <c r="D77" s="134">
        <v>8646.7227042390004</v>
      </c>
      <c r="E77" s="138">
        <v>9013.1661139999997</v>
      </c>
      <c r="F77" s="155">
        <f t="shared" si="0"/>
        <v>4.23794566213338E-2</v>
      </c>
      <c r="G77" s="141">
        <v>55028.617446625198</v>
      </c>
      <c r="H77" s="142">
        <v>51636.784917272998</v>
      </c>
      <c r="I77" s="157">
        <f t="shared" si="1"/>
        <v>-6.1637611241861512E-2</v>
      </c>
      <c r="J77" s="164">
        <f t="shared" ref="J77:J88" si="6">(H77/$H$76)</f>
        <v>0.31223990548415226</v>
      </c>
    </row>
    <row r="78" spans="3:10" x14ac:dyDescent="0.25">
      <c r="C78" s="80" t="s">
        <v>98</v>
      </c>
      <c r="D78" s="134">
        <v>3282.2857964610002</v>
      </c>
      <c r="E78" s="138">
        <v>3736.6104220000002</v>
      </c>
      <c r="F78" s="155">
        <f t="shared" ref="F78:F92" si="7">+E78/D78-1</f>
        <v>0.13841714393940285</v>
      </c>
      <c r="G78" s="143">
        <v>21415.808031086002</v>
      </c>
      <c r="H78" s="134">
        <v>27492.121068432007</v>
      </c>
      <c r="I78" s="158">
        <f t="shared" si="1"/>
        <v>0.28373027198067735</v>
      </c>
      <c r="J78" s="165">
        <f t="shared" si="6"/>
        <v>0.16624073899485955</v>
      </c>
    </row>
    <row r="79" spans="3:10" x14ac:dyDescent="0.25">
      <c r="C79" s="80" t="s">
        <v>103</v>
      </c>
      <c r="D79" s="134">
        <v>4757.3814318199993</v>
      </c>
      <c r="E79" s="138">
        <v>3907.7240259999999</v>
      </c>
      <c r="F79" s="155">
        <f t="shared" si="7"/>
        <v>-0.1785977050603974</v>
      </c>
      <c r="G79" s="143">
        <v>34171.896426599997</v>
      </c>
      <c r="H79" s="134">
        <v>26150.046148769998</v>
      </c>
      <c r="I79" s="158">
        <f t="shared" ref="I79:I93" si="8">+H79/G79-1</f>
        <v>-0.23474992952353824</v>
      </c>
      <c r="J79" s="165">
        <f t="shared" si="6"/>
        <v>0.15812541293923324</v>
      </c>
    </row>
    <row r="80" spans="3:10" x14ac:dyDescent="0.25">
      <c r="C80" s="80" t="s">
        <v>105</v>
      </c>
      <c r="D80" s="134">
        <v>2060.9530500000001</v>
      </c>
      <c r="E80" s="138">
        <v>2474.4968590000008</v>
      </c>
      <c r="F80" s="155">
        <f t="shared" si="7"/>
        <v>0.2006565889504377</v>
      </c>
      <c r="G80" s="143">
        <v>14842.470233524902</v>
      </c>
      <c r="H80" s="134">
        <v>15354.045720640001</v>
      </c>
      <c r="I80" s="158">
        <f t="shared" si="8"/>
        <v>3.4467004418145653E-2</v>
      </c>
      <c r="J80" s="165">
        <f t="shared" si="6"/>
        <v>9.2843615114547903E-2</v>
      </c>
    </row>
    <row r="81" spans="3:10" x14ac:dyDescent="0.25">
      <c r="C81" s="82" t="s">
        <v>94</v>
      </c>
      <c r="D81" s="135">
        <v>2759.7245468000001</v>
      </c>
      <c r="E81" s="139">
        <v>1411.2651249999999</v>
      </c>
      <c r="F81" s="155">
        <f t="shared" si="7"/>
        <v>-0.48862101957370618</v>
      </c>
      <c r="G81" s="143">
        <v>20770.8898377</v>
      </c>
      <c r="H81" s="134">
        <v>11677.116191200001</v>
      </c>
      <c r="I81" s="158">
        <f t="shared" si="8"/>
        <v>-0.43781338775358747</v>
      </c>
      <c r="J81" s="165">
        <f t="shared" si="6"/>
        <v>7.0609772891729941E-2</v>
      </c>
    </row>
    <row r="82" spans="3:10" x14ac:dyDescent="0.25">
      <c r="C82" s="82" t="s">
        <v>101</v>
      </c>
      <c r="D82" s="135">
        <v>2418.8693399999997</v>
      </c>
      <c r="E82" s="139">
        <v>2025.1988249999999</v>
      </c>
      <c r="F82" s="155">
        <f t="shared" si="7"/>
        <v>-0.16274980565920105</v>
      </c>
      <c r="G82" s="143">
        <v>11986.227173999998</v>
      </c>
      <c r="H82" s="134">
        <v>11525.081770999997</v>
      </c>
      <c r="I82" s="158">
        <f t="shared" si="8"/>
        <v>-3.8472940342754169E-2</v>
      </c>
      <c r="J82" s="165">
        <f t="shared" si="6"/>
        <v>6.9690443520824291E-2</v>
      </c>
    </row>
    <row r="83" spans="3:10" x14ac:dyDescent="0.25">
      <c r="C83" s="82" t="s">
        <v>97</v>
      </c>
      <c r="D83" s="135">
        <v>1593.6983283999998</v>
      </c>
      <c r="E83" s="139">
        <v>1356.1164119999999</v>
      </c>
      <c r="F83" s="155">
        <f t="shared" si="7"/>
        <v>-0.14907583961546933</v>
      </c>
      <c r="G83" s="143">
        <v>11126.9045272</v>
      </c>
      <c r="H83" s="134">
        <v>9532.2799358000011</v>
      </c>
      <c r="I83" s="158">
        <f t="shared" si="8"/>
        <v>-0.1433125077600782</v>
      </c>
      <c r="J83" s="165">
        <f t="shared" si="6"/>
        <v>5.7640269257101889E-2</v>
      </c>
    </row>
    <row r="84" spans="3:10" x14ac:dyDescent="0.25">
      <c r="C84" s="82" t="s">
        <v>106</v>
      </c>
      <c r="D84" s="135">
        <v>757.08788501999993</v>
      </c>
      <c r="E84" s="139">
        <v>996.60218500000008</v>
      </c>
      <c r="F84" s="155">
        <f t="shared" si="7"/>
        <v>0.31636261089248952</v>
      </c>
      <c r="G84" s="143">
        <v>4540.5244781199999</v>
      </c>
      <c r="H84" s="134">
        <v>6021.7940254999994</v>
      </c>
      <c r="I84" s="158">
        <f t="shared" si="8"/>
        <v>0.32623313771745543</v>
      </c>
      <c r="J84" s="165">
        <f t="shared" si="6"/>
        <v>3.64128866733179E-2</v>
      </c>
    </row>
    <row r="85" spans="3:10" x14ac:dyDescent="0.25">
      <c r="C85" s="82" t="s">
        <v>108</v>
      </c>
      <c r="D85" s="135">
        <v>509.26564422000001</v>
      </c>
      <c r="E85" s="139">
        <v>468.68032300000004</v>
      </c>
      <c r="F85" s="155">
        <f t="shared" si="7"/>
        <v>-7.9693813397055613E-2</v>
      </c>
      <c r="G85" s="143">
        <v>3708.0355148399999</v>
      </c>
      <c r="H85" s="134">
        <v>3560.5885498500002</v>
      </c>
      <c r="I85" s="158">
        <f t="shared" si="8"/>
        <v>-3.9764172807919329E-2</v>
      </c>
      <c r="J85" s="165">
        <f t="shared" si="6"/>
        <v>2.1530345741979477E-2</v>
      </c>
    </row>
    <row r="86" spans="3:10" x14ac:dyDescent="0.25">
      <c r="C86" s="82" t="s">
        <v>107</v>
      </c>
      <c r="D86" s="140">
        <v>0</v>
      </c>
      <c r="E86" s="145">
        <v>720.25790799999993</v>
      </c>
      <c r="F86" s="155" t="s">
        <v>47</v>
      </c>
      <c r="G86" s="143">
        <v>2506.7997863000001</v>
      </c>
      <c r="H86" s="134">
        <v>2319.0208516000002</v>
      </c>
      <c r="I86" s="158">
        <f t="shared" si="8"/>
        <v>-7.4907830982847923E-2</v>
      </c>
      <c r="J86" s="165">
        <f t="shared" si="6"/>
        <v>1.4022771802687255E-2</v>
      </c>
    </row>
    <row r="87" spans="3:10" x14ac:dyDescent="0.25">
      <c r="C87" s="82" t="s">
        <v>100</v>
      </c>
      <c r="D87" s="140">
        <v>11.036</v>
      </c>
      <c r="E87" s="145">
        <v>12.374879999999999</v>
      </c>
      <c r="F87" s="155">
        <f t="shared" si="7"/>
        <v>0.12131931859369338</v>
      </c>
      <c r="G87" s="143">
        <v>57.17586</v>
      </c>
      <c r="H87" s="134">
        <v>101.238423</v>
      </c>
      <c r="I87" s="158">
        <f t="shared" si="8"/>
        <v>0.77064976372895821</v>
      </c>
      <c r="J87" s="165">
        <f t="shared" si="6"/>
        <v>6.121735828349482E-4</v>
      </c>
    </row>
    <row r="88" spans="3:10" x14ac:dyDescent="0.25">
      <c r="C88" s="82" t="s">
        <v>96</v>
      </c>
      <c r="D88" s="135">
        <v>7.9453191048000003</v>
      </c>
      <c r="E88" s="139">
        <v>0</v>
      </c>
      <c r="F88" s="155" t="s">
        <v>47</v>
      </c>
      <c r="G88" s="143">
        <v>22.687370104799999</v>
      </c>
      <c r="H88" s="134">
        <v>5.23644467</v>
      </c>
      <c r="I88" s="158">
        <f t="shared" si="8"/>
        <v>-0.76919119995789564</v>
      </c>
      <c r="J88" s="250">
        <f t="shared" si="6"/>
        <v>3.1663996731269391E-5</v>
      </c>
    </row>
    <row r="89" spans="3:10" x14ac:dyDescent="0.25">
      <c r="C89" s="79" t="s">
        <v>116</v>
      </c>
      <c r="D89" s="137">
        <f>+D90</f>
        <v>1040961.796982</v>
      </c>
      <c r="E89" s="133">
        <f>+E90</f>
        <v>1066370.64986</v>
      </c>
      <c r="F89" s="156">
        <f t="shared" si="7"/>
        <v>2.4409015731092554E-2</v>
      </c>
      <c r="G89" s="137">
        <f>+G90</f>
        <v>6092975.9230459994</v>
      </c>
      <c r="H89" s="133">
        <f>+H90</f>
        <v>8195647.5473280009</v>
      </c>
      <c r="I89" s="156">
        <f t="shared" si="8"/>
        <v>0.34509764207813154</v>
      </c>
      <c r="J89" s="163">
        <f>SUM(J90)</f>
        <v>1</v>
      </c>
    </row>
    <row r="90" spans="3:10" x14ac:dyDescent="0.25">
      <c r="C90" s="84" t="s">
        <v>101</v>
      </c>
      <c r="D90" s="146">
        <v>1040961.796982</v>
      </c>
      <c r="E90" s="147">
        <v>1066370.64986</v>
      </c>
      <c r="F90" s="157">
        <f t="shared" si="7"/>
        <v>2.4409015731092554E-2</v>
      </c>
      <c r="G90" s="151">
        <v>6092975.9230459994</v>
      </c>
      <c r="H90" s="152">
        <v>8195647.5473280009</v>
      </c>
      <c r="I90" s="159">
        <f t="shared" si="8"/>
        <v>0.34509764207813154</v>
      </c>
      <c r="J90" s="166">
        <f>(H90/$H$89)</f>
        <v>1</v>
      </c>
    </row>
    <row r="91" spans="3:10" x14ac:dyDescent="0.25">
      <c r="C91" s="79" t="s">
        <v>117</v>
      </c>
      <c r="D91" s="137">
        <f>SUM(D92:D92)</f>
        <v>3033.0752000000002</v>
      </c>
      <c r="E91" s="133">
        <f>SUM(E92:E92)</f>
        <v>3230.7702250000002</v>
      </c>
      <c r="F91" s="156">
        <f t="shared" si="7"/>
        <v>6.5179730789398205E-2</v>
      </c>
      <c r="G91" s="137">
        <f>SUM(G92:G92)</f>
        <v>19479.14014</v>
      </c>
      <c r="H91" s="133">
        <f>SUM(H92:H92)</f>
        <v>20745.130567</v>
      </c>
      <c r="I91" s="156">
        <f t="shared" si="8"/>
        <v>6.4992110426903116E-2</v>
      </c>
      <c r="J91" s="163">
        <f>SUM(J92:J92)</f>
        <v>1</v>
      </c>
    </row>
    <row r="92" spans="3:10" x14ac:dyDescent="0.25">
      <c r="C92" s="174" t="s">
        <v>107</v>
      </c>
      <c r="D92" s="175">
        <v>3033.0752000000002</v>
      </c>
      <c r="E92" s="176">
        <v>3230.7702250000002</v>
      </c>
      <c r="F92" s="157">
        <f t="shared" si="7"/>
        <v>6.5179730789398205E-2</v>
      </c>
      <c r="G92" s="141">
        <v>19479.14014</v>
      </c>
      <c r="H92" s="142">
        <v>20745.130567</v>
      </c>
      <c r="I92" s="157">
        <f t="shared" si="8"/>
        <v>6.4992110426903116E-2</v>
      </c>
      <c r="J92" s="164">
        <f>(H92/$H$91)</f>
        <v>1</v>
      </c>
    </row>
    <row r="93" spans="3:10" x14ac:dyDescent="0.25">
      <c r="C93" s="79" t="s">
        <v>118</v>
      </c>
      <c r="D93" s="137">
        <f>SUM(D94:D98)</f>
        <v>3136.8209697599996</v>
      </c>
      <c r="E93" s="133">
        <f>SUM(E94:E98)</f>
        <v>3606.7932000000001</v>
      </c>
      <c r="F93" s="156">
        <f t="shared" ref="F93:F112" si="9">(E93-D93)/D93</f>
        <v>0.14982437148013533</v>
      </c>
      <c r="G93" s="137">
        <f>SUM(G94:G98)</f>
        <v>22794.191209574903</v>
      </c>
      <c r="H93" s="133">
        <f>SUM(H94:H98)</f>
        <v>22384.038452193396</v>
      </c>
      <c r="I93" s="156">
        <f t="shared" si="8"/>
        <v>-1.7993740317893803E-2</v>
      </c>
      <c r="J93" s="163">
        <f>SUM(J94:J98)</f>
        <v>1.0000000000000002</v>
      </c>
    </row>
    <row r="94" spans="3:10" x14ac:dyDescent="0.25">
      <c r="C94" s="83" t="s">
        <v>97</v>
      </c>
      <c r="D94" s="91">
        <v>776.54232479999996</v>
      </c>
      <c r="E94" s="92">
        <v>1012.2219</v>
      </c>
      <c r="F94" s="157">
        <f t="shared" si="9"/>
        <v>0.30349868599976154</v>
      </c>
      <c r="G94" s="91">
        <v>5477.1723153000003</v>
      </c>
      <c r="H94" s="92">
        <v>6229.1810611000001</v>
      </c>
      <c r="I94" s="157">
        <f t="shared" ref="I94:I105" si="10">(H94-G94)/G94</f>
        <v>0.1372987195782264</v>
      </c>
      <c r="J94" s="164">
        <f>(H94/$H$93)</f>
        <v>0.27828673875824256</v>
      </c>
    </row>
    <row r="95" spans="3:10" x14ac:dyDescent="0.25">
      <c r="C95" s="80" t="s">
        <v>95</v>
      </c>
      <c r="D95" s="143">
        <v>758.22984792</v>
      </c>
      <c r="E95" s="134">
        <v>799.26594</v>
      </c>
      <c r="F95" s="158">
        <f t="shared" si="9"/>
        <v>5.4120913589159679E-2</v>
      </c>
      <c r="G95" s="143">
        <v>5197.0476034048988</v>
      </c>
      <c r="H95" s="134">
        <v>5886.0483018433997</v>
      </c>
      <c r="I95" s="158">
        <f t="shared" si="10"/>
        <v>0.13257540646483496</v>
      </c>
      <c r="J95" s="165">
        <f>(H95/$H$93)</f>
        <v>0.26295738878462432</v>
      </c>
    </row>
    <row r="96" spans="3:10" x14ac:dyDescent="0.25">
      <c r="C96" s="80" t="s">
        <v>99</v>
      </c>
      <c r="D96" s="143">
        <v>848.18455619999997</v>
      </c>
      <c r="E96" s="134">
        <v>873.46821399999999</v>
      </c>
      <c r="F96" s="158">
        <f t="shared" si="9"/>
        <v>2.9809146624025756E-2</v>
      </c>
      <c r="G96" s="143">
        <v>5990.8613334000001</v>
      </c>
      <c r="H96" s="134">
        <v>5580.6969998000004</v>
      </c>
      <c r="I96" s="158">
        <f t="shared" si="10"/>
        <v>-6.8465002071282921E-2</v>
      </c>
      <c r="J96" s="165">
        <f>(H96/$H$93)</f>
        <v>0.24931591373553738</v>
      </c>
    </row>
    <row r="97" spans="3:10" x14ac:dyDescent="0.25">
      <c r="C97" s="80" t="s">
        <v>96</v>
      </c>
      <c r="D97" s="143">
        <v>289.52709599999997</v>
      </c>
      <c r="E97" s="134">
        <v>336.65199000000001</v>
      </c>
      <c r="F97" s="158">
        <f t="shared" si="9"/>
        <v>0.16276505602087082</v>
      </c>
      <c r="G97" s="143">
        <v>1672.6255639999999</v>
      </c>
      <c r="H97" s="134">
        <v>1983.2182460000001</v>
      </c>
      <c r="I97" s="158">
        <f t="shared" si="10"/>
        <v>0.18569169853965009</v>
      </c>
      <c r="J97" s="165">
        <f>(H97/$H$93)</f>
        <v>8.8599662220722547E-2</v>
      </c>
    </row>
    <row r="98" spans="3:10" x14ac:dyDescent="0.25">
      <c r="C98" s="82" t="s">
        <v>119</v>
      </c>
      <c r="D98" s="123">
        <v>464.33714484000001</v>
      </c>
      <c r="E98" s="135">
        <v>585.18515600000001</v>
      </c>
      <c r="F98" s="158">
        <f t="shared" si="9"/>
        <v>0.26025919421467231</v>
      </c>
      <c r="G98" s="143">
        <v>4456.4843934699993</v>
      </c>
      <c r="H98" s="134">
        <v>2704.8938434499996</v>
      </c>
      <c r="I98" s="158">
        <f t="shared" si="10"/>
        <v>-0.39304312443830647</v>
      </c>
      <c r="J98" s="178">
        <f t="shared" ref="J98" si="11">(H98/$H$93)</f>
        <v>0.12084029650087333</v>
      </c>
    </row>
    <row r="99" spans="3:10" x14ac:dyDescent="0.25">
      <c r="C99" s="79" t="s">
        <v>120</v>
      </c>
      <c r="D99" s="137">
        <f>SUM(D100:D105)</f>
        <v>2570.5636897999993</v>
      </c>
      <c r="E99" s="133">
        <f>SUM(E100:E105)</f>
        <v>2277.090549</v>
      </c>
      <c r="F99" s="156">
        <f t="shared" si="9"/>
        <v>-0.11416684284637693</v>
      </c>
      <c r="G99" s="137">
        <f>SUM(G100:G105)</f>
        <v>16256.438501800003</v>
      </c>
      <c r="H99" s="133">
        <f>SUM(H100:H105)</f>
        <v>15178.435844199998</v>
      </c>
      <c r="I99" s="156">
        <f t="shared" si="10"/>
        <v>-6.6312351102035233E-2</v>
      </c>
      <c r="J99" s="163">
        <f>SUM(J100:J105)</f>
        <v>1.0000000000000002</v>
      </c>
    </row>
    <row r="100" spans="3:10" x14ac:dyDescent="0.25">
      <c r="C100" s="70" t="s">
        <v>102</v>
      </c>
      <c r="D100" s="110">
        <v>1742.4884334999999</v>
      </c>
      <c r="E100" s="111">
        <v>1464.6457539999999</v>
      </c>
      <c r="F100" s="102">
        <f t="shared" si="9"/>
        <v>-0.15945166358546164</v>
      </c>
      <c r="G100" s="91">
        <v>10556.055878000001</v>
      </c>
      <c r="H100" s="92">
        <v>9439.0423360000004</v>
      </c>
      <c r="I100" s="126">
        <f t="shared" si="10"/>
        <v>-0.10581731992608921</v>
      </c>
      <c r="J100" s="164">
        <f>(H100/$H$99)</f>
        <v>0.62187187355058449</v>
      </c>
    </row>
    <row r="101" spans="3:10" x14ac:dyDescent="0.25">
      <c r="C101" s="66" t="s">
        <v>98</v>
      </c>
      <c r="D101" s="95">
        <v>675.18524000000002</v>
      </c>
      <c r="E101" s="96">
        <v>697.89532599999995</v>
      </c>
      <c r="F101" s="105">
        <f t="shared" si="9"/>
        <v>3.3635341317591501E-2</v>
      </c>
      <c r="G101" s="93">
        <v>4475.3876280000004</v>
      </c>
      <c r="H101" s="94">
        <v>4918.4245969999993</v>
      </c>
      <c r="I101" s="103">
        <f t="shared" si="10"/>
        <v>9.8994099690530496E-2</v>
      </c>
      <c r="J101" s="165">
        <f t="shared" ref="J101:J105" si="12">(H101/$H$99)</f>
        <v>0.32404027974196259</v>
      </c>
    </row>
    <row r="102" spans="3:10" x14ac:dyDescent="0.25">
      <c r="C102" s="66" t="s">
        <v>94</v>
      </c>
      <c r="D102" s="95">
        <v>94.539502199999987</v>
      </c>
      <c r="E102" s="96">
        <v>83.964039999999997</v>
      </c>
      <c r="F102" s="105">
        <f t="shared" si="9"/>
        <v>-0.11186289280038109</v>
      </c>
      <c r="G102" s="93">
        <v>805.27359119999994</v>
      </c>
      <c r="H102" s="94">
        <v>569.47545909999997</v>
      </c>
      <c r="I102" s="103">
        <f t="shared" si="10"/>
        <v>-0.29281741594011435</v>
      </c>
      <c r="J102" s="165">
        <f t="shared" si="12"/>
        <v>3.7518718328121314E-2</v>
      </c>
    </row>
    <row r="103" spans="3:10" x14ac:dyDescent="0.25">
      <c r="C103" s="66" t="s">
        <v>105</v>
      </c>
      <c r="D103" s="95">
        <v>54.096689100000006</v>
      </c>
      <c r="E103" s="96">
        <v>24.834766999999999</v>
      </c>
      <c r="F103" s="105">
        <f t="shared" si="9"/>
        <v>-0.54091890995229142</v>
      </c>
      <c r="G103" s="93">
        <v>398.4386106</v>
      </c>
      <c r="H103" s="94">
        <v>224.82733110000004</v>
      </c>
      <c r="I103" s="103">
        <f t="shared" si="10"/>
        <v>-0.43572905557160369</v>
      </c>
      <c r="J103" s="165">
        <f t="shared" si="12"/>
        <v>1.4812285890835802E-2</v>
      </c>
    </row>
    <row r="104" spans="3:10" x14ac:dyDescent="0.25">
      <c r="C104" s="66" t="s">
        <v>103</v>
      </c>
      <c r="D104" s="193">
        <v>3.8618250000000001</v>
      </c>
      <c r="E104" s="96">
        <v>5.3319619999999999</v>
      </c>
      <c r="F104" s="105">
        <f t="shared" si="9"/>
        <v>0.38068452091951338</v>
      </c>
      <c r="G104" s="93">
        <v>16.077293999999998</v>
      </c>
      <c r="H104" s="94">
        <v>24.046420999999999</v>
      </c>
      <c r="I104" s="103">
        <f t="shared" si="10"/>
        <v>0.49567588923857464</v>
      </c>
      <c r="J104" s="165">
        <f t="shared" si="12"/>
        <v>1.5842489467838444E-3</v>
      </c>
    </row>
    <row r="105" spans="3:10" x14ac:dyDescent="0.25">
      <c r="C105" s="69" t="s">
        <v>100</v>
      </c>
      <c r="D105" s="251">
        <v>0.39200000000000002</v>
      </c>
      <c r="E105" s="252">
        <v>0.41870000000000002</v>
      </c>
      <c r="F105" s="107">
        <f t="shared" si="9"/>
        <v>6.8112244897959182E-2</v>
      </c>
      <c r="G105" s="117">
        <v>5.2055000000000007</v>
      </c>
      <c r="H105" s="118">
        <v>2.6196999999999999</v>
      </c>
      <c r="I105" s="103">
        <f t="shared" si="10"/>
        <v>-0.49674382864278177</v>
      </c>
      <c r="J105" s="253">
        <f t="shared" si="12"/>
        <v>1.7259354171207588E-4</v>
      </c>
    </row>
    <row r="106" spans="3:10" x14ac:dyDescent="0.25">
      <c r="C106" s="79" t="s">
        <v>121</v>
      </c>
      <c r="D106" s="137">
        <f>SUM(D107:D109)</f>
        <v>24.658781079999997</v>
      </c>
      <c r="E106" s="133">
        <f>SUM(E107:E109)</f>
        <v>24.117539999999998</v>
      </c>
      <c r="F106" s="156">
        <f t="shared" si="9"/>
        <v>-2.194922280400078E-2</v>
      </c>
      <c r="G106" s="137">
        <f>SUM(G107:G109)</f>
        <v>151.99251388000002</v>
      </c>
      <c r="H106" s="133">
        <f>SUM(H107:H109)</f>
        <v>166.61116560000002</v>
      </c>
      <c r="I106" s="156">
        <f>(H106-G106)/G106</f>
        <v>9.6180077207892026E-2</v>
      </c>
      <c r="J106" s="163">
        <f>SUM(J107:J109)</f>
        <v>1</v>
      </c>
    </row>
    <row r="107" spans="3:10" x14ac:dyDescent="0.25">
      <c r="C107" s="70" t="s">
        <v>102</v>
      </c>
      <c r="D107" s="110">
        <v>20.325702</v>
      </c>
      <c r="E107" s="111">
        <v>18.631633000000001</v>
      </c>
      <c r="F107" s="102">
        <f t="shared" si="9"/>
        <v>-8.3346149618842139E-2</v>
      </c>
      <c r="G107" s="91">
        <v>118.82927000000001</v>
      </c>
      <c r="H107" s="92">
        <v>124.65625500000002</v>
      </c>
      <c r="I107" s="102">
        <f>(H107-G107)/G107</f>
        <v>4.9036613622216202E-2</v>
      </c>
      <c r="J107" s="164">
        <f>(H107/$H$106)</f>
        <v>0.74818668095315211</v>
      </c>
    </row>
    <row r="108" spans="3:10" x14ac:dyDescent="0.25">
      <c r="C108" s="66" t="s">
        <v>94</v>
      </c>
      <c r="D108" s="95">
        <v>4.29307908</v>
      </c>
      <c r="E108" s="96">
        <v>5.480607</v>
      </c>
      <c r="F108" s="105">
        <f t="shared" si="9"/>
        <v>0.27661449926051673</v>
      </c>
      <c r="G108" s="93">
        <v>32.518143879999997</v>
      </c>
      <c r="H108" s="94">
        <v>41.695710599999998</v>
      </c>
      <c r="I108" s="105">
        <f>(H108-G108)/G108</f>
        <v>0.28222910735211382</v>
      </c>
      <c r="J108" s="165">
        <f>(H108/$H$106)</f>
        <v>0.25025760098277589</v>
      </c>
    </row>
    <row r="109" spans="3:10" x14ac:dyDescent="0.25">
      <c r="C109" s="69" t="s">
        <v>100</v>
      </c>
      <c r="D109" s="251">
        <v>0.04</v>
      </c>
      <c r="E109" s="252">
        <v>5.3E-3</v>
      </c>
      <c r="F109" s="107">
        <f t="shared" si="9"/>
        <v>-0.86750000000000005</v>
      </c>
      <c r="G109" s="117">
        <v>0.64510000000000012</v>
      </c>
      <c r="H109" s="254">
        <v>0.25920000000000004</v>
      </c>
      <c r="I109" s="107">
        <f>(H109-G109)/G109</f>
        <v>-0.59820182917377152</v>
      </c>
      <c r="J109" s="177">
        <f>(H109/$H$106)</f>
        <v>1.5557180640719316E-3</v>
      </c>
    </row>
    <row r="110" spans="3:10" x14ac:dyDescent="0.25">
      <c r="C110" s="79" t="s">
        <v>122</v>
      </c>
      <c r="D110" s="137">
        <f>SUM(D111:D112)</f>
        <v>27.761949000000001</v>
      </c>
      <c r="E110" s="133">
        <f>SUM(E111:E112)</f>
        <v>21.496898000000002</v>
      </c>
      <c r="F110" s="156">
        <f t="shared" si="9"/>
        <v>-0.22567043113579668</v>
      </c>
      <c r="G110" s="137">
        <f>SUM(G111:G112)</f>
        <v>194.268236</v>
      </c>
      <c r="H110" s="133">
        <f>SUM(H111:H112)</f>
        <v>163.21463399999999</v>
      </c>
      <c r="I110" s="156">
        <f t="shared" ref="I110:I118" si="13">(H110-G110)/G110</f>
        <v>-0.15984909648327691</v>
      </c>
      <c r="J110" s="163">
        <f>SUM(J111:J112)</f>
        <v>1</v>
      </c>
    </row>
    <row r="111" spans="3:10" x14ac:dyDescent="0.25">
      <c r="C111" s="70" t="s">
        <v>97</v>
      </c>
      <c r="D111" s="110">
        <v>15.999438</v>
      </c>
      <c r="E111" s="111">
        <v>12.583159999999999</v>
      </c>
      <c r="F111" s="102">
        <f t="shared" si="9"/>
        <v>-0.21352487506123655</v>
      </c>
      <c r="G111" s="91">
        <v>110.351018</v>
      </c>
      <c r="H111" s="92">
        <v>95.791830000000004</v>
      </c>
      <c r="I111" s="102">
        <f t="shared" si="13"/>
        <v>-0.1319352396005988</v>
      </c>
      <c r="J111" s="164">
        <f>(H111/$H$110)</f>
        <v>0.58690711520389782</v>
      </c>
    </row>
    <row r="112" spans="3:10" x14ac:dyDescent="0.25">
      <c r="C112" s="69" t="s">
        <v>94</v>
      </c>
      <c r="D112" s="97">
        <v>11.762511</v>
      </c>
      <c r="E112" s="98">
        <v>8.9137380000000004</v>
      </c>
      <c r="F112" s="107">
        <f t="shared" si="9"/>
        <v>-0.24219088934327029</v>
      </c>
      <c r="G112" s="117">
        <v>83.917218000000005</v>
      </c>
      <c r="H112" s="118">
        <v>67.422803999999999</v>
      </c>
      <c r="I112" s="107">
        <f t="shared" si="13"/>
        <v>-0.1965557771469498</v>
      </c>
      <c r="J112" s="177">
        <f>(H112/$H$110)</f>
        <v>0.41309288479610229</v>
      </c>
    </row>
    <row r="113" spans="3:10" x14ac:dyDescent="0.25">
      <c r="C113" s="79" t="s">
        <v>123</v>
      </c>
      <c r="D113" s="137">
        <f>SUM(D114:D116)</f>
        <v>3634.8462649999997</v>
      </c>
      <c r="E113" s="133">
        <f>SUM(E114:E116)</f>
        <v>3460.9957439999998</v>
      </c>
      <c r="F113" s="156">
        <f>(E113-D113)/D113</f>
        <v>-4.7828851160504268E-2</v>
      </c>
      <c r="G113" s="137">
        <f>SUM(G114:G116)</f>
        <v>20858.6423268</v>
      </c>
      <c r="H113" s="133">
        <f>SUM(H114:H116)</f>
        <v>23884.367795300001</v>
      </c>
      <c r="I113" s="156">
        <f t="shared" si="13"/>
        <v>0.14505860070348059</v>
      </c>
      <c r="J113" s="163">
        <f>SUM(J114:J116)</f>
        <v>1</v>
      </c>
    </row>
    <row r="114" spans="3:10" x14ac:dyDescent="0.25">
      <c r="C114" s="70" t="s">
        <v>103</v>
      </c>
      <c r="D114" s="110">
        <v>3540.3853519999998</v>
      </c>
      <c r="E114" s="111">
        <v>3383.3143699999996</v>
      </c>
      <c r="F114" s="102">
        <f>(E114-D114)/D114</f>
        <v>-4.436550442489804E-2</v>
      </c>
      <c r="G114" s="91">
        <v>20231.2855208</v>
      </c>
      <c r="H114" s="92">
        <v>23320.413098500001</v>
      </c>
      <c r="I114" s="102">
        <f t="shared" si="13"/>
        <v>0.15269062237908887</v>
      </c>
      <c r="J114" s="164">
        <f>(H114/$H$113)</f>
        <v>0.97638812542021836</v>
      </c>
    </row>
    <row r="115" spans="3:10" x14ac:dyDescent="0.25">
      <c r="C115" s="66" t="s">
        <v>97</v>
      </c>
      <c r="D115" s="95">
        <v>82.698402000000002</v>
      </c>
      <c r="E115" s="96">
        <v>68.767635999999996</v>
      </c>
      <c r="F115" s="105">
        <f>(E115-D115)/D115</f>
        <v>-0.1684526624831276</v>
      </c>
      <c r="G115" s="93">
        <v>542.89080000000001</v>
      </c>
      <c r="H115" s="94">
        <v>470.42489799999993</v>
      </c>
      <c r="I115" s="105">
        <f t="shared" si="13"/>
        <v>-0.13348154361798004</v>
      </c>
      <c r="J115" s="165">
        <f>(H115/$H$113)</f>
        <v>1.9695932587864888E-2</v>
      </c>
    </row>
    <row r="116" spans="3:10" x14ac:dyDescent="0.25">
      <c r="C116" s="69" t="s">
        <v>94</v>
      </c>
      <c r="D116" s="97">
        <v>11.762511</v>
      </c>
      <c r="E116" s="98">
        <v>8.9137380000000004</v>
      </c>
      <c r="F116" s="107">
        <f>(E116-D116)/D116</f>
        <v>-0.24219088934327029</v>
      </c>
      <c r="G116" s="117">
        <v>84.466006000000007</v>
      </c>
      <c r="H116" s="118">
        <v>93.529798799999995</v>
      </c>
      <c r="I116" s="107">
        <f t="shared" si="13"/>
        <v>0.10730698927566182</v>
      </c>
      <c r="J116" s="177">
        <f>(H116/$H$113)</f>
        <v>3.9159419919167762E-3</v>
      </c>
    </row>
    <row r="117" spans="3:10" x14ac:dyDescent="0.25">
      <c r="C117" s="79" t="s">
        <v>124</v>
      </c>
      <c r="D117" s="137">
        <f>SUM(D118)</f>
        <v>3.8380540000000001</v>
      </c>
      <c r="E117" s="133">
        <f>SUM(E118)</f>
        <v>3.2440980000000001</v>
      </c>
      <c r="F117" s="156">
        <f t="shared" ref="F117:F118" si="14">(E117-D117)/D117</f>
        <v>-0.15475446671672674</v>
      </c>
      <c r="G117" s="172">
        <f>SUM(G118)</f>
        <v>21.336172000000001</v>
      </c>
      <c r="H117" s="172">
        <f>SUM(H118)</f>
        <v>30.387711000000003</v>
      </c>
      <c r="I117" s="162">
        <f t="shared" si="13"/>
        <v>0.42423444092970386</v>
      </c>
      <c r="J117" s="163">
        <f>SUM(J118)</f>
        <v>1</v>
      </c>
    </row>
    <row r="118" spans="3:10" x14ac:dyDescent="0.25">
      <c r="C118" s="85" t="s">
        <v>94</v>
      </c>
      <c r="D118" s="194">
        <v>3.8380540000000001</v>
      </c>
      <c r="E118" s="195">
        <v>3.2440980000000001</v>
      </c>
      <c r="F118" s="160">
        <f t="shared" si="14"/>
        <v>-0.15475446671672674</v>
      </c>
      <c r="G118" s="173">
        <v>21.336172000000001</v>
      </c>
      <c r="H118" s="119">
        <v>30.387711000000003</v>
      </c>
      <c r="I118" s="120">
        <f t="shared" si="13"/>
        <v>0.42423444092970386</v>
      </c>
      <c r="J118" s="166">
        <f>(H118/$H$117)</f>
        <v>1</v>
      </c>
    </row>
    <row r="119" spans="3:10" ht="159" customHeight="1" x14ac:dyDescent="0.25">
      <c r="C119" s="229" t="s">
        <v>132</v>
      </c>
      <c r="D119" s="230"/>
      <c r="E119" s="230"/>
      <c r="F119" s="230"/>
      <c r="G119" s="230"/>
      <c r="H119" s="230"/>
      <c r="I119" s="230"/>
      <c r="J119" s="231"/>
    </row>
    <row r="120" spans="3:10" x14ac:dyDescent="0.25">
      <c r="D120" s="86"/>
      <c r="E120" s="86"/>
      <c r="F120" s="161"/>
    </row>
    <row r="121" spans="3:10" x14ac:dyDescent="0.25">
      <c r="F121" s="56"/>
    </row>
    <row r="122" spans="3:10" x14ac:dyDescent="0.25">
      <c r="F122" s="56"/>
    </row>
    <row r="123" spans="3:10" x14ac:dyDescent="0.25">
      <c r="F123" s="56"/>
    </row>
    <row r="124" spans="3:10" x14ac:dyDescent="0.25">
      <c r="F124" s="56"/>
    </row>
  </sheetData>
  <mergeCells count="5">
    <mergeCell ref="C3:J3"/>
    <mergeCell ref="C4:J4"/>
    <mergeCell ref="D8:F8"/>
    <mergeCell ref="G8:J8"/>
    <mergeCell ref="C119:J119"/>
  </mergeCells>
  <pageMargins left="0.7" right="0.7" top="0.75" bottom="0.75" header="0.3" footer="0.3"/>
  <pageSetup scale="3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Ccanto Chávez Maricielo Briggitte</dc:creator>
  <cp:lastModifiedBy>DEIVID JHONATAN RALIREZ RAMIREZ</cp:lastModifiedBy>
  <dcterms:created xsi:type="dcterms:W3CDTF">2026-08-27T16:30:44Z</dcterms:created>
  <dcterms:modified xsi:type="dcterms:W3CDTF">2026-08-27T21:34:35Z</dcterms:modified>
</cp:coreProperties>
</file>