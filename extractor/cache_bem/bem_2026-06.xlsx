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defaultThemeVersion="166925"/>
  <mc:AlternateContent xmlns:mc="http://schemas.openxmlformats.org/markup-compatibility/2006">
    <mc:Choice Requires="x15">
      <x15ac:absPath xmlns:x15ac="http://schemas.microsoft.com/office/spreadsheetml/2010/11/ac" url="G:\1. MINEM\1. BEM\1. SECCION PROD METALICA\2026\6. JUNIO\2. ANEXOS Y CUADRO ESTADISTICO\"/>
    </mc:Choice>
  </mc:AlternateContent>
  <xr:revisionPtr revIDLastSave="0" documentId="13_ncr:1_{F0522DA1-9923-4CFC-A2E5-0DA98C947CC4}" xr6:coauthVersionLast="47" xr6:coauthVersionMax="47" xr10:uidLastSave="{00000000-0000-0000-0000-000000000000}"/>
  <bookViews>
    <workbookView xWindow="-120" yWindow="-120" windowWidth="29040" windowHeight="15720" xr2:uid="{C2E09711-F6FF-4B8A-8D2D-18AB30956760}"/>
  </bookViews>
  <sheets>
    <sheet name="S01.C01" sheetId="1" r:id="rId1"/>
    <sheet name="S01.C02" sheetId="2" r:id="rId2"/>
    <sheet name="S01.C03" sheetId="3" r:id="rId3"/>
  </sheets>
  <definedNames>
    <definedName name="_xlnm._FilterDatabase" localSheetId="1" hidden="1">'S01.C02'!$C$9:$G$107</definedName>
    <definedName name="_xlnm._FilterDatabase" localSheetId="2" hidden="1">'S01.C03'!$C$11:$G$119</definedName>
    <definedName name="_xlnm.Print_Area" localSheetId="0">'S01.C01'!$B$2:$Q$73</definedName>
    <definedName name="_xlnm.Print_Area" localSheetId="1">'S01.C02'!$B$2:$K$108</definedName>
    <definedName name="_xlnm.Print_Area" localSheetId="2">'S01.C03'!$B$2:$K$120</definedName>
    <definedName name="IQ_CH">110000</definedName>
    <definedName name="IQ_CQ">5000</definedName>
    <definedName name="IQ_CY">10000</definedName>
    <definedName name="IQ_DAILY">500000</definedName>
    <definedName name="IQ_FH">100000</definedName>
    <definedName name="IQ_FQ">500</definedName>
    <definedName name="IQ_FWD_CY" hidden="1">10001</definedName>
    <definedName name="IQ_FWD_CY1" hidden="1">10002</definedName>
    <definedName name="IQ_FWD_CY2" hidden="1">10003</definedName>
    <definedName name="IQ_FWD_FY" hidden="1">1001</definedName>
    <definedName name="IQ_FWD_FY1" hidden="1">1002</definedName>
    <definedName name="IQ_FWD_FY2" hidden="1">1003</definedName>
    <definedName name="IQ_FWD_Q" hidden="1">501</definedName>
    <definedName name="IQ_FWD_Q1" hidden="1">502</definedName>
    <definedName name="IQ_FWD_Q2" hidden="1">503</definedName>
    <definedName name="IQ_FY">1000</definedName>
    <definedName name="IQ_LATESTK" hidden="1">1000</definedName>
    <definedName name="IQ_LATESTQ" hidden="1">500</definedName>
    <definedName name="IQ_LTM">2000</definedName>
    <definedName name="IQ_LTMMONTH" hidden="1">120000</definedName>
    <definedName name="IQ_MONTH">15000</definedName>
    <definedName name="IQ_NTM">6000</definedName>
    <definedName name="IQ_TODAY" hidden="1">0</definedName>
    <definedName name="IQ_WEEK">50000</definedName>
    <definedName name="IQ_YTD">3000</definedName>
    <definedName name="IQ_YTDMONTH" hidden="1">130000</definedName>
    <definedName name="OTI_2" localSheetId="0">#REF!</definedName>
    <definedName name="OTI_2" localSheetId="1">#REF!</definedName>
    <definedName name="OTI_2" localSheetId="2">#REF!</definedName>
    <definedName name="OTI_2">#REF!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J88" i="3" l="1"/>
  <c r="I88" i="3"/>
  <c r="F75" i="3"/>
  <c r="J57" i="3"/>
  <c r="I57" i="3"/>
  <c r="J43" i="3"/>
  <c r="I43" i="3"/>
  <c r="F43" i="3"/>
  <c r="D45" i="3"/>
  <c r="E45" i="3"/>
  <c r="I87" i="3"/>
  <c r="F87" i="3"/>
  <c r="F56" i="3"/>
  <c r="I56" i="3"/>
  <c r="F73" i="3"/>
  <c r="E37" i="1"/>
  <c r="F37" i="1"/>
  <c r="G37" i="1"/>
  <c r="H37" i="1"/>
  <c r="I37" i="1"/>
  <c r="J37" i="1"/>
  <c r="K37" i="1"/>
  <c r="L37" i="1"/>
  <c r="M37" i="1"/>
  <c r="N37" i="1"/>
  <c r="O37" i="1"/>
  <c r="P37" i="1"/>
  <c r="D35" i="2" l="1"/>
  <c r="E35" i="2"/>
  <c r="I104" i="3"/>
  <c r="I105" i="3"/>
  <c r="I75" i="3"/>
  <c r="I26" i="3"/>
  <c r="I87" i="2" l="1"/>
  <c r="Q32" i="1" l="1"/>
  <c r="Q33" i="1"/>
  <c r="Q34" i="1"/>
  <c r="Q35" i="1"/>
  <c r="Q36" i="1"/>
  <c r="F68" i="3"/>
  <c r="D99" i="3" l="1"/>
  <c r="E99" i="3"/>
  <c r="F93" i="2" l="1"/>
  <c r="D37" i="1"/>
  <c r="H74" i="2" l="1"/>
  <c r="G74" i="2"/>
  <c r="E74" i="2"/>
  <c r="D74" i="2"/>
  <c r="F48" i="2"/>
  <c r="F49" i="2"/>
  <c r="F50" i="2"/>
  <c r="F51" i="2"/>
  <c r="F52" i="2"/>
  <c r="F53" i="2"/>
  <c r="F54" i="2"/>
  <c r="F55" i="2"/>
  <c r="F56" i="2"/>
  <c r="F57" i="2"/>
  <c r="F58" i="2"/>
  <c r="D91" i="3" l="1"/>
  <c r="E91" i="3"/>
  <c r="G91" i="3"/>
  <c r="H91" i="3"/>
  <c r="F97" i="3"/>
  <c r="D105" i="2" l="1"/>
  <c r="E105" i="2"/>
  <c r="F106" i="2"/>
  <c r="F92" i="2"/>
  <c r="F80" i="2"/>
  <c r="F105" i="2" l="1"/>
  <c r="L58" i="1" l="1"/>
  <c r="I69" i="2"/>
  <c r="H105" i="2" l="1"/>
  <c r="J106" i="2" s="1"/>
  <c r="G105" i="2"/>
  <c r="I58" i="1"/>
  <c r="F74" i="3" l="1"/>
  <c r="I74" i="3"/>
  <c r="F45" i="3"/>
  <c r="I95" i="2"/>
  <c r="I94" i="2"/>
  <c r="I93" i="2"/>
  <c r="I92" i="2"/>
  <c r="I91" i="2"/>
  <c r="F95" i="2"/>
  <c r="F91" i="2"/>
  <c r="Q37" i="1"/>
  <c r="I118" i="3"/>
  <c r="F118" i="3"/>
  <c r="H117" i="3"/>
  <c r="J118" i="3" s="1"/>
  <c r="J117" i="3" s="1"/>
  <c r="G117" i="3"/>
  <c r="E117" i="3"/>
  <c r="D117" i="3"/>
  <c r="I116" i="3"/>
  <c r="F116" i="3"/>
  <c r="I115" i="3"/>
  <c r="F115" i="3"/>
  <c r="I114" i="3"/>
  <c r="F114" i="3"/>
  <c r="H113" i="3"/>
  <c r="J116" i="3" s="1"/>
  <c r="G113" i="3"/>
  <c r="E113" i="3"/>
  <c r="D113" i="3"/>
  <c r="I112" i="3"/>
  <c r="F112" i="3"/>
  <c r="I111" i="3"/>
  <c r="F111" i="3"/>
  <c r="H110" i="3"/>
  <c r="J112" i="3" s="1"/>
  <c r="G110" i="3"/>
  <c r="E110" i="3"/>
  <c r="D110" i="3"/>
  <c r="I109" i="3"/>
  <c r="F109" i="3"/>
  <c r="I108" i="3"/>
  <c r="F108" i="3"/>
  <c r="I107" i="3"/>
  <c r="F107" i="3"/>
  <c r="H106" i="3"/>
  <c r="J109" i="3" s="1"/>
  <c r="G106" i="3"/>
  <c r="E106" i="3"/>
  <c r="D106" i="3"/>
  <c r="F105" i="3"/>
  <c r="I103" i="3"/>
  <c r="F103" i="3"/>
  <c r="I102" i="3"/>
  <c r="F102" i="3"/>
  <c r="I101" i="3"/>
  <c r="F101" i="3"/>
  <c r="I100" i="3"/>
  <c r="F100" i="3"/>
  <c r="H99" i="3"/>
  <c r="J104" i="3" s="1"/>
  <c r="G99" i="3"/>
  <c r="I98" i="3"/>
  <c r="F98" i="3"/>
  <c r="I97" i="3"/>
  <c r="I96" i="3"/>
  <c r="F96" i="3"/>
  <c r="I95" i="3"/>
  <c r="F95" i="3"/>
  <c r="I94" i="3"/>
  <c r="F94" i="3"/>
  <c r="H93" i="3"/>
  <c r="J97" i="3" s="1"/>
  <c r="G93" i="3"/>
  <c r="E93" i="3"/>
  <c r="D93" i="3"/>
  <c r="I92" i="3"/>
  <c r="F92" i="3"/>
  <c r="J92" i="3"/>
  <c r="J91" i="3" s="1"/>
  <c r="I90" i="3"/>
  <c r="H89" i="3"/>
  <c r="G89" i="3"/>
  <c r="E89" i="3"/>
  <c r="D89" i="3"/>
  <c r="I86" i="3"/>
  <c r="I85" i="3"/>
  <c r="F85" i="3"/>
  <c r="I84" i="3"/>
  <c r="F84" i="3"/>
  <c r="I83" i="3"/>
  <c r="F83" i="3"/>
  <c r="I82" i="3"/>
  <c r="F82" i="3"/>
  <c r="I81" i="3"/>
  <c r="F81" i="3"/>
  <c r="I80" i="3"/>
  <c r="F80" i="3"/>
  <c r="I79" i="3"/>
  <c r="F79" i="3"/>
  <c r="I78" i="3"/>
  <c r="F78" i="3"/>
  <c r="I77" i="3"/>
  <c r="F77" i="3"/>
  <c r="H76" i="3"/>
  <c r="G76" i="3"/>
  <c r="E76" i="3"/>
  <c r="D76" i="3"/>
  <c r="I73" i="3"/>
  <c r="I72" i="3"/>
  <c r="I71" i="3"/>
  <c r="F71" i="3"/>
  <c r="I70" i="3"/>
  <c r="F70" i="3"/>
  <c r="I69" i="3"/>
  <c r="F69" i="3"/>
  <c r="I68" i="3"/>
  <c r="I67" i="3"/>
  <c r="F67" i="3"/>
  <c r="I66" i="3"/>
  <c r="F66" i="3"/>
  <c r="I65" i="3"/>
  <c r="F65" i="3"/>
  <c r="I64" i="3"/>
  <c r="F64" i="3"/>
  <c r="I63" i="3"/>
  <c r="F63" i="3"/>
  <c r="I62" i="3"/>
  <c r="F62" i="3"/>
  <c r="I61" i="3"/>
  <c r="F61" i="3"/>
  <c r="I60" i="3"/>
  <c r="F60" i="3"/>
  <c r="I59" i="3"/>
  <c r="F59" i="3"/>
  <c r="H58" i="3"/>
  <c r="G58" i="3"/>
  <c r="E58" i="3"/>
  <c r="D58" i="3"/>
  <c r="I55" i="3"/>
  <c r="I54" i="3"/>
  <c r="F54" i="3"/>
  <c r="I53" i="3"/>
  <c r="F53" i="3"/>
  <c r="I52" i="3"/>
  <c r="F52" i="3"/>
  <c r="I51" i="3"/>
  <c r="F51" i="3"/>
  <c r="I50" i="3"/>
  <c r="F50" i="3"/>
  <c r="I49" i="3"/>
  <c r="F49" i="3"/>
  <c r="I48" i="3"/>
  <c r="F48" i="3"/>
  <c r="I47" i="3"/>
  <c r="F47" i="3"/>
  <c r="I46" i="3"/>
  <c r="F46" i="3"/>
  <c r="H45" i="3"/>
  <c r="J56" i="3" s="1"/>
  <c r="G45" i="3"/>
  <c r="I42" i="3"/>
  <c r="F42" i="3"/>
  <c r="I41" i="3"/>
  <c r="F41" i="3"/>
  <c r="I40" i="3"/>
  <c r="F40" i="3"/>
  <c r="I39" i="3"/>
  <c r="F39" i="3"/>
  <c r="I38" i="3"/>
  <c r="F38" i="3"/>
  <c r="I37" i="3"/>
  <c r="F37" i="3"/>
  <c r="I36" i="3"/>
  <c r="F36" i="3"/>
  <c r="I35" i="3"/>
  <c r="F35" i="3"/>
  <c r="I34" i="3"/>
  <c r="F34" i="3"/>
  <c r="I33" i="3"/>
  <c r="F33" i="3"/>
  <c r="I32" i="3"/>
  <c r="F32" i="3"/>
  <c r="I31" i="3"/>
  <c r="F31" i="3"/>
  <c r="I30" i="3"/>
  <c r="F30" i="3"/>
  <c r="I29" i="3"/>
  <c r="F29" i="3"/>
  <c r="I28" i="3"/>
  <c r="F28" i="3"/>
  <c r="H27" i="3"/>
  <c r="J37" i="3" s="1"/>
  <c r="G27" i="3"/>
  <c r="E27" i="3"/>
  <c r="D27" i="3"/>
  <c r="I25" i="3"/>
  <c r="I24" i="3"/>
  <c r="F24" i="3"/>
  <c r="I23" i="3"/>
  <c r="F23" i="3"/>
  <c r="I22" i="3"/>
  <c r="F22" i="3"/>
  <c r="I21" i="3"/>
  <c r="F21" i="3"/>
  <c r="I20" i="3"/>
  <c r="F20" i="3"/>
  <c r="I19" i="3"/>
  <c r="F19" i="3"/>
  <c r="I18" i="3"/>
  <c r="F18" i="3"/>
  <c r="I17" i="3"/>
  <c r="F17" i="3"/>
  <c r="I16" i="3"/>
  <c r="F16" i="3"/>
  <c r="I15" i="3"/>
  <c r="F15" i="3"/>
  <c r="I14" i="3"/>
  <c r="F14" i="3"/>
  <c r="I13" i="3"/>
  <c r="F13" i="3"/>
  <c r="I12" i="3"/>
  <c r="F12" i="3"/>
  <c r="H11" i="3"/>
  <c r="G11" i="3"/>
  <c r="E11" i="3"/>
  <c r="D11" i="3"/>
  <c r="I106" i="2"/>
  <c r="I104" i="2"/>
  <c r="F104" i="2"/>
  <c r="I103" i="2"/>
  <c r="F103" i="2"/>
  <c r="I102" i="2"/>
  <c r="F102" i="2"/>
  <c r="I101" i="2"/>
  <c r="F101" i="2"/>
  <c r="H100" i="2"/>
  <c r="J104" i="2" s="1"/>
  <c r="G100" i="2"/>
  <c r="E100" i="2"/>
  <c r="D100" i="2"/>
  <c r="I99" i="2"/>
  <c r="F99" i="2"/>
  <c r="I98" i="2"/>
  <c r="F98" i="2"/>
  <c r="I97" i="2"/>
  <c r="F97" i="2"/>
  <c r="H96" i="2"/>
  <c r="J99" i="2" s="1"/>
  <c r="G96" i="2"/>
  <c r="E96" i="2"/>
  <c r="D96" i="2"/>
  <c r="H90" i="2"/>
  <c r="J95" i="2" s="1"/>
  <c r="G90" i="2"/>
  <c r="E90" i="2"/>
  <c r="D90" i="2"/>
  <c r="I88" i="2"/>
  <c r="F88" i="2"/>
  <c r="I86" i="2"/>
  <c r="F86" i="2"/>
  <c r="I85" i="2"/>
  <c r="F85" i="2"/>
  <c r="I84" i="2"/>
  <c r="F84" i="2"/>
  <c r="I83" i="2"/>
  <c r="F83" i="2"/>
  <c r="H82" i="2"/>
  <c r="J87" i="2" s="1"/>
  <c r="G82" i="2"/>
  <c r="E82" i="2"/>
  <c r="D82" i="2"/>
  <c r="I81" i="2"/>
  <c r="F81" i="2"/>
  <c r="I80" i="2"/>
  <c r="I79" i="2"/>
  <c r="F79" i="2"/>
  <c r="I78" i="2"/>
  <c r="F78" i="2"/>
  <c r="I77" i="2"/>
  <c r="F77" i="2"/>
  <c r="H76" i="2"/>
  <c r="J78" i="2" s="1"/>
  <c r="G76" i="2"/>
  <c r="E76" i="2"/>
  <c r="D76" i="2"/>
  <c r="I75" i="2"/>
  <c r="F75" i="2"/>
  <c r="J75" i="2"/>
  <c r="J74" i="2" s="1"/>
  <c r="I73" i="2"/>
  <c r="F73" i="2"/>
  <c r="I72" i="2"/>
  <c r="H71" i="2"/>
  <c r="J73" i="2" s="1"/>
  <c r="G71" i="2"/>
  <c r="E71" i="2"/>
  <c r="D71" i="2"/>
  <c r="I70" i="2"/>
  <c r="F70" i="2"/>
  <c r="F69" i="2"/>
  <c r="I68" i="2"/>
  <c r="F68" i="2"/>
  <c r="I67" i="2"/>
  <c r="F67" i="2"/>
  <c r="I66" i="2"/>
  <c r="F66" i="2"/>
  <c r="I65" i="2"/>
  <c r="F65" i="2"/>
  <c r="I64" i="2"/>
  <c r="F64" i="2"/>
  <c r="I63" i="2"/>
  <c r="F63" i="2"/>
  <c r="I62" i="2"/>
  <c r="F62" i="2"/>
  <c r="I61" i="2"/>
  <c r="F61" i="2"/>
  <c r="I60" i="2"/>
  <c r="F60" i="2"/>
  <c r="H59" i="2"/>
  <c r="J61" i="2" s="1"/>
  <c r="G59" i="2"/>
  <c r="E59" i="2"/>
  <c r="D59" i="2"/>
  <c r="I58" i="2"/>
  <c r="I57" i="2"/>
  <c r="I56" i="2"/>
  <c r="I55" i="2"/>
  <c r="I54" i="2"/>
  <c r="I53" i="2"/>
  <c r="I52" i="2"/>
  <c r="I51" i="2"/>
  <c r="I50" i="2"/>
  <c r="I49" i="2"/>
  <c r="I48" i="2"/>
  <c r="H47" i="2"/>
  <c r="J57" i="2" s="1"/>
  <c r="G47" i="2"/>
  <c r="E47" i="2"/>
  <c r="D47" i="2"/>
  <c r="I46" i="2"/>
  <c r="F46" i="2"/>
  <c r="I45" i="2"/>
  <c r="F45" i="2"/>
  <c r="I44" i="2"/>
  <c r="F44" i="2"/>
  <c r="I43" i="2"/>
  <c r="F43" i="2"/>
  <c r="I42" i="2"/>
  <c r="F42" i="2"/>
  <c r="I41" i="2"/>
  <c r="F41" i="2"/>
  <c r="I40" i="2"/>
  <c r="F40" i="2"/>
  <c r="I39" i="2"/>
  <c r="F39" i="2"/>
  <c r="I38" i="2"/>
  <c r="F38" i="2"/>
  <c r="I37" i="2"/>
  <c r="F37" i="2"/>
  <c r="I36" i="2"/>
  <c r="F36" i="2"/>
  <c r="H35" i="2"/>
  <c r="J37" i="2" s="1"/>
  <c r="G35" i="2"/>
  <c r="I34" i="2"/>
  <c r="F34" i="2"/>
  <c r="I33" i="2"/>
  <c r="F33" i="2"/>
  <c r="I32" i="2"/>
  <c r="F32" i="2"/>
  <c r="I31" i="2"/>
  <c r="F31" i="2"/>
  <c r="I30" i="2"/>
  <c r="F30" i="2"/>
  <c r="I29" i="2"/>
  <c r="F29" i="2"/>
  <c r="I28" i="2"/>
  <c r="F28" i="2"/>
  <c r="I27" i="2"/>
  <c r="F27" i="2"/>
  <c r="I26" i="2"/>
  <c r="F26" i="2"/>
  <c r="I25" i="2"/>
  <c r="I24" i="2"/>
  <c r="F24" i="2"/>
  <c r="H23" i="2"/>
  <c r="J28" i="2" s="1"/>
  <c r="G23" i="2"/>
  <c r="E23" i="2"/>
  <c r="D23" i="2"/>
  <c r="I22" i="2"/>
  <c r="F22" i="2"/>
  <c r="I21" i="2"/>
  <c r="F21" i="2"/>
  <c r="I20" i="2"/>
  <c r="F20" i="2"/>
  <c r="I19" i="2"/>
  <c r="F19" i="2"/>
  <c r="I18" i="2"/>
  <c r="F18" i="2"/>
  <c r="I17" i="2"/>
  <c r="F17" i="2"/>
  <c r="I16" i="2"/>
  <c r="F16" i="2"/>
  <c r="I15" i="2"/>
  <c r="F15" i="2"/>
  <c r="I14" i="2"/>
  <c r="F14" i="2"/>
  <c r="I13" i="2"/>
  <c r="F13" i="2"/>
  <c r="I12" i="2"/>
  <c r="F12" i="2"/>
  <c r="H11" i="2"/>
  <c r="J12" i="2" s="1"/>
  <c r="G11" i="2"/>
  <c r="E11" i="2"/>
  <c r="D11" i="2"/>
  <c r="P58" i="1"/>
  <c r="O58" i="1"/>
  <c r="N58" i="1"/>
  <c r="M58" i="1"/>
  <c r="K58" i="1"/>
  <c r="J58" i="1"/>
  <c r="H58" i="1"/>
  <c r="G58" i="1"/>
  <c r="F58" i="1"/>
  <c r="E58" i="1"/>
  <c r="D58" i="1"/>
  <c r="P53" i="1"/>
  <c r="O53" i="1"/>
  <c r="N53" i="1"/>
  <c r="M53" i="1"/>
  <c r="L53" i="1"/>
  <c r="K53" i="1"/>
  <c r="J53" i="1"/>
  <c r="I53" i="1"/>
  <c r="H53" i="1"/>
  <c r="G53" i="1"/>
  <c r="F53" i="1"/>
  <c r="E53" i="1"/>
  <c r="D53" i="1"/>
  <c r="P48" i="1"/>
  <c r="O48" i="1"/>
  <c r="N48" i="1"/>
  <c r="M48" i="1"/>
  <c r="L48" i="1"/>
  <c r="K48" i="1"/>
  <c r="J48" i="1"/>
  <c r="H48" i="1"/>
  <c r="G48" i="1"/>
  <c r="F48" i="1"/>
  <c r="E48" i="1"/>
  <c r="D48" i="1"/>
  <c r="Q31" i="1"/>
  <c r="Q30" i="1"/>
  <c r="Q29" i="1"/>
  <c r="Q28" i="1"/>
  <c r="Q27" i="1"/>
  <c r="Q26" i="1"/>
  <c r="Q25" i="1"/>
  <c r="Q24" i="1"/>
  <c r="Q23" i="1"/>
  <c r="Q22" i="1"/>
  <c r="J84" i="3" l="1"/>
  <c r="J87" i="3"/>
  <c r="J68" i="3"/>
  <c r="J75" i="3"/>
  <c r="J21" i="3"/>
  <c r="J26" i="3"/>
  <c r="I90" i="2"/>
  <c r="I11" i="2"/>
  <c r="I45" i="3"/>
  <c r="I96" i="2"/>
  <c r="J43" i="2"/>
  <c r="J101" i="2"/>
  <c r="J65" i="3"/>
  <c r="I58" i="3"/>
  <c r="J74" i="3"/>
  <c r="J39" i="2"/>
  <c r="J62" i="2"/>
  <c r="J53" i="2"/>
  <c r="J18" i="2"/>
  <c r="F99" i="3"/>
  <c r="I91" i="3"/>
  <c r="F58" i="3"/>
  <c r="J50" i="3"/>
  <c r="F110" i="3"/>
  <c r="J51" i="3"/>
  <c r="J86" i="3"/>
  <c r="J52" i="3"/>
  <c r="I117" i="3"/>
  <c r="J46" i="3"/>
  <c r="J69" i="3"/>
  <c r="I27" i="3"/>
  <c r="J79" i="3"/>
  <c r="I89" i="3"/>
  <c r="F76" i="3"/>
  <c r="F93" i="3"/>
  <c r="J53" i="3"/>
  <c r="J70" i="3"/>
  <c r="J59" i="3"/>
  <c r="F117" i="3"/>
  <c r="J47" i="3"/>
  <c r="J54" i="3"/>
  <c r="J63" i="3"/>
  <c r="J90" i="3"/>
  <c r="J89" i="3" s="1"/>
  <c r="J48" i="3"/>
  <c r="J55" i="3"/>
  <c r="F113" i="3"/>
  <c r="F91" i="3"/>
  <c r="F106" i="3"/>
  <c r="J64" i="3"/>
  <c r="J49" i="3"/>
  <c r="I100" i="2"/>
  <c r="F100" i="2"/>
  <c r="J97" i="2"/>
  <c r="F96" i="2"/>
  <c r="F82" i="2"/>
  <c r="J79" i="2"/>
  <c r="J80" i="2"/>
  <c r="F74" i="2"/>
  <c r="J72" i="2"/>
  <c r="J71" i="2" s="1"/>
  <c r="J58" i="2"/>
  <c r="J38" i="2"/>
  <c r="F35" i="2"/>
  <c r="J30" i="2"/>
  <c r="F23" i="2"/>
  <c r="J15" i="2"/>
  <c r="J16" i="2"/>
  <c r="J13" i="3"/>
  <c r="I23" i="2"/>
  <c r="I47" i="2"/>
  <c r="J63" i="2"/>
  <c r="I105" i="2"/>
  <c r="J16" i="3"/>
  <c r="J23" i="3"/>
  <c r="J54" i="2"/>
  <c r="F76" i="2"/>
  <c r="J22" i="3"/>
  <c r="J91" i="2"/>
  <c r="I93" i="3"/>
  <c r="I99" i="3"/>
  <c r="I113" i="3"/>
  <c r="F11" i="2"/>
  <c r="J24" i="2"/>
  <c r="J48" i="2"/>
  <c r="I71" i="2"/>
  <c r="J92" i="2"/>
  <c r="J80" i="3"/>
  <c r="J100" i="3"/>
  <c r="J49" i="2"/>
  <c r="J93" i="2"/>
  <c r="F11" i="3"/>
  <c r="J101" i="3"/>
  <c r="F47" i="2"/>
  <c r="J34" i="2"/>
  <c r="J17" i="3"/>
  <c r="J24" i="3"/>
  <c r="J19" i="2"/>
  <c r="J32" i="3"/>
  <c r="J18" i="3"/>
  <c r="I11" i="3"/>
  <c r="J102" i="3"/>
  <c r="J13" i="2"/>
  <c r="J20" i="2"/>
  <c r="F59" i="2"/>
  <c r="J44" i="2"/>
  <c r="J67" i="2"/>
  <c r="J19" i="3"/>
  <c r="J98" i="3"/>
  <c r="J25" i="3"/>
  <c r="J12" i="3"/>
  <c r="J14" i="2"/>
  <c r="J29" i="2"/>
  <c r="J52" i="2"/>
  <c r="F27" i="3"/>
  <c r="J68" i="2"/>
  <c r="I74" i="2"/>
  <c r="F90" i="2"/>
  <c r="J20" i="3"/>
  <c r="J85" i="3"/>
  <c r="J105" i="3"/>
  <c r="I106" i="3"/>
  <c r="J25" i="2"/>
  <c r="I76" i="2"/>
  <c r="J39" i="3"/>
  <c r="I76" i="3"/>
  <c r="J114" i="3"/>
  <c r="J21" i="2"/>
  <c r="I35" i="2"/>
  <c r="J40" i="2"/>
  <c r="I59" i="2"/>
  <c r="J64" i="2"/>
  <c r="J94" i="2"/>
  <c r="J98" i="2"/>
  <c r="J102" i="2"/>
  <c r="J105" i="2"/>
  <c r="J14" i="3"/>
  <c r="J34" i="3"/>
  <c r="J60" i="3"/>
  <c r="J81" i="2"/>
  <c r="J28" i="3"/>
  <c r="J45" i="2"/>
  <c r="J94" i="3"/>
  <c r="J29" i="3"/>
  <c r="J71" i="3"/>
  <c r="J26" i="2"/>
  <c r="J46" i="2"/>
  <c r="J50" i="2"/>
  <c r="J70" i="2"/>
  <c r="J84" i="2"/>
  <c r="J40" i="3"/>
  <c r="J66" i="3"/>
  <c r="J82" i="3"/>
  <c r="J95" i="3"/>
  <c r="J107" i="3"/>
  <c r="J111" i="3"/>
  <c r="J110" i="3" s="1"/>
  <c r="J115" i="3"/>
  <c r="I110" i="3"/>
  <c r="J81" i="3"/>
  <c r="J55" i="2"/>
  <c r="J22" i="2"/>
  <c r="J41" i="2"/>
  <c r="J65" i="2"/>
  <c r="J77" i="2"/>
  <c r="J103" i="2"/>
  <c r="J15" i="3"/>
  <c r="J35" i="3"/>
  <c r="J61" i="3"/>
  <c r="J77" i="3"/>
  <c r="J83" i="2"/>
  <c r="J31" i="2"/>
  <c r="J17" i="2"/>
  <c r="J32" i="2"/>
  <c r="J36" i="2"/>
  <c r="J56" i="2"/>
  <c r="J60" i="2"/>
  <c r="J30" i="3"/>
  <c r="J72" i="3"/>
  <c r="J103" i="3"/>
  <c r="J69" i="2"/>
  <c r="J27" i="2"/>
  <c r="J51" i="2"/>
  <c r="J85" i="2"/>
  <c r="J41" i="3"/>
  <c r="J67" i="3"/>
  <c r="J83" i="3"/>
  <c r="J96" i="3"/>
  <c r="J108" i="3"/>
  <c r="J88" i="2"/>
  <c r="J42" i="2"/>
  <c r="J66" i="2"/>
  <c r="J36" i="3"/>
  <c r="J62" i="3"/>
  <c r="J73" i="3"/>
  <c r="J78" i="3"/>
  <c r="I82" i="2"/>
  <c r="J33" i="3"/>
  <c r="J33" i="2"/>
  <c r="J31" i="3"/>
  <c r="J38" i="3"/>
  <c r="J86" i="2"/>
  <c r="J42" i="3"/>
  <c r="J96" i="2" l="1"/>
  <c r="J99" i="3"/>
  <c r="J45" i="3"/>
  <c r="J11" i="2"/>
  <c r="J11" i="3"/>
  <c r="J35" i="2"/>
  <c r="J90" i="2"/>
  <c r="J93" i="3"/>
  <c r="J82" i="2"/>
  <c r="J58" i="3"/>
  <c r="J27" i="3"/>
  <c r="J23" i="2"/>
  <c r="J106" i="3"/>
  <c r="J76" i="2"/>
  <c r="J113" i="3"/>
  <c r="J76" i="3"/>
  <c r="J47" i="2"/>
  <c r="J100" i="2"/>
  <c r="J59" i="2"/>
</calcChain>
</file>

<file path=xl/sharedStrings.xml><?xml version="1.0" encoding="utf-8"?>
<sst xmlns="http://schemas.openxmlformats.org/spreadsheetml/2006/main" count="392" uniqueCount="146">
  <si>
    <t>SECCIÓN N° 01: PRODUCCIÓN METÁLICA</t>
  </si>
  <si>
    <t>METALLIC MINERAL PRODUCTION</t>
  </si>
  <si>
    <t>CUADRO N° 01. VOLUMEN DE LA PRODUCCIÓN MINERA METÁLICA</t>
  </si>
  <si>
    <t>VOLUME OF METALLIC MINING PRODUCTION</t>
  </si>
  <si>
    <r>
      <t xml:space="preserve">PERIODO
</t>
    </r>
    <r>
      <rPr>
        <i/>
        <sz val="10"/>
        <color theme="1"/>
        <rFont val="Calibri Light"/>
        <family val="2"/>
        <scheme val="major"/>
      </rPr>
      <t>Period</t>
    </r>
  </si>
  <si>
    <r>
      <t xml:space="preserve">COBRE
</t>
    </r>
    <r>
      <rPr>
        <i/>
        <sz val="10"/>
        <color theme="1"/>
        <rFont val="Calibri Light"/>
        <family val="2"/>
        <scheme val="major"/>
      </rPr>
      <t>Copper</t>
    </r>
  </si>
  <si>
    <r>
      <t xml:space="preserve">ORO*
</t>
    </r>
    <r>
      <rPr>
        <i/>
        <sz val="10"/>
        <color theme="1"/>
        <rFont val="Calibri Light"/>
        <family val="2"/>
        <scheme val="major"/>
      </rPr>
      <t>Gold</t>
    </r>
  </si>
  <si>
    <r>
      <t xml:space="preserve">ZINC
</t>
    </r>
    <r>
      <rPr>
        <i/>
        <sz val="10"/>
        <color theme="1"/>
        <rFont val="Calibri Light"/>
        <family val="2"/>
        <scheme val="major"/>
      </rPr>
      <t>Zinc</t>
    </r>
  </si>
  <si>
    <r>
      <t xml:space="preserve">PLATA
</t>
    </r>
    <r>
      <rPr>
        <i/>
        <sz val="10"/>
        <color theme="1"/>
        <rFont val="Calibri Light"/>
        <family val="2"/>
        <scheme val="major"/>
      </rPr>
      <t>Silver</t>
    </r>
  </si>
  <si>
    <r>
      <t xml:space="preserve">PLOMO
</t>
    </r>
    <r>
      <rPr>
        <i/>
        <sz val="10"/>
        <color theme="1"/>
        <rFont val="Calibri Light"/>
        <family val="2"/>
        <scheme val="major"/>
      </rPr>
      <t>Lead</t>
    </r>
  </si>
  <si>
    <r>
      <t xml:space="preserve">HIERRO
</t>
    </r>
    <r>
      <rPr>
        <i/>
        <sz val="10"/>
        <color theme="1"/>
        <rFont val="Calibri Light"/>
        <family val="2"/>
        <scheme val="major"/>
      </rPr>
      <t>Iron</t>
    </r>
  </si>
  <si>
    <r>
      <t xml:space="preserve">ESTAÑO
</t>
    </r>
    <r>
      <rPr>
        <i/>
        <sz val="10"/>
        <color theme="1"/>
        <rFont val="Calibri Light"/>
        <family val="2"/>
        <scheme val="major"/>
      </rPr>
      <t>Tin</t>
    </r>
  </si>
  <si>
    <r>
      <t xml:space="preserve">MOLIBDENO
</t>
    </r>
    <r>
      <rPr>
        <i/>
        <sz val="10"/>
        <color theme="1"/>
        <rFont val="Calibri Light"/>
        <family val="2"/>
        <scheme val="major"/>
      </rPr>
      <t>Molybdenum</t>
    </r>
  </si>
  <si>
    <r>
      <t xml:space="preserve">ARSÉNICO
</t>
    </r>
    <r>
      <rPr>
        <i/>
        <sz val="10"/>
        <color theme="1"/>
        <rFont val="Calibri Light"/>
        <family val="2"/>
        <scheme val="major"/>
      </rPr>
      <t>Arsenic</t>
    </r>
  </si>
  <si>
    <r>
      <t xml:space="preserve">BISMUTO
</t>
    </r>
    <r>
      <rPr>
        <i/>
        <sz val="10"/>
        <color theme="1"/>
        <rFont val="Calibri Light"/>
        <family val="2"/>
        <scheme val="major"/>
      </rPr>
      <t>Bismuth</t>
    </r>
  </si>
  <si>
    <r>
      <t xml:space="preserve">CADMIO
</t>
    </r>
    <r>
      <rPr>
        <i/>
        <sz val="10"/>
        <color theme="1"/>
        <rFont val="Calibri Light"/>
        <family val="2"/>
        <scheme val="major"/>
      </rPr>
      <t>Cadmium</t>
    </r>
  </si>
  <si>
    <r>
      <t xml:space="preserve">MANGANESO
</t>
    </r>
    <r>
      <rPr>
        <i/>
        <sz val="10"/>
        <color theme="1"/>
        <rFont val="Calibri Light"/>
        <family val="2"/>
        <scheme val="major"/>
      </rPr>
      <t>Manganese</t>
    </r>
  </si>
  <si>
    <r>
      <t xml:space="preserve">MAGNESIO
</t>
    </r>
    <r>
      <rPr>
        <i/>
        <sz val="10"/>
        <color theme="1"/>
        <rFont val="Calibri Light"/>
        <family val="2"/>
        <scheme val="major"/>
      </rPr>
      <t>Magnesium</t>
    </r>
  </si>
  <si>
    <r>
      <t xml:space="preserve">TMF
</t>
    </r>
    <r>
      <rPr>
        <i/>
        <sz val="8"/>
        <color rgb="FF000000"/>
        <rFont val="Calibri Light"/>
        <family val="2"/>
        <scheme val="major"/>
      </rPr>
      <t>FTM</t>
    </r>
  </si>
  <si>
    <r>
      <t xml:space="preserve">gf
</t>
    </r>
    <r>
      <rPr>
        <i/>
        <sz val="8"/>
        <color rgb="FF000000"/>
        <rFont val="Calibri Light"/>
        <family val="2"/>
        <scheme val="major"/>
      </rPr>
      <t>fg</t>
    </r>
  </si>
  <si>
    <r>
      <t xml:space="preserve">kgf
</t>
    </r>
    <r>
      <rPr>
        <i/>
        <sz val="8"/>
        <color rgb="FF000000"/>
        <rFont val="Calibri Light"/>
        <family val="2"/>
        <scheme val="major"/>
      </rPr>
      <t>fkg</t>
    </r>
  </si>
  <si>
    <t>N/D</t>
  </si>
  <si>
    <r>
      <t xml:space="preserve">Ene. / </t>
    </r>
    <r>
      <rPr>
        <i/>
        <sz val="10"/>
        <color rgb="FF000000"/>
        <rFont val="Calibri Light"/>
        <family val="2"/>
        <scheme val="major"/>
      </rPr>
      <t>Jan.</t>
    </r>
  </si>
  <si>
    <r>
      <t xml:space="preserve">Feb. / </t>
    </r>
    <r>
      <rPr>
        <i/>
        <sz val="10"/>
        <color rgb="FF000000"/>
        <rFont val="Calibri Light"/>
        <family val="2"/>
        <scheme val="major"/>
      </rPr>
      <t>Feb.</t>
    </r>
  </si>
  <si>
    <t>Var. %</t>
  </si>
  <si>
    <r>
      <t>VARIACIÓN RESPECTO AL MES ANTERIOR /</t>
    </r>
    <r>
      <rPr>
        <i/>
        <sz val="10"/>
        <color rgb="FF000000"/>
        <rFont val="Calibri Light"/>
        <family val="2"/>
        <scheme val="major"/>
      </rPr>
      <t xml:space="preserve"> </t>
    </r>
    <r>
      <rPr>
        <i/>
        <sz val="8"/>
        <color rgb="FF000000"/>
        <rFont val="Calibri Light"/>
        <family val="2"/>
        <scheme val="major"/>
      </rPr>
      <t>VARIATION COMPARED TO THE PREVIOUS MONTH</t>
    </r>
  </si>
  <si>
    <r>
      <t xml:space="preserve">EVOLUCIÓN ANUAL DE LA PRODUCCIÓN DE COBRE / </t>
    </r>
    <r>
      <rPr>
        <i/>
        <sz val="8"/>
        <color rgb="FF000000"/>
        <rFont val="Calibri Light"/>
        <family val="2"/>
        <scheme val="major"/>
      </rPr>
      <t>ANNUAL EVOLUTION OF COPPER PRODUCTION</t>
    </r>
    <r>
      <rPr>
        <b/>
        <sz val="10"/>
        <color indexed="8"/>
        <rFont val="Calibri Light"/>
        <family val="2"/>
        <scheme val="major"/>
      </rPr>
      <t xml:space="preserve">
(MILES DE TMF) / </t>
    </r>
    <r>
      <rPr>
        <i/>
        <sz val="8"/>
        <color rgb="FF000000"/>
        <rFont val="Calibri Light"/>
        <family val="2"/>
        <scheme val="major"/>
      </rPr>
      <t>Thousands of FMT</t>
    </r>
  </si>
  <si>
    <t>CUADRO N° 02: PRODUCCIÓN MINERA METÁLICA SEGÚN EMPRESA</t>
  </si>
  <si>
    <t>METALLIC MINING PRODUCTION BY COMPANY</t>
  </si>
  <si>
    <r>
      <t xml:space="preserve">PRODUCTO / EMPRESA
</t>
    </r>
    <r>
      <rPr>
        <i/>
        <sz val="8"/>
        <color theme="1"/>
        <rFont val="Calibri Light"/>
        <family val="2"/>
        <scheme val="major"/>
      </rPr>
      <t>PRODUCT / COMPANY</t>
    </r>
  </si>
  <si>
    <t>Part. %</t>
  </si>
  <si>
    <r>
      <rPr>
        <b/>
        <sz val="10"/>
        <color theme="1"/>
        <rFont val="Calibri Light"/>
        <family val="2"/>
        <scheme val="major"/>
      </rPr>
      <t>COBRE (TMF)</t>
    </r>
    <r>
      <rPr>
        <sz val="10"/>
        <color theme="1"/>
        <rFont val="Calibri Light"/>
        <family val="2"/>
        <scheme val="major"/>
      </rPr>
      <t xml:space="preserve"> / </t>
    </r>
    <r>
      <rPr>
        <i/>
        <sz val="9"/>
        <color theme="1"/>
        <rFont val="Calibri Light"/>
        <family val="2"/>
        <scheme val="major"/>
      </rPr>
      <t>Copper (FTM)</t>
    </r>
  </si>
  <si>
    <t>SOUTHERN PERU COPPER CORPORATION SUCURSAL DEL PERU</t>
  </si>
  <si>
    <t>MINERA LAS BAMBAS S.A.</t>
  </si>
  <si>
    <t>COMPAÑIA MINERA ANTAMINA S.A.</t>
  </si>
  <si>
    <t>ANGLO AMERICAN QUELLAVECO S.A.</t>
  </si>
  <si>
    <t>MINERA CHINALCO PERU S.A.</t>
  </si>
  <si>
    <t>COMPAÑIA MINERA ANTAPACCAY S.A.</t>
  </si>
  <si>
    <t>HUDBAY PERU S.A.C.</t>
  </si>
  <si>
    <t>SOCIEDAD MINERA EL BROCAL S.A.A.</t>
  </si>
  <si>
    <r>
      <rPr>
        <b/>
        <sz val="11"/>
        <color theme="1"/>
        <rFont val="Calibri Light"/>
        <family val="2"/>
        <scheme val="major"/>
      </rPr>
      <t>ORO** (g finos)</t>
    </r>
    <r>
      <rPr>
        <sz val="11"/>
        <color theme="1"/>
        <rFont val="Calibri Light"/>
        <family val="2"/>
        <scheme val="major"/>
      </rPr>
      <t xml:space="preserve"> / </t>
    </r>
    <r>
      <rPr>
        <i/>
        <sz val="9"/>
        <color theme="1"/>
        <rFont val="Calibri Light"/>
        <family val="2"/>
        <scheme val="major"/>
      </rPr>
      <t>Gold (fg)</t>
    </r>
  </si>
  <si>
    <t>MINERA YANACOCHA S.R.L.</t>
  </si>
  <si>
    <t>COMPAÑIA MINERA PODEROSA S.A.</t>
  </si>
  <si>
    <t>-</t>
  </si>
  <si>
    <t>MINERA AURIFERA RETAMAS S.A.</t>
  </si>
  <si>
    <t>MINERA BOROO MISQUICHILCA S.A.</t>
  </si>
  <si>
    <t>COMPAÑIA MINERA ARES S.A.C.</t>
  </si>
  <si>
    <t>PALTARUMI S.A.C.</t>
  </si>
  <si>
    <t>SHAHUINDO S.A.C.</t>
  </si>
  <si>
    <t>MINERA VETA DORADA S.A.C.</t>
  </si>
  <si>
    <r>
      <t xml:space="preserve">ZINC (TMF) / </t>
    </r>
    <r>
      <rPr>
        <i/>
        <sz val="9"/>
        <color theme="1"/>
        <rFont val="Calibri Light"/>
        <family val="2"/>
        <scheme val="major"/>
      </rPr>
      <t>Zinc (FTM)</t>
    </r>
  </si>
  <si>
    <t>VOLCAN COMPAÑIA MINERA S.A.A.</t>
  </si>
  <si>
    <t>NEXA RESOURCES PERU S.A.A.</t>
  </si>
  <si>
    <t>NEXA RESOURCES EL PORVENIR S.A.C.</t>
  </si>
  <si>
    <t>MINERA SHOUXIN PERU S.A.</t>
  </si>
  <si>
    <t>COMPAÑIA MINERA CHUNGAR S.A.C.</t>
  </si>
  <si>
    <t>COMPAÑIA MINERA RAURA S.A.</t>
  </si>
  <si>
    <t>CATALINA HUANCA SOCIEDAD MINERA S.A.C.</t>
  </si>
  <si>
    <r>
      <t>PLATA (kg finos) /</t>
    </r>
    <r>
      <rPr>
        <i/>
        <sz val="9"/>
        <color theme="1"/>
        <rFont val="Calibri Light"/>
        <family val="2"/>
        <scheme val="major"/>
      </rPr>
      <t xml:space="preserve"> Silver (fkg)</t>
    </r>
  </si>
  <si>
    <t>COMPAÑIA DE MINAS BUENAVENTURA S.A.A.</t>
  </si>
  <si>
    <t>EMPRESA ADMINISTRADORA CERRO S.A.C.</t>
  </si>
  <si>
    <t>MARCOBRE S.A.C.</t>
  </si>
  <si>
    <r>
      <t xml:space="preserve">PLOMO (TMF) / </t>
    </r>
    <r>
      <rPr>
        <i/>
        <sz val="9"/>
        <color theme="1"/>
        <rFont val="Calibri Light"/>
        <family val="2"/>
        <scheme val="major"/>
      </rPr>
      <t>Lead (FTM)</t>
    </r>
  </si>
  <si>
    <t>COMPAÑIA MINERA KOLPA S.A.</t>
  </si>
  <si>
    <t>PAN AMERICAN SILVER HUARON S.A.</t>
  </si>
  <si>
    <t>MINERA BATEAS S.A.C.</t>
  </si>
  <si>
    <t>COMPAÑIA MINERA LINCUNA S.A.</t>
  </si>
  <si>
    <r>
      <t xml:space="preserve">HIERRO (TMF) / </t>
    </r>
    <r>
      <rPr>
        <i/>
        <sz val="9"/>
        <color theme="1"/>
        <rFont val="Calibri Light"/>
        <family val="2"/>
        <scheme val="major"/>
      </rPr>
      <t>Iron (FTM)</t>
    </r>
  </si>
  <si>
    <t>SHOUGANG HIERRO PERU S.A.A.</t>
  </si>
  <si>
    <r>
      <t xml:space="preserve">ESTAÑO (TMF) / </t>
    </r>
    <r>
      <rPr>
        <i/>
        <sz val="9"/>
        <color theme="1"/>
        <rFont val="Calibri Light"/>
        <family val="2"/>
        <scheme val="major"/>
      </rPr>
      <t>Tin (FTM)</t>
    </r>
  </si>
  <si>
    <t>MINSUR S.A.</t>
  </si>
  <si>
    <r>
      <t xml:space="preserve">MOLIBDENO (TMF) / </t>
    </r>
    <r>
      <rPr>
        <i/>
        <sz val="9"/>
        <color theme="1"/>
        <rFont val="Calibri Light"/>
        <family val="2"/>
        <scheme val="major"/>
      </rPr>
      <t>Molybdenum (FTM)</t>
    </r>
  </si>
  <si>
    <t>SOCIEDAD MINERA CERRO VERDE S.A.A.</t>
  </si>
  <si>
    <r>
      <t>ARSÉNICO (TMF) /</t>
    </r>
    <r>
      <rPr>
        <i/>
        <sz val="9"/>
        <color theme="1"/>
        <rFont val="Calibri Light"/>
        <family val="2"/>
        <scheme val="major"/>
      </rPr>
      <t xml:space="preserve"> Arsenic (FTM)</t>
    </r>
  </si>
  <si>
    <t>CMC CRITICAL MINERALS CORPORATION S.A.C.</t>
  </si>
  <si>
    <t>SOCIEDAD MINERA ANDEREAL S.A.C.</t>
  </si>
  <si>
    <t>GLORE PERU S.A.C</t>
  </si>
  <si>
    <r>
      <t xml:space="preserve">BISMUTO (TMF) / </t>
    </r>
    <r>
      <rPr>
        <i/>
        <sz val="9"/>
        <color theme="1"/>
        <rFont val="Calibri Light"/>
        <family val="2"/>
        <scheme val="major"/>
      </rPr>
      <t>Bismuth (FTM)</t>
    </r>
  </si>
  <si>
    <t>NORCOBRE S.A.C.</t>
  </si>
  <si>
    <t>NEXA RESOURCES ATACOCHA S.A.A.</t>
  </si>
  <si>
    <r>
      <t>CADMIO (TMF) /</t>
    </r>
    <r>
      <rPr>
        <i/>
        <sz val="9"/>
        <color theme="1"/>
        <rFont val="Calibri Light"/>
        <family val="2"/>
        <scheme val="major"/>
      </rPr>
      <t xml:space="preserve"> Cadmium (FTM)</t>
    </r>
  </si>
  <si>
    <r>
      <t xml:space="preserve">MANGANESO (TMF) / </t>
    </r>
    <r>
      <rPr>
        <i/>
        <sz val="9"/>
        <color theme="1"/>
        <rFont val="Calibri Light"/>
        <family val="2"/>
        <scheme val="major"/>
      </rPr>
      <t>Manganese (FTM)</t>
    </r>
  </si>
  <si>
    <r>
      <t>MAGNESIO (TMF) /</t>
    </r>
    <r>
      <rPr>
        <i/>
        <sz val="9"/>
        <color theme="1"/>
        <rFont val="Calibri Light"/>
        <family val="2"/>
        <scheme val="major"/>
      </rPr>
      <t xml:space="preserve"> Magnesium (FTM)</t>
    </r>
  </si>
  <si>
    <t>CUADRO N° 03: PRODUCCIÓN MINERA METÁLICA SEGÚN DEPARTAMENTO</t>
  </si>
  <si>
    <t>METALLIC MINING PRODUCTION BY REGION</t>
  </si>
  <si>
    <r>
      <t xml:space="preserve">PRODUCTO / DEPARTAMENTO
</t>
    </r>
    <r>
      <rPr>
        <i/>
        <sz val="8"/>
        <color theme="1"/>
        <rFont val="Calibri Light"/>
        <family val="2"/>
        <scheme val="major"/>
      </rPr>
      <t>PRODUCT / REGION</t>
    </r>
  </si>
  <si>
    <r>
      <t>COBRE (TMF) /</t>
    </r>
    <r>
      <rPr>
        <i/>
        <sz val="9"/>
        <rFont val="Calibri Light"/>
        <family val="2"/>
        <scheme val="major"/>
      </rPr>
      <t xml:space="preserve"> Copper (FTM)</t>
    </r>
  </si>
  <si>
    <t>MOQUEGUA</t>
  </si>
  <si>
    <t>APURÍMAC</t>
  </si>
  <si>
    <t>AREQUIPA</t>
  </si>
  <si>
    <t>ÁNCASH</t>
  </si>
  <si>
    <t>TACNA</t>
  </si>
  <si>
    <t>JUNÍN</t>
  </si>
  <si>
    <t>ICA</t>
  </si>
  <si>
    <t>CUSCO</t>
  </si>
  <si>
    <t>PASCO</t>
  </si>
  <si>
    <t>LIMA</t>
  </si>
  <si>
    <t>CAJAMARCA</t>
  </si>
  <si>
    <t>HUANCAVELICA</t>
  </si>
  <si>
    <t>HUÁNUCO</t>
  </si>
  <si>
    <t>PUNO</t>
  </si>
  <si>
    <t>AYACUCHO</t>
  </si>
  <si>
    <r>
      <t>ORO* (G FINOS) /</t>
    </r>
    <r>
      <rPr>
        <i/>
        <sz val="8"/>
        <rFont val="Calibri Light"/>
        <family val="2"/>
        <scheme val="major"/>
      </rPr>
      <t xml:space="preserve"> Gold (fg)</t>
    </r>
  </si>
  <si>
    <t>LA LIBERTAD</t>
  </si>
  <si>
    <t>MADRE DE DIOS</t>
  </si>
  <si>
    <t>PIURA</t>
  </si>
  <si>
    <r>
      <t>ZINC (TMF) /</t>
    </r>
    <r>
      <rPr>
        <i/>
        <sz val="8"/>
        <rFont val="Calibri Light"/>
        <family val="2"/>
        <scheme val="major"/>
      </rPr>
      <t xml:space="preserve"> Zinc (FTM)</t>
    </r>
  </si>
  <si>
    <r>
      <t>PLATA (KG FINOS) /</t>
    </r>
    <r>
      <rPr>
        <i/>
        <sz val="8"/>
        <rFont val="Calibri Light"/>
        <family val="2"/>
        <scheme val="major"/>
      </rPr>
      <t xml:space="preserve"> Silver (fkg)</t>
    </r>
  </si>
  <si>
    <r>
      <t>PLOMO (TMF) /</t>
    </r>
    <r>
      <rPr>
        <i/>
        <sz val="8"/>
        <rFont val="Calibri Light"/>
        <family val="2"/>
        <scheme val="major"/>
      </rPr>
      <t xml:space="preserve"> Lead (FTM)</t>
    </r>
  </si>
  <si>
    <r>
      <t>HIERRO (TMF) /</t>
    </r>
    <r>
      <rPr>
        <i/>
        <sz val="8"/>
        <rFont val="Calibri Light"/>
        <family val="2"/>
        <scheme val="major"/>
      </rPr>
      <t xml:space="preserve"> Iron (FTM)</t>
    </r>
  </si>
  <si>
    <r>
      <t xml:space="preserve">ESTAÑO (TMF) / </t>
    </r>
    <r>
      <rPr>
        <i/>
        <sz val="8"/>
        <rFont val="Calibri Light"/>
        <family val="2"/>
        <scheme val="major"/>
      </rPr>
      <t>Tin (FTM)</t>
    </r>
  </si>
  <si>
    <r>
      <t>MOLIBDENO (TMF) /</t>
    </r>
    <r>
      <rPr>
        <i/>
        <sz val="8"/>
        <rFont val="Calibri Light"/>
        <family val="2"/>
        <scheme val="major"/>
      </rPr>
      <t xml:space="preserve"> Molybdenum (FTM)</t>
    </r>
  </si>
  <si>
    <r>
      <t>ARSÉNICO (TMF) /</t>
    </r>
    <r>
      <rPr>
        <i/>
        <sz val="8"/>
        <rFont val="Calibri Light"/>
        <family val="2"/>
        <scheme val="major"/>
      </rPr>
      <t xml:space="preserve"> Arsenic (FTM)</t>
    </r>
  </si>
  <si>
    <r>
      <t>BISMUTO (TMF) /</t>
    </r>
    <r>
      <rPr>
        <i/>
        <sz val="8"/>
        <rFont val="Calibri Light"/>
        <family val="2"/>
        <scheme val="major"/>
      </rPr>
      <t xml:space="preserve"> Bismuth (FTM)</t>
    </r>
  </si>
  <si>
    <r>
      <t>CADMIO (TMF) /</t>
    </r>
    <r>
      <rPr>
        <i/>
        <sz val="8"/>
        <rFont val="Calibri Light"/>
        <family val="2"/>
        <scheme val="major"/>
      </rPr>
      <t xml:space="preserve"> Cadmium (FTM)</t>
    </r>
  </si>
  <si>
    <r>
      <t>MANGANESO (TMF) /</t>
    </r>
    <r>
      <rPr>
        <i/>
        <sz val="8"/>
        <rFont val="Calibri Light"/>
        <family val="2"/>
        <scheme val="major"/>
      </rPr>
      <t xml:space="preserve"> Manganese (FTM)</t>
    </r>
  </si>
  <si>
    <r>
      <t>MAGNESIO (TMF) /</t>
    </r>
    <r>
      <rPr>
        <sz val="8"/>
        <rFont val="Calibri Light"/>
        <family val="2"/>
        <scheme val="major"/>
      </rPr>
      <t xml:space="preserve"> Magnesium (FTM)</t>
    </r>
  </si>
  <si>
    <t>OTROS (2025: 3 titulares mineros, 2026: 3 titulares mineros)</t>
  </si>
  <si>
    <t>OTROS** (2025: 3 departamentos, 2026: 3 departamentos)</t>
  </si>
  <si>
    <t>EMPRESA MINERA LOS QUENUALES S.A.C.</t>
  </si>
  <si>
    <t>SOBREANDES S.A.C.</t>
  </si>
  <si>
    <r>
      <t>Mar. /</t>
    </r>
    <r>
      <rPr>
        <i/>
        <sz val="10"/>
        <color rgb="FF000000"/>
        <rFont val="Calibri Light"/>
        <family val="2"/>
        <scheme val="major"/>
      </rPr>
      <t>Mar.</t>
    </r>
  </si>
  <si>
    <r>
      <t>Abr. /</t>
    </r>
    <r>
      <rPr>
        <i/>
        <sz val="10"/>
        <color rgb="FF000000"/>
        <rFont val="Calibri Light"/>
        <family val="2"/>
        <scheme val="major"/>
      </rPr>
      <t>Apr.</t>
    </r>
  </si>
  <si>
    <t>SUMMA GOLD CORPORATION S.A.C.</t>
  </si>
  <si>
    <r>
      <t xml:space="preserve">May. 2026
</t>
    </r>
    <r>
      <rPr>
        <i/>
        <sz val="8"/>
        <color rgb="FF000000"/>
        <rFont val="Calibri Light"/>
        <family val="2"/>
        <scheme val="major"/>
      </rPr>
      <t>(May. 2026)</t>
    </r>
  </si>
  <si>
    <t>CONSORCIO MINERO HORIZONTE S.R.L.</t>
  </si>
  <si>
    <r>
      <rPr>
        <u/>
        <sz val="10"/>
        <color theme="1"/>
        <rFont val="Calibri Light"/>
        <family val="2"/>
        <scheme val="major"/>
      </rPr>
      <t>Fuente</t>
    </r>
    <r>
      <rPr>
        <sz val="10"/>
        <color theme="1"/>
        <rFont val="Calibri Light"/>
        <family val="2"/>
        <scheme val="major"/>
      </rPr>
      <t xml:space="preserve">:  Dirección de Gestión Minera, DGM. / </t>
    </r>
    <r>
      <rPr>
        <i/>
        <u/>
        <sz val="10"/>
        <color theme="1"/>
        <rFont val="Calibri Light"/>
        <family val="2"/>
        <scheme val="major"/>
      </rPr>
      <t>Source</t>
    </r>
    <r>
      <rPr>
        <i/>
        <sz val="10"/>
        <color theme="1"/>
        <rFont val="Calibri Light"/>
        <family val="2"/>
        <scheme val="major"/>
      </rPr>
      <t>: Mining Management Directorate, MMD.</t>
    </r>
    <r>
      <rPr>
        <sz val="10"/>
        <color theme="1"/>
        <rFont val="Calibri Light"/>
        <family val="2"/>
        <scheme val="major"/>
      </rPr>
      <t xml:space="preserve">
</t>
    </r>
    <r>
      <rPr>
        <u/>
        <sz val="10"/>
        <color theme="1"/>
        <rFont val="Calibri Light"/>
        <family val="2"/>
        <scheme val="major"/>
      </rPr>
      <t>Fecha de consulta</t>
    </r>
    <r>
      <rPr>
        <sz val="10"/>
        <color theme="1"/>
        <rFont val="Calibri Light"/>
        <family val="2"/>
        <scheme val="major"/>
      </rPr>
      <t xml:space="preserve">: 30 de julio de 2026. / </t>
    </r>
    <r>
      <rPr>
        <i/>
        <u/>
        <sz val="10"/>
        <color theme="1"/>
        <rFont val="Calibri Light"/>
        <family val="2"/>
        <scheme val="major"/>
      </rPr>
      <t>Date of consultation</t>
    </r>
    <r>
      <rPr>
        <i/>
        <sz val="10"/>
        <color theme="1"/>
        <rFont val="Calibri Light"/>
        <family val="2"/>
        <scheme val="major"/>
      </rPr>
      <t>: July 30, 2026.</t>
    </r>
    <r>
      <rPr>
        <sz val="10"/>
        <color theme="1"/>
        <rFont val="Calibri Light"/>
        <family val="2"/>
        <scheme val="major"/>
      </rPr>
      <t xml:space="preserve">
</t>
    </r>
    <r>
      <rPr>
        <u/>
        <sz val="10"/>
        <color theme="1"/>
        <rFont val="Calibri Light"/>
        <family val="2"/>
        <scheme val="major"/>
      </rPr>
      <t>Elaboración</t>
    </r>
    <r>
      <rPr>
        <sz val="10"/>
        <color theme="1"/>
        <rFont val="Calibri Light"/>
        <family val="2"/>
        <scheme val="major"/>
      </rPr>
      <t xml:space="preserve">: Dirección General de Promoción y Sostenibilidad Minera, DGPSM. / </t>
    </r>
    <r>
      <rPr>
        <i/>
        <u/>
        <sz val="10"/>
        <color theme="1"/>
        <rFont val="Calibri Light"/>
        <family val="2"/>
        <scheme val="major"/>
      </rPr>
      <t>Prepared by</t>
    </r>
    <r>
      <rPr>
        <i/>
        <sz val="10"/>
        <color theme="1"/>
        <rFont val="Calibri Light"/>
        <family val="2"/>
        <scheme val="major"/>
      </rPr>
      <t>: General Directorate of Mining Promotion and Sustainability, GDPMS.</t>
    </r>
    <r>
      <rPr>
        <sz val="10"/>
        <color theme="1"/>
        <rFont val="Calibri Light"/>
        <family val="2"/>
        <scheme val="major"/>
      </rPr>
      <t xml:space="preserve">
(*) Información preliminar. Incluye producción aurífera estimada de mineros artesanales de Madre de Dios, Puno, Piura y Arequipa. / </t>
    </r>
    <r>
      <rPr>
        <i/>
        <sz val="10"/>
        <color theme="1"/>
        <rFont val="Calibri Light"/>
        <family val="2"/>
        <scheme val="major"/>
      </rPr>
      <t>(*) Preliminary information. Includes estimated gold production from artisanal miners in Madre de Dios, Puno, Piura, and Arequipa.</t>
    </r>
  </si>
  <si>
    <r>
      <rPr>
        <u/>
        <sz val="10"/>
        <color rgb="FF000000"/>
        <rFont val="Calibri Light"/>
        <family val="2"/>
        <scheme val="major"/>
      </rPr>
      <t>Fuente</t>
    </r>
    <r>
      <rPr>
        <sz val="10"/>
        <color rgb="FF000000"/>
        <rFont val="Calibri Light"/>
        <family val="2"/>
        <scheme val="major"/>
      </rPr>
      <t xml:space="preserve">:  Dirección de Gestión Minera, DGM. / </t>
    </r>
    <r>
      <rPr>
        <i/>
        <u/>
        <sz val="10"/>
        <color rgb="FF000000"/>
        <rFont val="Calibri Light"/>
        <family val="2"/>
        <scheme val="major"/>
      </rPr>
      <t>Source</t>
    </r>
    <r>
      <rPr>
        <i/>
        <sz val="10"/>
        <color rgb="FF000000"/>
        <rFont val="Calibri Light"/>
        <family val="2"/>
        <scheme val="major"/>
      </rPr>
      <t>: General Directorate of Mining, DGM.</t>
    </r>
    <r>
      <rPr>
        <sz val="10"/>
        <color rgb="FF000000"/>
        <rFont val="Calibri Light"/>
        <family val="2"/>
        <scheme val="major"/>
      </rPr>
      <t xml:space="preserve">
</t>
    </r>
    <r>
      <rPr>
        <u/>
        <sz val="10"/>
        <color rgb="FF000000"/>
        <rFont val="Calibri Light"/>
        <family val="2"/>
        <scheme val="major"/>
      </rPr>
      <t>Fecha de consulta</t>
    </r>
    <r>
      <rPr>
        <sz val="10"/>
        <color rgb="FF000000"/>
        <rFont val="Calibri Light"/>
        <family val="2"/>
        <scheme val="major"/>
      </rPr>
      <t>: 30 de julio de 2026. /</t>
    </r>
    <r>
      <rPr>
        <i/>
        <sz val="10"/>
        <color rgb="FF000000"/>
        <rFont val="Calibri Light"/>
        <family val="2"/>
        <scheme val="major"/>
      </rPr>
      <t xml:space="preserve"> </t>
    </r>
    <r>
      <rPr>
        <i/>
        <u/>
        <sz val="10"/>
        <color rgb="FF000000"/>
        <rFont val="Calibri Light"/>
        <family val="2"/>
        <scheme val="major"/>
      </rPr>
      <t>Date of consultation</t>
    </r>
    <r>
      <rPr>
        <i/>
        <sz val="10"/>
        <color rgb="FF000000"/>
        <rFont val="Calibri Light"/>
        <family val="2"/>
        <scheme val="major"/>
      </rPr>
      <t>: July 30, 2026.</t>
    </r>
    <r>
      <rPr>
        <sz val="10"/>
        <color rgb="FF000000"/>
        <rFont val="Calibri Light"/>
        <family val="2"/>
        <scheme val="major"/>
      </rPr>
      <t xml:space="preserve">
</t>
    </r>
    <r>
      <rPr>
        <u/>
        <sz val="10"/>
        <color rgb="FF000000"/>
        <rFont val="Calibri Light"/>
        <family val="2"/>
        <scheme val="major"/>
      </rPr>
      <t>Elaboración</t>
    </r>
    <r>
      <rPr>
        <sz val="10"/>
        <color rgb="FF000000"/>
        <rFont val="Calibri Light"/>
        <family val="2"/>
        <scheme val="major"/>
      </rPr>
      <t xml:space="preserve">: Dirección General de Promoción y Sostenibilidad Minera, DGPSM. / </t>
    </r>
    <r>
      <rPr>
        <i/>
        <u/>
        <sz val="10"/>
        <color rgb="FF000000"/>
        <rFont val="Calibri Light"/>
        <family val="2"/>
        <scheme val="major"/>
      </rPr>
      <t>Prepared by</t>
    </r>
    <r>
      <rPr>
        <i/>
        <sz val="10"/>
        <color rgb="FF000000"/>
        <rFont val="Calibri Light"/>
        <family val="2"/>
        <scheme val="major"/>
      </rPr>
      <t>: General Directorate of Mining Promotion and Sustainability, DGPSM.</t>
    </r>
    <r>
      <rPr>
        <sz val="10"/>
        <color rgb="FF000000"/>
        <rFont val="Calibri Light"/>
        <family val="2"/>
        <scheme val="major"/>
      </rPr>
      <t xml:space="preserve">
(*) Información preliminar. Incluye producción aurífera estimada de mineros artesanales de Madre de Dios, Puno, Piura y Arequipa. / </t>
    </r>
    <r>
      <rPr>
        <i/>
        <sz val="10"/>
        <color rgb="FF000000"/>
        <rFont val="Calibri Light"/>
        <family val="2"/>
        <scheme val="major"/>
      </rPr>
      <t>(*) Preliminary information. Includes estimated gold production from artisanal miners in Madre de Dios, Puno, Piura, and Arequipa.</t>
    </r>
    <r>
      <rPr>
        <sz val="10"/>
        <color rgb="FF000000"/>
        <rFont val="Calibri Light"/>
        <family val="2"/>
        <scheme val="major"/>
      </rPr>
      <t xml:space="preserve">
N/D: Información no disponible / </t>
    </r>
    <r>
      <rPr>
        <i/>
        <sz val="10"/>
        <color rgb="FF000000"/>
        <rFont val="Calibri Light"/>
        <family val="2"/>
        <scheme val="major"/>
      </rPr>
      <t>N/A: Information not available.</t>
    </r>
  </si>
  <si>
    <r>
      <rPr>
        <u/>
        <sz val="10"/>
        <color theme="1"/>
        <rFont val="Calibri Light"/>
        <family val="2"/>
        <scheme val="major"/>
      </rPr>
      <t>Fuente</t>
    </r>
    <r>
      <rPr>
        <sz val="10"/>
        <color theme="1"/>
        <rFont val="Calibri Light"/>
        <family val="2"/>
        <scheme val="major"/>
      </rPr>
      <t>:  Dirección de Gestión Minera, DGM /</t>
    </r>
    <r>
      <rPr>
        <i/>
        <sz val="10"/>
        <color theme="1"/>
        <rFont val="Calibri Light"/>
        <family val="2"/>
        <scheme val="major"/>
      </rPr>
      <t xml:space="preserve"> </t>
    </r>
    <r>
      <rPr>
        <i/>
        <u/>
        <sz val="10"/>
        <color theme="1"/>
        <rFont val="Calibri Light"/>
        <family val="2"/>
        <scheme val="major"/>
      </rPr>
      <t>Source</t>
    </r>
    <r>
      <rPr>
        <i/>
        <sz val="10"/>
        <color theme="1"/>
        <rFont val="Calibri Light"/>
        <family val="2"/>
        <scheme val="major"/>
      </rPr>
      <t>: General Directorate of Mining, DGM.</t>
    </r>
    <r>
      <rPr>
        <sz val="10"/>
        <color theme="1"/>
        <rFont val="Calibri Light"/>
        <family val="2"/>
        <scheme val="major"/>
      </rPr>
      <t xml:space="preserve">
</t>
    </r>
    <r>
      <rPr>
        <u/>
        <sz val="10"/>
        <color theme="1"/>
        <rFont val="Calibri Light"/>
        <family val="2"/>
        <scheme val="major"/>
      </rPr>
      <t>Fecha de consulta</t>
    </r>
    <r>
      <rPr>
        <sz val="10"/>
        <color theme="1"/>
        <rFont val="Calibri Light"/>
        <family val="2"/>
        <scheme val="major"/>
      </rPr>
      <t xml:space="preserve">: 30 de julio de 2026. / </t>
    </r>
    <r>
      <rPr>
        <i/>
        <u/>
        <sz val="10"/>
        <color theme="1"/>
        <rFont val="Calibri Light"/>
        <family val="2"/>
        <scheme val="major"/>
      </rPr>
      <t>Date of consultation</t>
    </r>
    <r>
      <rPr>
        <i/>
        <sz val="10"/>
        <color theme="1"/>
        <rFont val="Calibri Light"/>
        <family val="2"/>
        <scheme val="major"/>
      </rPr>
      <t>: July 30, 2026.</t>
    </r>
    <r>
      <rPr>
        <sz val="10"/>
        <color theme="1"/>
        <rFont val="Calibri Light"/>
        <family val="2"/>
        <scheme val="major"/>
      </rPr>
      <t xml:space="preserve">
</t>
    </r>
    <r>
      <rPr>
        <u/>
        <sz val="10"/>
        <color theme="1"/>
        <rFont val="Calibri Light"/>
        <family val="2"/>
        <scheme val="major"/>
      </rPr>
      <t>Elaboración</t>
    </r>
    <r>
      <rPr>
        <sz val="10"/>
        <color theme="1"/>
        <rFont val="Calibri Light"/>
        <family val="2"/>
        <scheme val="major"/>
      </rPr>
      <t xml:space="preserve">: Dirección de Promoción y Sostenibilidad Minera, DGPSM. / </t>
    </r>
    <r>
      <rPr>
        <i/>
        <u/>
        <sz val="10"/>
        <color theme="1"/>
        <rFont val="Calibri Light"/>
        <family val="2"/>
        <scheme val="major"/>
      </rPr>
      <t>Prepared by</t>
    </r>
    <r>
      <rPr>
        <i/>
        <sz val="10"/>
        <color theme="1"/>
        <rFont val="Calibri Light"/>
        <family val="2"/>
        <scheme val="major"/>
      </rPr>
      <t>: General Directorate of Mining Promotion and Sustainability, DGPSM.</t>
    </r>
    <r>
      <rPr>
        <sz val="10"/>
        <color theme="1"/>
        <rFont val="Calibri Light"/>
        <family val="2"/>
        <scheme val="major"/>
      </rPr>
      <t xml:space="preserve">
(*)Incluye producción cuprífera por proceso de flotación (TMF), lixiviación y electro-obtención (TM). / </t>
    </r>
    <r>
      <rPr>
        <i/>
        <sz val="10"/>
        <color theme="1"/>
        <rFont val="Calibri Light"/>
        <family val="2"/>
        <scheme val="major"/>
      </rPr>
      <t>(*) Includes copper production through flotation process (FMT), leaching, and electrowinning (MT).</t>
    </r>
    <r>
      <rPr>
        <sz val="10"/>
        <color theme="1"/>
        <rFont val="Calibri Light"/>
        <family val="2"/>
        <scheme val="major"/>
      </rPr>
      <t xml:space="preserve">
(**) Información preliminar. Incluye producción aurífera estimada de mineros artesanales de Madre de Dios, Puno, Piura y Arequipa. / </t>
    </r>
    <r>
      <rPr>
        <i/>
        <sz val="10"/>
        <color theme="1"/>
        <rFont val="Calibri Light"/>
        <family val="2"/>
        <scheme val="major"/>
      </rPr>
      <t>(**) Preliminary information. Includes estimated gold production from artisanal miners in Madre de Dios, Puno, Piura, and Arequipa.</t>
    </r>
  </si>
  <si>
    <r>
      <rPr>
        <u/>
        <sz val="10"/>
        <color theme="1"/>
        <rFont val="Calibri Light"/>
        <family val="2"/>
        <scheme val="major"/>
      </rPr>
      <t>Fuente</t>
    </r>
    <r>
      <rPr>
        <sz val="10"/>
        <color theme="1"/>
        <rFont val="Calibri Light"/>
        <family val="2"/>
        <scheme val="major"/>
      </rPr>
      <t>:  Dirección de Gestión Minera, DGM /</t>
    </r>
    <r>
      <rPr>
        <i/>
        <sz val="10"/>
        <color theme="1"/>
        <rFont val="Calibri Light"/>
        <family val="2"/>
        <scheme val="major"/>
      </rPr>
      <t xml:space="preserve"> </t>
    </r>
    <r>
      <rPr>
        <i/>
        <u/>
        <sz val="10"/>
        <color theme="1"/>
        <rFont val="Calibri Light"/>
        <family val="2"/>
        <scheme val="major"/>
      </rPr>
      <t>Source</t>
    </r>
    <r>
      <rPr>
        <i/>
        <sz val="10"/>
        <color theme="1"/>
        <rFont val="Calibri Light"/>
        <family val="2"/>
        <scheme val="major"/>
      </rPr>
      <t>: General Directorate of Mining, DGM.</t>
    </r>
    <r>
      <rPr>
        <sz val="10"/>
        <color theme="1"/>
        <rFont val="Calibri Light"/>
        <family val="2"/>
        <scheme val="major"/>
      </rPr>
      <t xml:space="preserve">
</t>
    </r>
    <r>
      <rPr>
        <u/>
        <sz val="10"/>
        <color theme="1"/>
        <rFont val="Calibri Light"/>
        <family val="2"/>
        <scheme val="major"/>
      </rPr>
      <t>Fecha de consulta</t>
    </r>
    <r>
      <rPr>
        <sz val="10"/>
        <color theme="1"/>
        <rFont val="Calibri Light"/>
        <family val="2"/>
        <scheme val="major"/>
      </rPr>
      <t>: 30 de julio de 2026. /</t>
    </r>
    <r>
      <rPr>
        <i/>
        <sz val="10"/>
        <color theme="1"/>
        <rFont val="Calibri Light"/>
        <family val="2"/>
        <scheme val="major"/>
      </rPr>
      <t xml:space="preserve"> </t>
    </r>
    <r>
      <rPr>
        <i/>
        <u/>
        <sz val="10"/>
        <color theme="1"/>
        <rFont val="Calibri Light"/>
        <family val="2"/>
        <scheme val="major"/>
      </rPr>
      <t>Date of consultation</t>
    </r>
    <r>
      <rPr>
        <i/>
        <sz val="10"/>
        <color theme="1"/>
        <rFont val="Calibri Light"/>
        <family val="2"/>
        <scheme val="major"/>
      </rPr>
      <t>: July 30, 2026.</t>
    </r>
    <r>
      <rPr>
        <sz val="10"/>
        <color theme="1"/>
        <rFont val="Calibri Light"/>
        <family val="2"/>
        <scheme val="major"/>
      </rPr>
      <t xml:space="preserve">
</t>
    </r>
    <r>
      <rPr>
        <u/>
        <sz val="10"/>
        <color theme="1"/>
        <rFont val="Calibri Light"/>
        <family val="2"/>
        <scheme val="major"/>
      </rPr>
      <t>Elaboración</t>
    </r>
    <r>
      <rPr>
        <sz val="10"/>
        <color theme="1"/>
        <rFont val="Calibri Light"/>
        <family val="2"/>
        <scheme val="major"/>
      </rPr>
      <t>: Dirección de Promoción y Sostenibilidad Minera, DGPSM. /</t>
    </r>
    <r>
      <rPr>
        <i/>
        <sz val="10"/>
        <color theme="1"/>
        <rFont val="Calibri Light"/>
        <family val="2"/>
        <scheme val="major"/>
      </rPr>
      <t xml:space="preserve"> </t>
    </r>
    <r>
      <rPr>
        <i/>
        <u/>
        <sz val="10"/>
        <color theme="1"/>
        <rFont val="Calibri Light"/>
        <family val="2"/>
        <scheme val="major"/>
      </rPr>
      <t>Prepared by</t>
    </r>
    <r>
      <rPr>
        <i/>
        <sz val="10"/>
        <color theme="1"/>
        <rFont val="Calibri Light"/>
        <family val="2"/>
        <scheme val="major"/>
      </rPr>
      <t>: General Directorate of Mining Promotion and Sustainability, DGPSM.</t>
    </r>
    <r>
      <rPr>
        <sz val="10"/>
        <color theme="1"/>
        <rFont val="Calibri Light"/>
        <family val="2"/>
        <scheme val="major"/>
      </rPr>
      <t xml:space="preserve">
(*) Información preliminar. Incluye producción aurífera estimada de mineros artesanales de Madre de Dios, Puno, Piura y Arequipa. /</t>
    </r>
    <r>
      <rPr>
        <i/>
        <sz val="10"/>
        <color theme="1"/>
        <rFont val="Calibri Light"/>
        <family val="2"/>
        <scheme val="major"/>
      </rPr>
      <t xml:space="preserve"> (*) Preliminary information. Includes estimated gold production from artisanal miners in Madre de Dios, Puno, Piura, and Arequipa.</t>
    </r>
    <r>
      <rPr>
        <sz val="10"/>
        <color theme="1"/>
        <rFont val="Calibri Light"/>
        <family val="2"/>
        <scheme val="major"/>
      </rPr>
      <t xml:space="preserve">
(**) Contempla la producción metálica de molibdeno de los departamentos de Apurímac, Cusco y Junín (el titular Minera Chinalco Perú S.A. es el único que reporta molibdeno como subproducto dentro del proceso de flotación en planta para la obtención de cobre como su producto principal. Es importante mencionar que, para efectos estadísticos se está contemplando tanto la producción de producto principal como subproducto; no obstante, se precisa que Minera Chinalco Perú S.A no produce ni comercializa molibdeno). / </t>
    </r>
    <r>
      <rPr>
        <i/>
        <sz val="10"/>
        <color theme="1"/>
        <rFont val="Calibri Light"/>
        <family val="2"/>
        <scheme val="major"/>
      </rPr>
      <t>It considers the metallic molybdenum production from the departments of Apurímac, Cusco, and Junín (the titleholder Minera Chinalco Perú S.A. is the only company reporting molybdenum as a byproduct within the flotation plant process for obtaining copper as its main product. It is important to mention that, for statistical purposes, both main product and byproduct production are taken into account; however, it should be noted that Minera Chinalco Perú S.A. neither produces nor markets molybdenum).</t>
    </r>
  </si>
  <si>
    <t>May. /May.</t>
  </si>
  <si>
    <r>
      <t xml:space="preserve">2026
(Ene-Jun)
</t>
    </r>
    <r>
      <rPr>
        <i/>
        <sz val="10"/>
        <color rgb="FF000000"/>
        <rFont val="Calibri Light"/>
        <family val="2"/>
        <scheme val="major"/>
      </rPr>
      <t>(Jan-Jun)</t>
    </r>
  </si>
  <si>
    <r>
      <t>Jun. /</t>
    </r>
    <r>
      <rPr>
        <i/>
        <sz val="10"/>
        <color rgb="FF000000"/>
        <rFont val="Calibri Light"/>
        <family val="2"/>
        <scheme val="major"/>
      </rPr>
      <t>Jun.</t>
    </r>
  </si>
  <si>
    <r>
      <t xml:space="preserve">Jun. 2025
</t>
    </r>
    <r>
      <rPr>
        <i/>
        <sz val="8"/>
        <color rgb="FF000000"/>
        <rFont val="Calibri Light"/>
        <family val="2"/>
        <scheme val="major"/>
      </rPr>
      <t>(Jun. 2025)</t>
    </r>
  </si>
  <si>
    <r>
      <t xml:space="preserve">Ene-Jun 2025
</t>
    </r>
    <r>
      <rPr>
        <i/>
        <sz val="8"/>
        <color theme="1"/>
        <rFont val="Calibri Light"/>
        <family val="2"/>
        <scheme val="major"/>
      </rPr>
      <t>(Jan-Jun. 2025)</t>
    </r>
  </si>
  <si>
    <r>
      <t xml:space="preserve">Ene-Jun 2026
</t>
    </r>
    <r>
      <rPr>
        <i/>
        <sz val="8"/>
        <color theme="1"/>
        <rFont val="Calibri Light"/>
        <family val="2"/>
        <scheme val="major"/>
      </rPr>
      <t>(Jan-Jun. 2026)</t>
    </r>
  </si>
  <si>
    <r>
      <t xml:space="preserve">Jun. 2026
</t>
    </r>
    <r>
      <rPr>
        <i/>
        <sz val="8"/>
        <color rgb="FF000000"/>
        <rFont val="Calibri Light"/>
        <family val="2"/>
        <scheme val="major"/>
      </rPr>
      <t>(Jun. 2026)</t>
    </r>
  </si>
  <si>
    <r>
      <t xml:space="preserve">VARIACIÓN INTERANUAL, JUNIO / </t>
    </r>
    <r>
      <rPr>
        <i/>
        <sz val="8"/>
        <color rgb="FF000000"/>
        <rFont val="Calibri Light"/>
        <family val="2"/>
        <scheme val="major"/>
      </rPr>
      <t>YEAR-OVER-YEAR VARIATION, JUNE</t>
    </r>
  </si>
  <si>
    <r>
      <t xml:space="preserve">VARIACIÓN INTERANUAL ACUMULADA ENERO-JUNIO / </t>
    </r>
    <r>
      <rPr>
        <i/>
        <sz val="8"/>
        <color rgb="FF000000"/>
        <rFont val="Calibri Light"/>
        <family val="2"/>
        <scheme val="major"/>
      </rPr>
      <t>CUMULATIVE YEAR-OVER-YEAR VARIATION, JANUARY–JUNE</t>
    </r>
  </si>
  <si>
    <r>
      <t xml:space="preserve">JUNIO
</t>
    </r>
    <r>
      <rPr>
        <i/>
        <sz val="8"/>
        <color theme="1"/>
        <rFont val="Calibri Light"/>
        <family val="2"/>
        <scheme val="major"/>
      </rPr>
      <t>June</t>
    </r>
  </si>
  <si>
    <r>
      <t xml:space="preserve">ENERO - JUNIO
</t>
    </r>
    <r>
      <rPr>
        <i/>
        <sz val="8"/>
        <color theme="1"/>
        <rFont val="Calibri Light"/>
        <family val="2"/>
        <scheme val="major"/>
      </rPr>
      <t>January - June</t>
    </r>
  </si>
  <si>
    <t>OTROS (2025: 44 titulares mineros, 2026: 44 titulares mineros)</t>
  </si>
  <si>
    <t>OTROS (2025: 272 titulares mineros, 2026: 282 titulares mineros)</t>
  </si>
  <si>
    <t>OTROS (2025: 30 titulares mineros, 2026: 30 titulares mineros)</t>
  </si>
  <si>
    <t>OTROS (2025: 80 titulares mineros, 2026: 78 titulares mineros)</t>
  </si>
  <si>
    <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</si>
</sst>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43" formatCode="_-* #,##0.00_-;\-* #,##0.00_-;_-* &quot;-&quot;??_-;_-@_-"/>
    <numFmt numFmtId="164" formatCode="#,##0.0"/>
    <numFmt numFmtId="165" formatCode="_-* #,##0_-;\-* #,##0_-;_-* &quot;-&quot;??_-;_-@_-"/>
    <numFmt numFmtId="166" formatCode="0.0%"/>
    <numFmt numFmtId="167" formatCode="_ * #,##0.00_ ;_ * \-#,##0.00_ ;_ * &quot;-&quot;??_ ;_ @_ "/>
    <numFmt numFmtId="168" formatCode="_ * #,##0_ ;_ * \-#,##0_ ;_ * &quot;-&quot;??_ ;_ @_ "/>
    <numFmt numFmtId="169" formatCode="0.000%"/>
  </numFmts>
  <fonts count="33" x14ac:knownFonts="1">
    <font>
      <sz val="11"/>
      <color theme="1"/>
      <name val="Calibri"/>
      <family val="2"/>
      <scheme val="minor"/>
    </font>
    <font>
      <sz val="11"/>
      <color theme="1"/>
      <name val="Calibri"/>
      <family val="2"/>
      <scheme val="minor"/>
    </font>
    <font>
      <sz val="11"/>
      <color rgb="FF000000"/>
      <name val="Calibri"/>
      <family val="2"/>
    </font>
    <font>
      <b/>
      <sz val="12"/>
      <color rgb="FF000000"/>
      <name val="Calibri Light"/>
      <family val="2"/>
      <scheme val="major"/>
    </font>
    <font>
      <sz val="10"/>
      <color theme="1"/>
      <name val="Calibri Light"/>
      <family val="2"/>
      <scheme val="major"/>
    </font>
    <font>
      <i/>
      <sz val="9"/>
      <color rgb="FF000000"/>
      <name val="Calibri Light"/>
      <family val="2"/>
      <scheme val="major"/>
    </font>
    <font>
      <b/>
      <sz val="10"/>
      <color rgb="FF000000"/>
      <name val="Calibri Light"/>
      <family val="2"/>
      <scheme val="major"/>
    </font>
    <font>
      <sz val="10"/>
      <color rgb="FF000000"/>
      <name val="Calibri Light"/>
      <family val="2"/>
      <scheme val="major"/>
    </font>
    <font>
      <b/>
      <sz val="16"/>
      <color rgb="FF000000"/>
      <name val="Calibri Light"/>
      <family val="2"/>
      <scheme val="major"/>
    </font>
    <font>
      <sz val="10"/>
      <color theme="0"/>
      <name val="Calibri Light"/>
      <family val="2"/>
      <scheme val="major"/>
    </font>
    <font>
      <i/>
      <sz val="9"/>
      <color theme="1"/>
      <name val="Calibri Light"/>
      <family val="2"/>
      <scheme val="major"/>
    </font>
    <font>
      <b/>
      <sz val="10"/>
      <color theme="1"/>
      <name val="Calibri Light"/>
      <family val="2"/>
      <scheme val="major"/>
    </font>
    <font>
      <i/>
      <sz val="10"/>
      <color theme="1"/>
      <name val="Calibri Light"/>
      <family val="2"/>
      <scheme val="major"/>
    </font>
    <font>
      <i/>
      <sz val="8"/>
      <color rgb="FF000000"/>
      <name val="Calibri Light"/>
      <family val="2"/>
      <scheme val="major"/>
    </font>
    <font>
      <i/>
      <sz val="10"/>
      <color rgb="FF000000"/>
      <name val="Calibri Light"/>
      <family val="2"/>
      <scheme val="major"/>
    </font>
    <font>
      <sz val="10"/>
      <name val="Calibri Light"/>
      <family val="2"/>
      <scheme val="major"/>
    </font>
    <font>
      <b/>
      <sz val="10"/>
      <name val="Calibri Light"/>
      <family val="2"/>
      <scheme val="major"/>
    </font>
    <font>
      <sz val="9"/>
      <color theme="1"/>
      <name val="Calibri"/>
      <family val="2"/>
      <scheme val="minor"/>
    </font>
    <font>
      <i/>
      <sz val="8"/>
      <color theme="1"/>
      <name val="Calibri Light"/>
      <family val="2"/>
      <scheme val="major"/>
    </font>
    <font>
      <u/>
      <sz val="10"/>
      <color rgb="FF000000"/>
      <name val="Calibri Light"/>
      <family val="2"/>
      <scheme val="major"/>
    </font>
    <font>
      <i/>
      <u/>
      <sz val="10"/>
      <color rgb="FF000000"/>
      <name val="Calibri Light"/>
      <family val="2"/>
      <scheme val="major"/>
    </font>
    <font>
      <sz val="11"/>
      <color theme="0"/>
      <name val="Calibri Light"/>
      <family val="2"/>
      <scheme val="major"/>
    </font>
    <font>
      <sz val="11"/>
      <color theme="1"/>
      <name val="Calibri Light"/>
      <family val="2"/>
      <scheme val="major"/>
    </font>
    <font>
      <b/>
      <sz val="10"/>
      <color indexed="8"/>
      <name val="Calibri Light"/>
      <family val="2"/>
      <scheme val="major"/>
    </font>
    <font>
      <u/>
      <sz val="10"/>
      <color theme="1"/>
      <name val="Calibri Light"/>
      <family val="2"/>
      <scheme val="major"/>
    </font>
    <font>
      <i/>
      <u/>
      <sz val="10"/>
      <color theme="1"/>
      <name val="Calibri Light"/>
      <family val="2"/>
      <scheme val="major"/>
    </font>
    <font>
      <b/>
      <sz val="12"/>
      <color theme="1"/>
      <name val="Calibri Light"/>
      <family val="2"/>
      <scheme val="major"/>
    </font>
    <font>
      <b/>
      <i/>
      <sz val="10"/>
      <color theme="0" tint="-0.499984740745262"/>
      <name val="Calibri Light"/>
      <family val="2"/>
      <scheme val="major"/>
    </font>
    <font>
      <b/>
      <sz val="11"/>
      <color theme="1"/>
      <name val="Calibri Light"/>
      <family val="2"/>
      <scheme val="major"/>
    </font>
    <font>
      <b/>
      <sz val="12"/>
      <name val="Calibri Light"/>
      <family val="2"/>
      <scheme val="major"/>
    </font>
    <font>
      <i/>
      <sz val="9"/>
      <name val="Calibri Light"/>
      <family val="2"/>
      <scheme val="major"/>
    </font>
    <font>
      <i/>
      <sz val="8"/>
      <name val="Calibri Light"/>
      <family val="2"/>
      <scheme val="major"/>
    </font>
    <font>
      <sz val="8"/>
      <name val="Calibri Light"/>
      <family val="2"/>
      <scheme val="major"/>
    </font>
  </fonts>
  <fills count="10">
    <fill>
      <patternFill patternType="none"/>
    </fill>
    <fill>
      <patternFill patternType="gray125"/>
    </fill>
    <fill>
      <patternFill patternType="solid">
        <fgColor rgb="FFFFFFFF"/>
        <bgColor rgb="FFFFFFFF"/>
      </patternFill>
    </fill>
    <fill>
      <patternFill patternType="solid">
        <fgColor theme="0"/>
        <bgColor indexed="64"/>
      </patternFill>
    </fill>
    <fill>
      <patternFill patternType="solid">
        <fgColor theme="2" tint="-9.9978637043366805E-2"/>
        <bgColor indexed="64"/>
      </patternFill>
    </fill>
    <fill>
      <patternFill patternType="solid">
        <fgColor rgb="FFF2F2F2"/>
        <bgColor rgb="FFFFFFFF"/>
      </patternFill>
    </fill>
    <fill>
      <patternFill patternType="solid">
        <fgColor rgb="FFD9D9D9"/>
        <bgColor rgb="FFFFFFFF"/>
      </patternFill>
    </fill>
    <fill>
      <patternFill patternType="solid">
        <fgColor theme="0" tint="-0.14999847407452621"/>
        <bgColor indexed="64"/>
      </patternFill>
    </fill>
    <fill>
      <patternFill patternType="solid">
        <fgColor theme="0" tint="-0.14999847407452621"/>
        <bgColor rgb="FFFFFFFF"/>
      </patternFill>
    </fill>
    <fill>
      <patternFill patternType="solid">
        <fgColor rgb="FFD0CECE"/>
        <bgColor indexed="64"/>
      </patternFill>
    </fill>
  </fills>
  <borders count="16">
    <border>
      <left/>
      <right/>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top/>
      <bottom/>
      <diagonal/>
    </border>
    <border>
      <left/>
      <right style="thin">
        <color indexed="64"/>
      </right>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s>
  <cellStyleXfs count="6">
    <xf numFmtId="0" fontId="0" fillId="0" borderId="0"/>
    <xf numFmtId="43" fontId="1" fillId="0" borderId="0" applyFont="0" applyFill="0" applyBorder="0" applyAlignment="0" applyProtection="0"/>
    <xf numFmtId="9" fontId="1" fillId="0" borderId="0" applyFont="0" applyFill="0" applyBorder="0" applyAlignment="0" applyProtection="0"/>
    <xf numFmtId="0" fontId="2" fillId="0" borderId="0"/>
    <xf numFmtId="0" fontId="17" fillId="3" borderId="0">
      <alignment horizontal="left"/>
    </xf>
    <xf numFmtId="167" fontId="1" fillId="0" borderId="0" applyFont="0" applyFill="0" applyBorder="0" applyAlignment="0" applyProtection="0"/>
  </cellStyleXfs>
  <cellXfs count="252">
    <xf numFmtId="0" fontId="0" fillId="0" borderId="0" xfId="0"/>
    <xf numFmtId="0" fontId="3" fillId="2" borderId="0" xfId="3" applyFont="1" applyFill="1" applyAlignment="1">
      <alignment vertical="center"/>
    </xf>
    <xf numFmtId="0" fontId="4" fillId="3" borderId="0" xfId="0" applyFont="1" applyFill="1" applyAlignment="1">
      <alignment vertical="center"/>
    </xf>
    <xf numFmtId="0" fontId="6" fillId="2" borderId="0" xfId="3" applyFont="1" applyFill="1" applyAlignment="1">
      <alignment horizontal="center" vertical="center"/>
    </xf>
    <xf numFmtId="0" fontId="6" fillId="2" borderId="0" xfId="3" applyFont="1" applyFill="1" applyAlignment="1">
      <alignment vertical="center"/>
    </xf>
    <xf numFmtId="0" fontId="7" fillId="2" borderId="0" xfId="3" applyFont="1" applyFill="1" applyAlignment="1">
      <alignment horizontal="center" vertical="center"/>
    </xf>
    <xf numFmtId="0" fontId="7" fillId="0" borderId="0" xfId="3" applyFont="1" applyAlignment="1">
      <alignment horizontal="center" vertical="center"/>
    </xf>
    <xf numFmtId="0" fontId="8" fillId="0" borderId="0" xfId="3" applyFont="1" applyAlignment="1">
      <alignment horizontal="center" vertical="center"/>
    </xf>
    <xf numFmtId="0" fontId="9" fillId="3" borderId="0" xfId="0" applyFont="1" applyFill="1" applyAlignment="1">
      <alignment vertical="center"/>
    </xf>
    <xf numFmtId="0" fontId="3" fillId="2" borderId="0" xfId="3" applyFont="1" applyFill="1" applyAlignment="1">
      <alignment horizontal="left" vertical="center" wrapText="1"/>
    </xf>
    <xf numFmtId="0" fontId="10" fillId="0" borderId="0" xfId="0" applyFont="1" applyAlignment="1">
      <alignment vertical="center"/>
    </xf>
    <xf numFmtId="0" fontId="11" fillId="4" borderId="1" xfId="3" applyFont="1" applyFill="1" applyBorder="1" applyAlignment="1">
      <alignment horizontal="center" vertical="center" wrapText="1"/>
    </xf>
    <xf numFmtId="0" fontId="11" fillId="4" borderId="2" xfId="3" applyFont="1" applyFill="1" applyBorder="1" applyAlignment="1">
      <alignment horizontal="center" vertical="center" wrapText="1"/>
    </xf>
    <xf numFmtId="0" fontId="11" fillId="4" borderId="3" xfId="3" applyFont="1" applyFill="1" applyBorder="1" applyAlignment="1">
      <alignment horizontal="center" vertical="center" wrapText="1"/>
    </xf>
    <xf numFmtId="0" fontId="9" fillId="3" borderId="0" xfId="0" applyFont="1" applyFill="1" applyAlignment="1">
      <alignment horizontal="center" vertical="center" wrapText="1"/>
    </xf>
    <xf numFmtId="0" fontId="4" fillId="3" borderId="0" xfId="0" applyFont="1" applyFill="1" applyAlignment="1">
      <alignment horizontal="center" vertical="center" wrapText="1"/>
    </xf>
    <xf numFmtId="0" fontId="7" fillId="0" borderId="4" xfId="3" applyFont="1" applyBorder="1" applyAlignment="1">
      <alignment horizontal="center" vertical="center"/>
    </xf>
    <xf numFmtId="0" fontId="7" fillId="0" borderId="5" xfId="3" applyFont="1" applyBorder="1" applyAlignment="1">
      <alignment horizontal="center" vertical="center" wrapText="1"/>
    </xf>
    <xf numFmtId="0" fontId="7" fillId="0" borderId="6" xfId="3" applyFont="1" applyBorder="1" applyAlignment="1">
      <alignment horizontal="center" vertical="center" wrapText="1"/>
    </xf>
    <xf numFmtId="0" fontId="7" fillId="0" borderId="7" xfId="3" applyFont="1" applyBorder="1" applyAlignment="1">
      <alignment horizontal="center" vertical="center"/>
    </xf>
    <xf numFmtId="3" fontId="7" fillId="0" borderId="0" xfId="3" applyNumberFormat="1" applyFont="1" applyAlignment="1">
      <alignment horizontal="center" vertical="center"/>
    </xf>
    <xf numFmtId="3" fontId="7" fillId="0" borderId="8" xfId="3" applyNumberFormat="1" applyFont="1" applyBorder="1" applyAlignment="1">
      <alignment horizontal="center" vertical="center"/>
    </xf>
    <xf numFmtId="3" fontId="9" fillId="0" borderId="0" xfId="3" applyNumberFormat="1" applyFont="1" applyAlignment="1">
      <alignment horizontal="center" vertical="center"/>
    </xf>
    <xf numFmtId="43" fontId="4" fillId="3" borderId="0" xfId="1" applyFont="1" applyFill="1" applyAlignment="1">
      <alignment vertical="center"/>
    </xf>
    <xf numFmtId="3" fontId="4" fillId="3" borderId="0" xfId="0" applyNumberFormat="1" applyFont="1" applyFill="1" applyAlignment="1">
      <alignment vertical="center"/>
    </xf>
    <xf numFmtId="0" fontId="6" fillId="4" borderId="9" xfId="3" applyFont="1" applyFill="1" applyBorder="1" applyAlignment="1">
      <alignment horizontal="center" vertical="center" wrapText="1"/>
    </xf>
    <xf numFmtId="3" fontId="6" fillId="4" borderId="10" xfId="3" applyNumberFormat="1" applyFont="1" applyFill="1" applyBorder="1" applyAlignment="1">
      <alignment horizontal="center" vertical="center"/>
    </xf>
    <xf numFmtId="2" fontId="7" fillId="0" borderId="1" xfId="3" applyNumberFormat="1" applyFont="1" applyBorder="1" applyAlignment="1">
      <alignment horizontal="center" vertical="center" wrapText="1"/>
    </xf>
    <xf numFmtId="3" fontId="9" fillId="2" borderId="0" xfId="3" applyNumberFormat="1" applyFont="1" applyFill="1" applyAlignment="1">
      <alignment horizontal="center" vertical="center"/>
    </xf>
    <xf numFmtId="165" fontId="4" fillId="3" borderId="0" xfId="1" applyNumberFormat="1" applyFont="1" applyFill="1" applyAlignment="1">
      <alignment vertical="center"/>
    </xf>
    <xf numFmtId="2" fontId="7" fillId="0" borderId="7" xfId="3" applyNumberFormat="1" applyFont="1" applyBorder="1" applyAlignment="1">
      <alignment horizontal="center" vertical="center"/>
    </xf>
    <xf numFmtId="3" fontId="7" fillId="2" borderId="0" xfId="3" applyNumberFormat="1" applyFont="1" applyFill="1" applyAlignment="1">
      <alignment horizontal="center" vertical="center"/>
    </xf>
    <xf numFmtId="164" fontId="7" fillId="2" borderId="8" xfId="3" applyNumberFormat="1" applyFont="1" applyFill="1" applyBorder="1" applyAlignment="1">
      <alignment horizontal="center" vertical="center"/>
    </xf>
    <xf numFmtId="2" fontId="7" fillId="2" borderId="7" xfId="3" applyNumberFormat="1" applyFont="1" applyFill="1" applyBorder="1" applyAlignment="1">
      <alignment horizontal="left" vertical="center"/>
    </xf>
    <xf numFmtId="0" fontId="6" fillId="5" borderId="9" xfId="3" applyFont="1" applyFill="1" applyBorder="1" applyAlignment="1">
      <alignment horizontal="left" vertical="center"/>
    </xf>
    <xf numFmtId="0" fontId="7" fillId="5" borderId="10" xfId="3" applyFont="1" applyFill="1" applyBorder="1" applyAlignment="1">
      <alignment horizontal="center" vertical="center"/>
    </xf>
    <xf numFmtId="3" fontId="7" fillId="5" borderId="10" xfId="3" applyNumberFormat="1" applyFont="1" applyFill="1" applyBorder="1" applyAlignment="1">
      <alignment horizontal="center" vertical="center"/>
    </xf>
    <xf numFmtId="0" fontId="7" fillId="5" borderId="11" xfId="3" applyFont="1" applyFill="1" applyBorder="1" applyAlignment="1">
      <alignment horizontal="center" vertical="center"/>
    </xf>
    <xf numFmtId="0" fontId="4" fillId="3" borderId="0" xfId="0" applyFont="1" applyFill="1" applyAlignment="1">
      <alignment horizontal="left" vertical="center"/>
    </xf>
    <xf numFmtId="0" fontId="7" fillId="2" borderId="7" xfId="3" applyFont="1" applyFill="1" applyBorder="1" applyAlignment="1">
      <alignment horizontal="center" vertical="center" wrapText="1"/>
    </xf>
    <xf numFmtId="0" fontId="7" fillId="2" borderId="4" xfId="3" applyFont="1" applyFill="1" applyBorder="1" applyAlignment="1">
      <alignment horizontal="center" vertical="center" wrapText="1"/>
    </xf>
    <xf numFmtId="3" fontId="9" fillId="3" borderId="0" xfId="0" applyNumberFormat="1" applyFont="1" applyFill="1" applyAlignment="1">
      <alignment vertical="center"/>
    </xf>
    <xf numFmtId="0" fontId="6" fillId="6" borderId="9" xfId="3" applyFont="1" applyFill="1" applyBorder="1" applyAlignment="1">
      <alignment horizontal="center" vertical="center"/>
    </xf>
    <xf numFmtId="166" fontId="6" fillId="6" borderId="10" xfId="3" applyNumberFormat="1" applyFont="1" applyFill="1" applyBorder="1" applyAlignment="1">
      <alignment horizontal="center" vertical="center"/>
    </xf>
    <xf numFmtId="166" fontId="16" fillId="6" borderId="10" xfId="3" applyNumberFormat="1" applyFont="1" applyFill="1" applyBorder="1" applyAlignment="1">
      <alignment horizontal="center" vertical="center"/>
    </xf>
    <xf numFmtId="166" fontId="6" fillId="6" borderId="11" xfId="3" applyNumberFormat="1" applyFont="1" applyFill="1" applyBorder="1" applyAlignment="1">
      <alignment horizontal="center" vertical="center"/>
    </xf>
    <xf numFmtId="0" fontId="4" fillId="3" borderId="7" xfId="4" applyFont="1" applyBorder="1" applyAlignment="1">
      <alignment horizontal="center" vertical="center" wrapText="1"/>
    </xf>
    <xf numFmtId="0" fontId="16" fillId="7" borderId="9" xfId="4" applyFont="1" applyFill="1" applyBorder="1" applyAlignment="1">
      <alignment horizontal="center" vertical="center"/>
    </xf>
    <xf numFmtId="166" fontId="16" fillId="8" borderId="10" xfId="3" applyNumberFormat="1" applyFont="1" applyFill="1" applyBorder="1" applyAlignment="1">
      <alignment horizontal="center" vertical="center"/>
    </xf>
    <xf numFmtId="166" fontId="6" fillId="8" borderId="10" xfId="3" applyNumberFormat="1" applyFont="1" applyFill="1" applyBorder="1" applyAlignment="1">
      <alignment horizontal="center" vertical="center"/>
    </xf>
    <xf numFmtId="166" fontId="6" fillId="8" borderId="11" xfId="3" applyNumberFormat="1" applyFont="1" applyFill="1" applyBorder="1" applyAlignment="1">
      <alignment horizontal="center" vertical="center"/>
    </xf>
    <xf numFmtId="3" fontId="7" fillId="2" borderId="7" xfId="3" applyNumberFormat="1" applyFont="1" applyFill="1" applyBorder="1" applyAlignment="1">
      <alignment horizontal="center" vertical="center" wrapText="1"/>
    </xf>
    <xf numFmtId="3" fontId="15" fillId="3" borderId="0" xfId="4" applyNumberFormat="1" applyFont="1" applyAlignment="1">
      <alignment horizontal="center" vertical="center"/>
    </xf>
    <xf numFmtId="3" fontId="7" fillId="2" borderId="4" xfId="3" applyNumberFormat="1" applyFont="1" applyFill="1" applyBorder="1" applyAlignment="1">
      <alignment horizontal="center" vertical="center" wrapText="1"/>
    </xf>
    <xf numFmtId="0" fontId="6" fillId="8" borderId="9" xfId="3" applyFont="1" applyFill="1" applyBorder="1" applyAlignment="1">
      <alignment horizontal="center" vertical="center"/>
    </xf>
    <xf numFmtId="0" fontId="6" fillId="2" borderId="1" xfId="3" applyFont="1" applyFill="1" applyBorder="1" applyAlignment="1">
      <alignment horizontal="left" vertical="center"/>
    </xf>
    <xf numFmtId="10" fontId="6" fillId="2" borderId="2" xfId="3" applyNumberFormat="1" applyFont="1" applyFill="1" applyBorder="1" applyAlignment="1">
      <alignment horizontal="center" vertical="center"/>
    </xf>
    <xf numFmtId="10" fontId="16" fillId="2" borderId="2" xfId="3" applyNumberFormat="1" applyFont="1" applyFill="1" applyBorder="1" applyAlignment="1">
      <alignment horizontal="center" vertical="center"/>
    </xf>
    <xf numFmtId="10" fontId="6" fillId="2" borderId="3" xfId="3" applyNumberFormat="1" applyFont="1" applyFill="1" applyBorder="1" applyAlignment="1">
      <alignment horizontal="center" vertical="center"/>
    </xf>
    <xf numFmtId="0" fontId="21" fillId="0" borderId="0" xfId="0" applyFont="1" applyAlignment="1">
      <alignment vertical="center"/>
    </xf>
    <xf numFmtId="0" fontId="22" fillId="0" borderId="0" xfId="0" applyFont="1" applyAlignment="1">
      <alignment vertical="center"/>
    </xf>
    <xf numFmtId="0" fontId="4" fillId="3" borderId="5" xfId="0" applyFont="1" applyFill="1" applyBorder="1" applyAlignment="1">
      <alignment vertical="center"/>
    </xf>
    <xf numFmtId="10" fontId="22" fillId="0" borderId="0" xfId="0" applyNumberFormat="1" applyFont="1" applyAlignment="1">
      <alignment horizontal="center" vertical="center"/>
    </xf>
    <xf numFmtId="0" fontId="22" fillId="0" borderId="0" xfId="0" applyFont="1" applyAlignment="1">
      <alignment horizontal="center" vertical="center"/>
    </xf>
    <xf numFmtId="0" fontId="26" fillId="3" borderId="0" xfId="0" applyFont="1" applyFill="1" applyAlignment="1">
      <alignment horizontal="left" vertical="center"/>
    </xf>
    <xf numFmtId="168" fontId="4" fillId="3" borderId="0" xfId="5" applyNumberFormat="1" applyFont="1" applyFill="1" applyAlignment="1">
      <alignment horizontal="center" vertical="center"/>
    </xf>
    <xf numFmtId="10" fontId="4" fillId="3" borderId="0" xfId="2" applyNumberFormat="1" applyFont="1" applyFill="1" applyAlignment="1">
      <alignment horizontal="center" vertical="center"/>
    </xf>
    <xf numFmtId="0" fontId="10" fillId="3" borderId="0" xfId="4" applyFont="1" applyAlignment="1">
      <alignment horizontal="left" vertical="center"/>
    </xf>
    <xf numFmtId="168" fontId="27" fillId="3" borderId="0" xfId="5" applyNumberFormat="1" applyFont="1" applyFill="1" applyAlignment="1">
      <alignment horizontal="center" vertical="center"/>
    </xf>
    <xf numFmtId="10" fontId="27" fillId="3" borderId="0" xfId="2" applyNumberFormat="1" applyFont="1" applyFill="1" applyAlignment="1">
      <alignment horizontal="center" vertical="center"/>
    </xf>
    <xf numFmtId="0" fontId="4" fillId="3" borderId="0" xfId="4" applyFont="1" applyAlignment="1">
      <alignment horizontal="left" vertical="center"/>
    </xf>
    <xf numFmtId="0" fontId="11" fillId="4" borderId="12" xfId="4" applyFont="1" applyFill="1" applyBorder="1" applyAlignment="1">
      <alignment horizontal="left" vertical="center" wrapText="1"/>
    </xf>
    <xf numFmtId="0" fontId="22" fillId="4" borderId="12" xfId="0" applyFont="1" applyFill="1" applyBorder="1" applyAlignment="1">
      <alignment vertical="center"/>
    </xf>
    <xf numFmtId="0" fontId="4" fillId="0" borderId="14" xfId="4" applyFont="1" applyFill="1" applyBorder="1" applyAlignment="1">
      <alignment horizontal="left" vertical="center"/>
    </xf>
    <xf numFmtId="0" fontId="15" fillId="0" borderId="15" xfId="4" applyFont="1" applyFill="1" applyBorder="1" applyAlignment="1">
      <alignment horizontal="left" vertical="center"/>
    </xf>
    <xf numFmtId="0" fontId="28" fillId="4" borderId="12" xfId="0" applyFont="1" applyFill="1" applyBorder="1" applyAlignment="1">
      <alignment vertical="center"/>
    </xf>
    <xf numFmtId="0" fontId="4" fillId="0" borderId="15" xfId="4" applyFont="1" applyFill="1" applyBorder="1" applyAlignment="1">
      <alignment horizontal="left" vertical="center"/>
    </xf>
    <xf numFmtId="0" fontId="4" fillId="0" borderId="13" xfId="4" applyFont="1" applyFill="1" applyBorder="1" applyAlignment="1">
      <alignment horizontal="left" vertical="center"/>
    </xf>
    <xf numFmtId="0" fontId="28" fillId="9" borderId="12" xfId="0" applyFont="1" applyFill="1" applyBorder="1" applyAlignment="1">
      <alignment vertical="center"/>
    </xf>
    <xf numFmtId="0" fontId="5" fillId="2" borderId="0" xfId="3" applyFont="1" applyFill="1" applyAlignment="1">
      <alignment vertical="center"/>
    </xf>
    <xf numFmtId="0" fontId="29" fillId="3" borderId="0" xfId="0" applyFont="1" applyFill="1" applyAlignment="1">
      <alignment horizontal="left" vertical="center"/>
    </xf>
    <xf numFmtId="166" fontId="15" fillId="3" borderId="0" xfId="2" applyNumberFormat="1" applyFont="1" applyFill="1" applyAlignment="1">
      <alignment horizontal="center" vertical="center"/>
    </xf>
    <xf numFmtId="0" fontId="30" fillId="3" borderId="0" xfId="4" applyFont="1" applyAlignment="1">
      <alignment horizontal="left" vertical="center"/>
    </xf>
    <xf numFmtId="168" fontId="15" fillId="3" borderId="0" xfId="5" applyNumberFormat="1" applyFont="1" applyFill="1" applyAlignment="1">
      <alignment horizontal="center" vertical="center"/>
    </xf>
    <xf numFmtId="0" fontId="9" fillId="3" borderId="0" xfId="4" applyFont="1" applyAlignment="1">
      <alignment horizontal="left" vertical="center"/>
    </xf>
    <xf numFmtId="0" fontId="11" fillId="4" borderId="9" xfId="4" applyFont="1" applyFill="1" applyBorder="1" applyAlignment="1">
      <alignment horizontal="left" vertical="center" wrapText="1"/>
    </xf>
    <xf numFmtId="0" fontId="16" fillId="4" borderId="12" xfId="4" applyFont="1" applyFill="1" applyBorder="1" applyAlignment="1">
      <alignment horizontal="left" vertical="center"/>
    </xf>
    <xf numFmtId="0" fontId="15" fillId="3" borderId="14" xfId="4" applyFont="1" applyBorder="1" applyAlignment="1">
      <alignment horizontal="left" vertical="center"/>
    </xf>
    <xf numFmtId="0" fontId="15" fillId="0" borderId="14" xfId="5" applyNumberFormat="1" applyFont="1" applyFill="1" applyBorder="1" applyAlignment="1">
      <alignment horizontal="left" vertical="center"/>
    </xf>
    <xf numFmtId="0" fontId="15" fillId="0" borderId="14" xfId="4" applyFont="1" applyFill="1" applyBorder="1" applyAlignment="1">
      <alignment horizontal="left" vertical="center"/>
    </xf>
    <xf numFmtId="0" fontId="15" fillId="3" borderId="13" xfId="4" applyFont="1" applyBorder="1" applyAlignment="1">
      <alignment horizontal="left" vertical="center"/>
    </xf>
    <xf numFmtId="0" fontId="15" fillId="0" borderId="12" xfId="4" applyFont="1" applyFill="1" applyBorder="1" applyAlignment="1">
      <alignment horizontal="left" vertical="center"/>
    </xf>
    <xf numFmtId="0" fontId="4" fillId="0" borderId="9" xfId="4" applyFont="1" applyFill="1" applyBorder="1" applyAlignment="1">
      <alignment horizontal="left" vertical="center"/>
    </xf>
    <xf numFmtId="168" fontId="22" fillId="0" borderId="0" xfId="0" applyNumberFormat="1" applyFont="1" applyAlignment="1">
      <alignment vertical="center"/>
    </xf>
    <xf numFmtId="166" fontId="22" fillId="0" borderId="0" xfId="0" applyNumberFormat="1" applyFont="1" applyAlignment="1">
      <alignment horizontal="center" vertical="center"/>
    </xf>
    <xf numFmtId="0" fontId="11" fillId="4" borderId="10" xfId="5" applyNumberFormat="1" applyFont="1" applyFill="1" applyBorder="1" applyAlignment="1">
      <alignment horizontal="center" vertical="center"/>
    </xf>
    <xf numFmtId="0" fontId="11" fillId="4" borderId="9" xfId="5" applyNumberFormat="1" applyFont="1" applyFill="1" applyBorder="1" applyAlignment="1">
      <alignment horizontal="center" vertical="center"/>
    </xf>
    <xf numFmtId="3" fontId="11" fillId="4" borderId="10" xfId="5" applyNumberFormat="1" applyFont="1" applyFill="1" applyBorder="1" applyAlignment="1">
      <alignment horizontal="center" vertical="center"/>
    </xf>
    <xf numFmtId="3" fontId="4" fillId="3" borderId="1" xfId="5" applyNumberFormat="1" applyFont="1" applyFill="1" applyBorder="1" applyAlignment="1">
      <alignment horizontal="center" vertical="center"/>
    </xf>
    <xf numFmtId="3" fontId="4" fillId="3" borderId="2" xfId="5" applyNumberFormat="1" applyFont="1" applyFill="1" applyBorder="1" applyAlignment="1">
      <alignment horizontal="center" vertical="center"/>
    </xf>
    <xf numFmtId="3" fontId="4" fillId="3" borderId="7" xfId="5" applyNumberFormat="1" applyFont="1" applyFill="1" applyBorder="1" applyAlignment="1">
      <alignment horizontal="center" vertical="center"/>
    </xf>
    <xf numFmtId="3" fontId="4" fillId="3" borderId="0" xfId="5" applyNumberFormat="1" applyFont="1" applyFill="1" applyBorder="1" applyAlignment="1">
      <alignment horizontal="center" vertical="center"/>
    </xf>
    <xf numFmtId="3" fontId="4" fillId="0" borderId="7" xfId="5" applyNumberFormat="1" applyFont="1" applyFill="1" applyBorder="1" applyAlignment="1">
      <alignment horizontal="center" vertical="center"/>
    </xf>
    <xf numFmtId="3" fontId="4" fillId="0" borderId="0" xfId="5" applyNumberFormat="1" applyFont="1" applyFill="1" applyBorder="1" applyAlignment="1">
      <alignment horizontal="center" vertical="center"/>
    </xf>
    <xf numFmtId="3" fontId="4" fillId="0" borderId="4" xfId="5" applyNumberFormat="1" applyFont="1" applyFill="1" applyBorder="1" applyAlignment="1">
      <alignment horizontal="center" vertical="center"/>
    </xf>
    <xf numFmtId="3" fontId="4" fillId="0" borderId="5" xfId="5" applyNumberFormat="1" applyFont="1" applyFill="1" applyBorder="1" applyAlignment="1">
      <alignment horizontal="center" vertical="center"/>
    </xf>
    <xf numFmtId="3" fontId="11" fillId="4" borderId="9" xfId="5" applyNumberFormat="1" applyFont="1" applyFill="1" applyBorder="1" applyAlignment="1">
      <alignment horizontal="center" vertical="center"/>
    </xf>
    <xf numFmtId="166" fontId="11" fillId="4" borderId="11" xfId="2" applyNumberFormat="1" applyFont="1" applyFill="1" applyBorder="1" applyAlignment="1">
      <alignment horizontal="center" vertical="center"/>
    </xf>
    <xf numFmtId="166" fontId="11" fillId="4" borderId="12" xfId="2" applyNumberFormat="1" applyFont="1" applyFill="1" applyBorder="1" applyAlignment="1">
      <alignment horizontal="center" vertical="center"/>
    </xf>
    <xf numFmtId="166" fontId="4" fillId="3" borderId="3" xfId="2" applyNumberFormat="1" applyFont="1" applyFill="1" applyBorder="1" applyAlignment="1">
      <alignment horizontal="center" vertical="center"/>
    </xf>
    <xf numFmtId="166" fontId="4" fillId="3" borderId="0" xfId="2" applyNumberFormat="1" applyFont="1" applyFill="1" applyBorder="1" applyAlignment="1">
      <alignment horizontal="center" vertical="center"/>
    </xf>
    <xf numFmtId="166" fontId="4" fillId="3" borderId="13" xfId="2" applyNumberFormat="1" applyFont="1" applyFill="1" applyBorder="1" applyAlignment="1">
      <alignment horizontal="center" vertical="center"/>
    </xf>
    <xf numFmtId="166" fontId="4" fillId="3" borderId="8" xfId="2" applyNumberFormat="1" applyFont="1" applyFill="1" applyBorder="1" applyAlignment="1">
      <alignment horizontal="center" vertical="center"/>
    </xf>
    <xf numFmtId="166" fontId="4" fillId="3" borderId="14" xfId="2" applyNumberFormat="1" applyFont="1" applyFill="1" applyBorder="1" applyAlignment="1">
      <alignment horizontal="center" vertical="center"/>
    </xf>
    <xf numFmtId="166" fontId="4" fillId="3" borderId="6" xfId="2" applyNumberFormat="1" applyFont="1" applyFill="1" applyBorder="1" applyAlignment="1">
      <alignment horizontal="center" vertical="center"/>
    </xf>
    <xf numFmtId="166" fontId="4" fillId="3" borderId="15" xfId="2" applyNumberFormat="1" applyFont="1" applyFill="1" applyBorder="1" applyAlignment="1">
      <alignment horizontal="center" vertical="center"/>
    </xf>
    <xf numFmtId="166" fontId="4" fillId="0" borderId="6" xfId="2" applyNumberFormat="1" applyFont="1" applyFill="1" applyBorder="1" applyAlignment="1">
      <alignment horizontal="center" vertical="center"/>
    </xf>
    <xf numFmtId="3" fontId="4" fillId="0" borderId="1" xfId="5" applyNumberFormat="1" applyFont="1" applyFill="1" applyBorder="1" applyAlignment="1">
      <alignment horizontal="center" vertical="center"/>
    </xf>
    <xf numFmtId="3" fontId="4" fillId="0" borderId="2" xfId="5" applyNumberFormat="1" applyFont="1" applyFill="1" applyBorder="1" applyAlignment="1">
      <alignment horizontal="center" vertical="center"/>
    </xf>
    <xf numFmtId="166" fontId="4" fillId="0" borderId="3" xfId="2" applyNumberFormat="1" applyFont="1" applyFill="1" applyBorder="1" applyAlignment="1">
      <alignment horizontal="center" vertical="center"/>
    </xf>
    <xf numFmtId="166" fontId="4" fillId="0" borderId="13" xfId="2" applyNumberFormat="1" applyFont="1" applyFill="1" applyBorder="1" applyAlignment="1">
      <alignment horizontal="center" vertical="center"/>
    </xf>
    <xf numFmtId="166" fontId="4" fillId="0" borderId="8" xfId="2" applyNumberFormat="1" applyFont="1" applyFill="1" applyBorder="1" applyAlignment="1">
      <alignment horizontal="center" vertical="center"/>
    </xf>
    <xf numFmtId="166" fontId="4" fillId="0" borderId="14" xfId="2" applyNumberFormat="1" applyFont="1" applyFill="1" applyBorder="1" applyAlignment="1">
      <alignment horizontal="center" vertical="center"/>
    </xf>
    <xf numFmtId="166" fontId="4" fillId="0" borderId="15" xfId="2" applyNumberFormat="1" applyFont="1" applyFill="1" applyBorder="1" applyAlignment="1">
      <alignment horizontal="center" vertical="center"/>
    </xf>
    <xf numFmtId="3" fontId="4" fillId="3" borderId="4" xfId="5" applyNumberFormat="1" applyFont="1" applyFill="1" applyBorder="1" applyAlignment="1">
      <alignment horizontal="center" vertical="center"/>
    </xf>
    <xf numFmtId="3" fontId="4" fillId="3" borderId="5" xfId="5" applyNumberFormat="1" applyFont="1" applyFill="1" applyBorder="1" applyAlignment="1">
      <alignment horizontal="center" vertical="center"/>
    </xf>
    <xf numFmtId="3" fontId="4" fillId="3" borderId="10" xfId="5" applyNumberFormat="1" applyFont="1" applyFill="1" applyBorder="1" applyAlignment="1">
      <alignment horizontal="center" vertical="center"/>
    </xf>
    <xf numFmtId="166" fontId="4" fillId="3" borderId="11" xfId="2" applyNumberFormat="1" applyFont="1" applyFill="1" applyBorder="1" applyAlignment="1">
      <alignment horizontal="center" vertical="center"/>
    </xf>
    <xf numFmtId="3" fontId="4" fillId="0" borderId="7" xfId="5" applyNumberFormat="1" applyFont="1" applyBorder="1" applyAlignment="1">
      <alignment horizontal="center" vertical="center"/>
    </xf>
    <xf numFmtId="3" fontId="4" fillId="0" borderId="0" xfId="5" applyNumberFormat="1" applyFont="1" applyBorder="1" applyAlignment="1">
      <alignment horizontal="center" vertical="center"/>
    </xf>
    <xf numFmtId="3" fontId="15" fillId="0" borderId="7" xfId="5" applyNumberFormat="1" applyFont="1" applyFill="1" applyBorder="1" applyAlignment="1">
      <alignment horizontal="center" vertical="center"/>
    </xf>
    <xf numFmtId="3" fontId="4" fillId="3" borderId="1" xfId="2" applyNumberFormat="1" applyFont="1" applyFill="1" applyBorder="1" applyAlignment="1">
      <alignment horizontal="center" vertical="center"/>
    </xf>
    <xf numFmtId="3" fontId="4" fillId="3" borderId="0" xfId="2" applyNumberFormat="1" applyFont="1" applyFill="1" applyBorder="1" applyAlignment="1">
      <alignment horizontal="center" vertical="center"/>
    </xf>
    <xf numFmtId="166" fontId="4" fillId="3" borderId="2" xfId="2" applyNumberFormat="1" applyFont="1" applyFill="1" applyBorder="1" applyAlignment="1">
      <alignment horizontal="center" vertical="center"/>
    </xf>
    <xf numFmtId="3" fontId="4" fillId="3" borderId="7" xfId="2" applyNumberFormat="1" applyFont="1" applyFill="1" applyBorder="1" applyAlignment="1">
      <alignment horizontal="center" vertical="center"/>
    </xf>
    <xf numFmtId="3" fontId="4" fillId="3" borderId="2" xfId="2" applyNumberFormat="1" applyFont="1" applyFill="1" applyBorder="1" applyAlignment="1">
      <alignment horizontal="center" vertical="center"/>
    </xf>
    <xf numFmtId="10" fontId="11" fillId="4" borderId="11" xfId="2" applyNumberFormat="1" applyFont="1" applyFill="1" applyBorder="1" applyAlignment="1">
      <alignment horizontal="center" vertical="center"/>
    </xf>
    <xf numFmtId="10" fontId="11" fillId="4" borderId="12" xfId="2" applyNumberFormat="1" applyFont="1" applyFill="1" applyBorder="1" applyAlignment="1">
      <alignment horizontal="center" vertical="center"/>
    </xf>
    <xf numFmtId="3" fontId="4" fillId="3" borderId="7" xfId="1" applyNumberFormat="1" applyFont="1" applyFill="1" applyBorder="1" applyAlignment="1">
      <alignment horizontal="center" vertical="center"/>
    </xf>
    <xf numFmtId="3" fontId="4" fillId="3" borderId="0" xfId="1" applyNumberFormat="1" applyFont="1" applyFill="1" applyBorder="1" applyAlignment="1">
      <alignment horizontal="center" vertical="center"/>
    </xf>
    <xf numFmtId="3" fontId="16" fillId="4" borderId="10" xfId="5" applyNumberFormat="1" applyFont="1" applyFill="1" applyBorder="1" applyAlignment="1">
      <alignment horizontal="center" vertical="center"/>
    </xf>
    <xf numFmtId="3" fontId="15" fillId="3" borderId="0" xfId="5" applyNumberFormat="1" applyFont="1" applyFill="1" applyBorder="1" applyAlignment="1">
      <alignment horizontal="center" vertical="center"/>
    </xf>
    <xf numFmtId="3" fontId="15" fillId="0" borderId="0" xfId="5" applyNumberFormat="1" applyFont="1" applyFill="1" applyBorder="1" applyAlignment="1">
      <alignment horizontal="center" vertical="center"/>
    </xf>
    <xf numFmtId="3" fontId="15" fillId="0" borderId="5" xfId="5" applyNumberFormat="1" applyFont="1" applyFill="1" applyBorder="1" applyAlignment="1">
      <alignment horizontal="center" vertical="center"/>
    </xf>
    <xf numFmtId="3" fontId="16" fillId="4" borderId="9" xfId="5" applyNumberFormat="1" applyFont="1" applyFill="1" applyBorder="1" applyAlignment="1">
      <alignment horizontal="center" vertical="center"/>
    </xf>
    <xf numFmtId="3" fontId="15" fillId="3" borderId="0" xfId="5" applyNumberFormat="1" applyFont="1" applyFill="1" applyAlignment="1">
      <alignment horizontal="center" vertical="center"/>
    </xf>
    <xf numFmtId="3" fontId="15" fillId="0" borderId="0" xfId="5" applyNumberFormat="1" applyFont="1" applyFill="1" applyAlignment="1">
      <alignment horizontal="center" vertical="center"/>
    </xf>
    <xf numFmtId="3" fontId="15" fillId="0" borderId="0" xfId="1" applyNumberFormat="1" applyFont="1" applyFill="1" applyBorder="1" applyAlignment="1">
      <alignment horizontal="center" vertical="center"/>
    </xf>
    <xf numFmtId="3" fontId="15" fillId="3" borderId="1" xfId="5" applyNumberFormat="1" applyFont="1" applyFill="1" applyBorder="1" applyAlignment="1">
      <alignment horizontal="center" vertical="center"/>
    </xf>
    <xf numFmtId="3" fontId="15" fillId="3" borderId="2" xfId="5" applyNumberFormat="1" applyFont="1" applyFill="1" applyBorder="1" applyAlignment="1">
      <alignment horizontal="center" vertical="center"/>
    </xf>
    <xf numFmtId="3" fontId="15" fillId="3" borderId="7" xfId="5" applyNumberFormat="1" applyFont="1" applyFill="1" applyBorder="1" applyAlignment="1">
      <alignment horizontal="center" vertical="center"/>
    </xf>
    <xf numFmtId="3" fontId="15" fillId="0" borderId="7" xfId="1" applyNumberFormat="1" applyFont="1" applyFill="1" applyBorder="1" applyAlignment="1">
      <alignment horizontal="center" vertical="center"/>
    </xf>
    <xf numFmtId="3" fontId="15" fillId="0" borderId="0" xfId="1" applyNumberFormat="1" applyFont="1" applyFill="1" applyAlignment="1">
      <alignment horizontal="center" vertical="center"/>
    </xf>
    <xf numFmtId="3" fontId="15" fillId="0" borderId="9" xfId="5" applyNumberFormat="1" applyFont="1" applyFill="1" applyBorder="1" applyAlignment="1">
      <alignment horizontal="center" vertical="center"/>
    </xf>
    <xf numFmtId="3" fontId="15" fillId="0" borderId="10" xfId="5" applyNumberFormat="1" applyFont="1" applyFill="1" applyBorder="1" applyAlignment="1">
      <alignment horizontal="center" vertical="center"/>
    </xf>
    <xf numFmtId="3" fontId="15" fillId="3" borderId="4" xfId="5" applyNumberFormat="1" applyFont="1" applyFill="1" applyBorder="1" applyAlignment="1">
      <alignment horizontal="center" vertical="center"/>
    </xf>
    <xf numFmtId="3" fontId="15" fillId="3" borderId="5" xfId="5" applyNumberFormat="1" applyFont="1" applyFill="1" applyBorder="1" applyAlignment="1">
      <alignment horizontal="center" vertical="center"/>
    </xf>
    <xf numFmtId="3" fontId="15" fillId="3" borderId="0" xfId="1" applyNumberFormat="1" applyFont="1" applyFill="1" applyBorder="1" applyAlignment="1">
      <alignment horizontal="center" vertical="center"/>
    </xf>
    <xf numFmtId="3" fontId="15" fillId="3" borderId="9" xfId="5" applyNumberFormat="1" applyFont="1" applyFill="1" applyBorder="1" applyAlignment="1">
      <alignment horizontal="center" vertical="center"/>
    </xf>
    <xf numFmtId="3" fontId="15" fillId="3" borderId="10" xfId="5" applyNumberFormat="1" applyFont="1" applyFill="1" applyBorder="1" applyAlignment="1">
      <alignment horizontal="center" vertical="center"/>
    </xf>
    <xf numFmtId="10" fontId="11" fillId="4" borderId="10" xfId="2" applyNumberFormat="1" applyFont="1" applyFill="1" applyBorder="1" applyAlignment="1">
      <alignment horizontal="center" vertical="center"/>
    </xf>
    <xf numFmtId="166" fontId="16" fillId="4" borderId="10" xfId="2" applyNumberFormat="1" applyFont="1" applyFill="1" applyBorder="1" applyAlignment="1">
      <alignment horizontal="center" vertical="center"/>
    </xf>
    <xf numFmtId="166" fontId="15" fillId="3" borderId="0" xfId="2" applyNumberFormat="1" applyFont="1" applyFill="1" applyBorder="1" applyAlignment="1">
      <alignment horizontal="center" vertical="center"/>
    </xf>
    <xf numFmtId="166" fontId="16" fillId="4" borderId="11" xfId="2" applyNumberFormat="1" applyFont="1" applyFill="1" applyBorder="1" applyAlignment="1">
      <alignment horizontal="center" vertical="center"/>
    </xf>
    <xf numFmtId="166" fontId="15" fillId="3" borderId="3" xfId="2" applyNumberFormat="1" applyFont="1" applyFill="1" applyBorder="1" applyAlignment="1">
      <alignment horizontal="center" vertical="center"/>
    </xf>
    <xf numFmtId="166" fontId="15" fillId="3" borderId="8" xfId="2" applyNumberFormat="1" applyFont="1" applyFill="1" applyBorder="1" applyAlignment="1">
      <alignment horizontal="center" vertical="center"/>
    </xf>
    <xf numFmtId="166" fontId="15" fillId="3" borderId="11" xfId="2" applyNumberFormat="1" applyFont="1" applyFill="1" applyBorder="1" applyAlignment="1">
      <alignment horizontal="center" vertical="center"/>
    </xf>
    <xf numFmtId="166" fontId="4" fillId="3" borderId="10" xfId="2" applyNumberFormat="1" applyFont="1" applyFill="1" applyBorder="1" applyAlignment="1">
      <alignment horizontal="center" vertical="center"/>
    </xf>
    <xf numFmtId="168" fontId="22" fillId="0" borderId="0" xfId="0" applyNumberFormat="1" applyFont="1" applyAlignment="1">
      <alignment horizontal="center" vertical="center"/>
    </xf>
    <xf numFmtId="166" fontId="16" fillId="4" borderId="0" xfId="2" applyNumberFormat="1" applyFont="1" applyFill="1" applyBorder="1" applyAlignment="1">
      <alignment horizontal="center" vertical="center"/>
    </xf>
    <xf numFmtId="166" fontId="16" fillId="4" borderId="12" xfId="2" applyNumberFormat="1" applyFont="1" applyFill="1" applyBorder="1" applyAlignment="1">
      <alignment horizontal="center" vertical="center"/>
    </xf>
    <xf numFmtId="166" fontId="15" fillId="3" borderId="13" xfId="2" applyNumberFormat="1" applyFont="1" applyFill="1" applyBorder="1" applyAlignment="1">
      <alignment horizontal="center" vertical="center"/>
    </xf>
    <xf numFmtId="166" fontId="15" fillId="3" borderId="14" xfId="2" applyNumberFormat="1" applyFont="1" applyFill="1" applyBorder="1" applyAlignment="1">
      <alignment horizontal="center" vertical="center"/>
    </xf>
    <xf numFmtId="166" fontId="15" fillId="3" borderId="12" xfId="2" applyNumberFormat="1" applyFont="1" applyFill="1" applyBorder="1" applyAlignment="1">
      <alignment horizontal="center" vertical="center"/>
    </xf>
    <xf numFmtId="0" fontId="22" fillId="4" borderId="11" xfId="0" applyFont="1" applyFill="1" applyBorder="1" applyAlignment="1">
      <alignment vertical="center"/>
    </xf>
    <xf numFmtId="0" fontId="22" fillId="0" borderId="8" xfId="0" applyFont="1" applyBorder="1" applyAlignment="1">
      <alignment vertical="center"/>
    </xf>
    <xf numFmtId="166" fontId="11" fillId="4" borderId="6" xfId="2" applyNumberFormat="1" applyFont="1" applyFill="1" applyBorder="1" applyAlignment="1">
      <alignment horizontal="center" vertical="center"/>
    </xf>
    <xf numFmtId="0" fontId="28" fillId="4" borderId="11" xfId="0" applyFont="1" applyFill="1" applyBorder="1" applyAlignment="1">
      <alignment vertical="center"/>
    </xf>
    <xf numFmtId="3" fontId="11" fillId="4" borderId="2" xfId="5" applyNumberFormat="1" applyFont="1" applyFill="1" applyBorder="1" applyAlignment="1">
      <alignment horizontal="center" vertical="center"/>
    </xf>
    <xf numFmtId="3" fontId="16" fillId="4" borderId="0" xfId="5" applyNumberFormat="1" applyFont="1" applyFill="1" applyBorder="1" applyAlignment="1">
      <alignment horizontal="center" vertical="center"/>
    </xf>
    <xf numFmtId="3" fontId="4" fillId="3" borderId="9" xfId="5" applyNumberFormat="1" applyFont="1" applyFill="1" applyBorder="1" applyAlignment="1">
      <alignment horizontal="center" vertical="center"/>
    </xf>
    <xf numFmtId="0" fontId="15" fillId="0" borderId="13" xfId="4" applyFont="1" applyFill="1" applyBorder="1" applyAlignment="1">
      <alignment horizontal="left" vertical="center"/>
    </xf>
    <xf numFmtId="3" fontId="15" fillId="0" borderId="1" xfId="5" applyNumberFormat="1" applyFont="1" applyFill="1" applyBorder="1" applyAlignment="1">
      <alignment horizontal="center" vertical="center"/>
    </xf>
    <xf numFmtId="3" fontId="15" fillId="0" borderId="2" xfId="5" applyNumberFormat="1" applyFont="1" applyFill="1" applyBorder="1" applyAlignment="1">
      <alignment horizontal="center" vertical="center"/>
    </xf>
    <xf numFmtId="166" fontId="15" fillId="0" borderId="15" xfId="2" applyNumberFormat="1" applyFont="1" applyFill="1" applyBorder="1" applyAlignment="1">
      <alignment horizontal="center" vertical="center"/>
    </xf>
    <xf numFmtId="166" fontId="15" fillId="0" borderId="14" xfId="2" applyNumberFormat="1" applyFont="1" applyFill="1" applyBorder="1" applyAlignment="1">
      <alignment horizontal="center" vertical="center"/>
    </xf>
    <xf numFmtId="3" fontId="7" fillId="0" borderId="6" xfId="3" applyNumberFormat="1" applyFont="1" applyBorder="1" applyAlignment="1">
      <alignment horizontal="center" vertical="center"/>
    </xf>
    <xf numFmtId="3" fontId="7" fillId="0" borderId="3" xfId="3" applyNumberFormat="1" applyFont="1" applyBorder="1" applyAlignment="1">
      <alignment horizontal="center" vertical="center"/>
    </xf>
    <xf numFmtId="164" fontId="7" fillId="0" borderId="0" xfId="3" applyNumberFormat="1" applyFont="1" applyAlignment="1">
      <alignment horizontal="center" vertical="center"/>
    </xf>
    <xf numFmtId="4" fontId="7" fillId="0" borderId="8" xfId="3" applyNumberFormat="1" applyFont="1" applyBorder="1" applyAlignment="1">
      <alignment horizontal="center" vertical="center"/>
    </xf>
    <xf numFmtId="2" fontId="7" fillId="0" borderId="4" xfId="3" applyNumberFormat="1" applyFont="1" applyBorder="1" applyAlignment="1">
      <alignment horizontal="center" vertical="center"/>
    </xf>
    <xf numFmtId="3" fontId="7" fillId="0" borderId="5" xfId="3" applyNumberFormat="1" applyFont="1" applyBorder="1" applyAlignment="1">
      <alignment horizontal="center" vertical="center"/>
    </xf>
    <xf numFmtId="0" fontId="4" fillId="0" borderId="13" xfId="4" applyFont="1" applyFill="1" applyBorder="1" applyAlignment="1">
      <alignment horizontal="left" vertical="center" indent="1"/>
    </xf>
    <xf numFmtId="0" fontId="4" fillId="0" borderId="14" xfId="4" applyFont="1" applyFill="1" applyBorder="1" applyAlignment="1">
      <alignment horizontal="left" vertical="center" indent="1"/>
    </xf>
    <xf numFmtId="0" fontId="15" fillId="0" borderId="15" xfId="4" applyFont="1" applyFill="1" applyBorder="1" applyAlignment="1">
      <alignment horizontal="left" indent="1"/>
    </xf>
    <xf numFmtId="0" fontId="4" fillId="0" borderId="3" xfId="4" applyFont="1" applyFill="1" applyBorder="1" applyAlignment="1">
      <alignment horizontal="left" vertical="center" indent="1"/>
    </xf>
    <xf numFmtId="0" fontId="4" fillId="0" borderId="8" xfId="4" applyFont="1" applyFill="1" applyBorder="1" applyAlignment="1">
      <alignment horizontal="left" vertical="center" indent="1"/>
    </xf>
    <xf numFmtId="0" fontId="15" fillId="0" borderId="6" xfId="4" applyFont="1" applyFill="1" applyBorder="1" applyAlignment="1">
      <alignment horizontal="left" indent="1"/>
    </xf>
    <xf numFmtId="0" fontId="15" fillId="0" borderId="8" xfId="4" applyFont="1" applyFill="1" applyBorder="1" applyAlignment="1">
      <alignment horizontal="left" indent="1"/>
    </xf>
    <xf numFmtId="0" fontId="4" fillId="3" borderId="8" xfId="4" applyFont="1" applyBorder="1" applyAlignment="1">
      <alignment horizontal="left" vertical="center" indent="1"/>
    </xf>
    <xf numFmtId="0" fontId="22" fillId="0" borderId="0" xfId="0" applyFont="1" applyAlignment="1">
      <alignment horizontal="right" vertical="center"/>
    </xf>
    <xf numFmtId="43" fontId="4" fillId="0" borderId="0" xfId="1" applyFont="1" applyFill="1" applyAlignment="1">
      <alignment vertical="center"/>
    </xf>
    <xf numFmtId="0" fontId="6" fillId="0" borderId="0" xfId="3" applyFont="1" applyAlignment="1">
      <alignment vertical="center"/>
    </xf>
    <xf numFmtId="3" fontId="4" fillId="0" borderId="7" xfId="1" applyNumberFormat="1" applyFont="1" applyFill="1" applyBorder="1" applyAlignment="1">
      <alignment horizontal="center" vertical="center"/>
    </xf>
    <xf numFmtId="3" fontId="4" fillId="0" borderId="9" xfId="5" applyNumberFormat="1" applyFont="1" applyFill="1" applyBorder="1" applyAlignment="1">
      <alignment horizontal="center" vertical="center"/>
    </xf>
    <xf numFmtId="3" fontId="4" fillId="0" borderId="10" xfId="5" applyNumberFormat="1" applyFont="1" applyFill="1" applyBorder="1" applyAlignment="1">
      <alignment horizontal="center" vertical="center"/>
    </xf>
    <xf numFmtId="0" fontId="4" fillId="0" borderId="4" xfId="0" applyFont="1" applyBorder="1" applyAlignment="1">
      <alignment horizontal="center" vertical="center"/>
    </xf>
    <xf numFmtId="3" fontId="4" fillId="0" borderId="0" xfId="0" applyNumberFormat="1" applyFont="1" applyAlignment="1">
      <alignment vertical="center"/>
    </xf>
    <xf numFmtId="0" fontId="4" fillId="0" borderId="0" xfId="0" applyFont="1" applyAlignment="1">
      <alignment vertical="center"/>
    </xf>
    <xf numFmtId="164" fontId="7" fillId="0" borderId="5" xfId="3" applyNumberFormat="1" applyFont="1" applyBorder="1" applyAlignment="1">
      <alignment horizontal="center" vertical="center"/>
    </xf>
    <xf numFmtId="4" fontId="7" fillId="0" borderId="6" xfId="3" applyNumberFormat="1" applyFont="1" applyBorder="1" applyAlignment="1">
      <alignment horizontal="center" vertical="center"/>
    </xf>
    <xf numFmtId="10" fontId="4" fillId="3" borderId="14" xfId="2" applyNumberFormat="1" applyFont="1" applyFill="1" applyBorder="1" applyAlignment="1">
      <alignment horizontal="center" vertical="center"/>
    </xf>
    <xf numFmtId="10" fontId="4" fillId="0" borderId="14" xfId="2" applyNumberFormat="1" applyFont="1" applyFill="1" applyBorder="1" applyAlignment="1">
      <alignment horizontal="center" vertical="center"/>
    </xf>
    <xf numFmtId="164" fontId="4" fillId="3" borderId="0" xfId="1" applyNumberFormat="1" applyFont="1" applyFill="1" applyBorder="1" applyAlignment="1">
      <alignment horizontal="center" vertical="center"/>
    </xf>
    <xf numFmtId="164" fontId="4" fillId="3" borderId="0" xfId="2" applyNumberFormat="1" applyFont="1" applyFill="1" applyBorder="1" applyAlignment="1">
      <alignment horizontal="center" vertical="center"/>
    </xf>
    <xf numFmtId="4" fontId="4" fillId="3" borderId="0" xfId="2" applyNumberFormat="1" applyFont="1" applyFill="1" applyBorder="1" applyAlignment="1">
      <alignment horizontal="center" vertical="center"/>
    </xf>
    <xf numFmtId="164" fontId="4" fillId="3" borderId="7" xfId="2" applyNumberFormat="1" applyFont="1" applyFill="1" applyBorder="1" applyAlignment="1">
      <alignment horizontal="center" vertical="center"/>
    </xf>
    <xf numFmtId="164" fontId="4" fillId="3" borderId="5" xfId="2" applyNumberFormat="1" applyFont="1" applyFill="1" applyBorder="1" applyAlignment="1">
      <alignment horizontal="center" vertical="center"/>
    </xf>
    <xf numFmtId="164" fontId="4" fillId="0" borderId="4" xfId="5" applyNumberFormat="1" applyFont="1" applyFill="1" applyBorder="1" applyAlignment="1">
      <alignment horizontal="center" vertical="center"/>
    </xf>
    <xf numFmtId="164" fontId="4" fillId="0" borderId="5" xfId="5" applyNumberFormat="1" applyFont="1" applyFill="1" applyBorder="1" applyAlignment="1">
      <alignment horizontal="center" vertical="center"/>
    </xf>
    <xf numFmtId="164" fontId="11" fillId="4" borderId="10" xfId="5" applyNumberFormat="1" applyFont="1" applyFill="1" applyBorder="1" applyAlignment="1">
      <alignment horizontal="center" vertical="center"/>
    </xf>
    <xf numFmtId="10" fontId="15" fillId="3" borderId="8" xfId="2" applyNumberFormat="1" applyFont="1" applyFill="1" applyBorder="1" applyAlignment="1">
      <alignment horizontal="center" vertical="center"/>
    </xf>
    <xf numFmtId="169" fontId="15" fillId="3" borderId="8" xfId="2" applyNumberFormat="1" applyFont="1" applyFill="1" applyBorder="1" applyAlignment="1">
      <alignment horizontal="center" vertical="center"/>
    </xf>
    <xf numFmtId="10" fontId="15" fillId="3" borderId="14" xfId="2" applyNumberFormat="1" applyFont="1" applyFill="1" applyBorder="1" applyAlignment="1">
      <alignment horizontal="center" vertical="center"/>
    </xf>
    <xf numFmtId="169" fontId="15" fillId="3" borderId="14" xfId="2" applyNumberFormat="1" applyFont="1" applyFill="1" applyBorder="1" applyAlignment="1">
      <alignment horizontal="center" vertical="center"/>
    </xf>
    <xf numFmtId="10" fontId="15" fillId="0" borderId="14" xfId="2" applyNumberFormat="1" applyFont="1" applyFill="1" applyBorder="1" applyAlignment="1">
      <alignment horizontal="center" vertical="center"/>
    </xf>
    <xf numFmtId="4" fontId="4" fillId="0" borderId="5" xfId="5" applyNumberFormat="1" applyFont="1" applyFill="1" applyBorder="1" applyAlignment="1">
      <alignment horizontal="center" vertical="center"/>
    </xf>
    <xf numFmtId="164" fontId="4" fillId="3" borderId="5" xfId="5" applyNumberFormat="1" applyFont="1" applyFill="1" applyBorder="1" applyAlignment="1">
      <alignment horizontal="center" vertical="center"/>
    </xf>
    <xf numFmtId="164" fontId="16" fillId="4" borderId="9" xfId="5" applyNumberFormat="1" applyFont="1" applyFill="1" applyBorder="1" applyAlignment="1">
      <alignment horizontal="center" vertical="center"/>
    </xf>
    <xf numFmtId="164" fontId="16" fillId="4" borderId="10" xfId="5" applyNumberFormat="1" applyFont="1" applyFill="1" applyBorder="1" applyAlignment="1">
      <alignment horizontal="center" vertical="center"/>
    </xf>
    <xf numFmtId="0" fontId="4" fillId="3" borderId="9" xfId="0" applyFont="1" applyFill="1" applyBorder="1" applyAlignment="1">
      <alignment horizontal="left" vertical="center" wrapText="1"/>
    </xf>
    <xf numFmtId="0" fontId="4" fillId="3" borderId="10" xfId="0" applyFont="1" applyFill="1" applyBorder="1" applyAlignment="1">
      <alignment horizontal="left" vertical="center" wrapText="1"/>
    </xf>
    <xf numFmtId="0" fontId="4" fillId="3" borderId="11" xfId="0" applyFont="1" applyFill="1" applyBorder="1" applyAlignment="1">
      <alignment horizontal="left" vertical="center" wrapText="1"/>
    </xf>
    <xf numFmtId="0" fontId="3" fillId="2" borderId="0" xfId="3" applyFont="1" applyFill="1" applyAlignment="1">
      <alignment horizontal="center" vertical="center"/>
    </xf>
    <xf numFmtId="0" fontId="5" fillId="2" borderId="0" xfId="3" applyFont="1" applyFill="1" applyAlignment="1">
      <alignment horizontal="center" vertical="center"/>
    </xf>
    <xf numFmtId="0" fontId="3" fillId="2" borderId="0" xfId="3" applyFont="1" applyFill="1" applyAlignment="1">
      <alignment horizontal="left" vertical="center" wrapText="1"/>
    </xf>
    <xf numFmtId="0" fontId="7" fillId="0" borderId="7" xfId="3" applyFont="1" applyBorder="1" applyAlignment="1">
      <alignment horizontal="left" vertical="center" wrapText="1"/>
    </xf>
    <xf numFmtId="0" fontId="7" fillId="0" borderId="0" xfId="3" applyFont="1" applyAlignment="1">
      <alignment horizontal="left" vertical="center" wrapText="1"/>
    </xf>
    <xf numFmtId="0" fontId="7" fillId="0" borderId="8" xfId="3" applyFont="1" applyBorder="1" applyAlignment="1">
      <alignment horizontal="left" vertical="center" wrapText="1"/>
    </xf>
    <xf numFmtId="0" fontId="7" fillId="0" borderId="4" xfId="3" applyFont="1" applyBorder="1" applyAlignment="1">
      <alignment horizontal="left" vertical="center" wrapText="1"/>
    </xf>
    <xf numFmtId="0" fontId="7" fillId="0" borderId="5" xfId="3" applyFont="1" applyBorder="1" applyAlignment="1">
      <alignment horizontal="left" vertical="center" wrapText="1"/>
    </xf>
    <xf numFmtId="0" fontId="7" fillId="0" borderId="6" xfId="3" applyFont="1" applyBorder="1" applyAlignment="1">
      <alignment horizontal="left" vertical="center" wrapText="1"/>
    </xf>
    <xf numFmtId="0" fontId="23" fillId="0" borderId="0" xfId="0" applyFont="1" applyAlignment="1">
      <alignment horizontal="center" vertical="center" wrapText="1"/>
    </xf>
    <xf numFmtId="0" fontId="14" fillId="2" borderId="0" xfId="3" applyFont="1" applyFill="1" applyAlignment="1">
      <alignment horizontal="center" vertical="center"/>
    </xf>
    <xf numFmtId="3" fontId="11" fillId="4" borderId="1" xfId="4" applyNumberFormat="1" applyFont="1" applyFill="1" applyBorder="1" applyAlignment="1">
      <alignment horizontal="center" vertical="center" wrapText="1"/>
    </xf>
    <xf numFmtId="3" fontId="11" fillId="4" borderId="2" xfId="4" applyNumberFormat="1" applyFont="1" applyFill="1" applyBorder="1" applyAlignment="1">
      <alignment horizontal="center" vertical="center"/>
    </xf>
    <xf numFmtId="3" fontId="11" fillId="4" borderId="9" xfId="4" applyNumberFormat="1" applyFont="1" applyFill="1" applyBorder="1" applyAlignment="1">
      <alignment horizontal="center" vertical="center" wrapText="1"/>
    </xf>
    <xf numFmtId="3" fontId="11" fillId="4" borderId="10" xfId="4" applyNumberFormat="1" applyFont="1" applyFill="1" applyBorder="1" applyAlignment="1">
      <alignment horizontal="center" vertical="center"/>
    </xf>
    <xf numFmtId="3" fontId="11" fillId="4" borderId="11" xfId="4" applyNumberFormat="1" applyFont="1" applyFill="1" applyBorder="1" applyAlignment="1">
      <alignment horizontal="center" vertical="center"/>
    </xf>
    <xf numFmtId="0" fontId="4" fillId="0" borderId="9" xfId="0" applyFont="1" applyBorder="1" applyAlignment="1">
      <alignment horizontal="left" vertical="center" wrapText="1"/>
    </xf>
    <xf numFmtId="0" fontId="4" fillId="0" borderId="10" xfId="0" applyFont="1" applyBorder="1" applyAlignment="1">
      <alignment horizontal="left" vertical="center" wrapText="1"/>
    </xf>
    <xf numFmtId="0" fontId="4" fillId="0" borderId="11" xfId="0" applyFont="1" applyBorder="1" applyAlignment="1">
      <alignment horizontal="left" vertical="center" wrapText="1"/>
    </xf>
  </cellXfs>
  <cellStyles count="6">
    <cellStyle name="Millares" xfId="1" builtinId="3"/>
    <cellStyle name="Millares 2 3" xfId="5" xr:uid="{91F79B58-C3C6-403F-A8E9-4300BB98F3CB}"/>
    <cellStyle name="Normal" xfId="0" builtinId="0"/>
    <cellStyle name="Normal 4 3" xfId="3" xr:uid="{D267B31E-527F-4464-A87D-B67EB82B966C}"/>
    <cellStyle name="Porcentaje" xfId="2" builtinId="5"/>
    <cellStyle name="TEXTO NORMAL" xfId="4" xr:uid="{EDAE4161-A78A-4A5B-A559-60E5C027FF5D}"/>
  </cellStyles>
  <dxfs count="1">
    <dxf>
      <fill>
        <patternFill patternType="none"/>
      </fill>
    </dxf>
  </dxfs>
  <tableStyles count="0" defaultTableStyle="TableStyleMedium2" defaultPivotStyle="PivotStyleLight16"/>
  <colors>
    <mruColors>
      <color rgb="FFCFAFE7"/>
      <color rgb="FFC000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barChart>
        <c:barDir val="col"/>
        <c:grouping val="clustered"/>
        <c:varyColors val="0"/>
        <c:ser>
          <c:idx val="0"/>
          <c:order val="0"/>
          <c:spPr>
            <a:solidFill>
              <a:srgbClr val="C00000">
                <a:alpha val="30196"/>
              </a:srgbClr>
            </a:solidFill>
          </c:spPr>
          <c:invertIfNegative val="0"/>
          <c:dPt>
            <c:idx val="7"/>
            <c:invertIfNegative val="0"/>
            <c:bubble3D val="0"/>
            <c:extLst>
              <c:ext xmlns:c16="http://schemas.microsoft.com/office/drawing/2014/chart" uri="{C3380CC4-5D6E-409C-BE32-E72D297353CC}">
                <c16:uniqueId val="{00000000-9898-4371-A9E4-B533EE1B1C1E}"/>
              </c:ext>
            </c:extLst>
          </c:dPt>
          <c:dPt>
            <c:idx val="10"/>
            <c:invertIfNegative val="0"/>
            <c:bubble3D val="0"/>
            <c:spPr>
              <a:solidFill>
                <a:srgbClr val="C00000"/>
              </a:solidFill>
            </c:spPr>
            <c:extLst>
              <c:ext xmlns:c16="http://schemas.microsoft.com/office/drawing/2014/chart" uri="{C3380CC4-5D6E-409C-BE32-E72D297353CC}">
                <c16:uniqueId val="{00000002-045B-4CAF-9900-496C0291835D}"/>
              </c:ext>
            </c:extLst>
          </c:dPt>
          <c:dLbls>
            <c:dLbl>
              <c:idx val="10"/>
              <c:spPr>
                <a:noFill/>
                <a:ln>
                  <a:noFill/>
                </a:ln>
                <a:effectLst/>
              </c:spPr>
              <c:txPr>
                <a:bodyPr/>
                <a:lstStyle/>
                <a:p>
                  <a:pPr>
                    <a:defRPr sz="1100" b="1"/>
                  </a:pPr>
                  <a:endParaRPr lang="es-PE"/>
                </a:p>
              </c:txPr>
              <c:dLblPos val="outEnd"/>
              <c:showLegendKey val="0"/>
              <c:showVal val="1"/>
              <c:showCatName val="0"/>
              <c:showSerName val="0"/>
              <c:showPercent val="0"/>
              <c:showBubbleSize val="0"/>
              <c:extLst>
                <c:ext xmlns:c16="http://schemas.microsoft.com/office/drawing/2014/chart" uri="{C3380CC4-5D6E-409C-BE32-E72D297353CC}">
                  <c16:uniqueId val="{00000002-045B-4CAF-9900-496C0291835D}"/>
                </c:ext>
              </c:extLst>
            </c:dLbl>
            <c:spPr>
              <a:noFill/>
              <a:ln>
                <a:noFill/>
              </a:ln>
              <a:effectLst/>
            </c:sp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'S01.C01'!$C$27:$C$37</c:f>
              <c:strCache>
                <c:ptCount val="11"/>
                <c:pt idx="0">
                  <c:v>2016</c:v>
                </c:pt>
                <c:pt idx="1">
                  <c:v>2017</c:v>
                </c:pt>
                <c:pt idx="2">
                  <c:v>2018</c:v>
                </c:pt>
                <c:pt idx="3">
                  <c:v>2019</c:v>
                </c:pt>
                <c:pt idx="4">
                  <c:v>2020</c:v>
                </c:pt>
                <c:pt idx="5">
                  <c:v>2021</c:v>
                </c:pt>
                <c:pt idx="6">
                  <c:v>2022</c:v>
                </c:pt>
                <c:pt idx="7">
                  <c:v>2023</c:v>
                </c:pt>
                <c:pt idx="8">
                  <c:v>2024</c:v>
                </c:pt>
                <c:pt idx="9">
                  <c:v>2025</c:v>
                </c:pt>
                <c:pt idx="10">
                  <c:v>2026
(Ene-Jun)
(Jan-Jun)</c:v>
                </c:pt>
              </c:strCache>
            </c:strRef>
          </c:cat>
          <c:val>
            <c:numRef>
              <c:f>'S01.C01'!$Q$27:$Q$37</c:f>
              <c:numCache>
                <c:formatCode>#,##0</c:formatCode>
                <c:ptCount val="11"/>
                <c:pt idx="0">
                  <c:v>2352.9595047380653</c:v>
                </c:pt>
                <c:pt idx="1">
                  <c:v>2440.1811105834286</c:v>
                </c:pt>
                <c:pt idx="2">
                  <c:v>2416.8811002070697</c:v>
                </c:pt>
                <c:pt idx="3">
                  <c:v>2437.9253739027731</c:v>
                </c:pt>
                <c:pt idx="4">
                  <c:v>2150.1259121219628</c:v>
                </c:pt>
                <c:pt idx="5">
                  <c:v>2326.0353089323735</c:v>
                </c:pt>
                <c:pt idx="6">
                  <c:v>2445.2708303173977</c:v>
                </c:pt>
                <c:pt idx="7">
                  <c:v>2755.2443167853276</c:v>
                </c:pt>
                <c:pt idx="8">
                  <c:v>2736.2371072517244</c:v>
                </c:pt>
                <c:pt idx="9">
                  <c:v>2765.9945368234012</c:v>
                </c:pt>
                <c:pt idx="10">
                  <c:v>1362.5995386438963</c:v>
                </c:pt>
              </c:numCache>
            </c:numRef>
          </c:val>
          <c:extLst>
            <c:ext xmlns:c16="http://schemas.microsoft.com/office/drawing/2014/chart" uri="{C3380CC4-5D6E-409C-BE32-E72D297353CC}">
              <c16:uniqueId val="{00000003-9898-4371-A9E4-B533EE1B1C1E}"/>
            </c:ext>
          </c:extLst>
        </c:ser>
        <c:dLbls>
          <c:dLblPos val="outEnd"/>
          <c:showLegendKey val="0"/>
          <c:showVal val="1"/>
          <c:showCatName val="0"/>
          <c:showSerName val="0"/>
          <c:showPercent val="0"/>
          <c:showBubbleSize val="0"/>
        </c:dLbls>
        <c:gapWidth val="150"/>
        <c:axId val="173291776"/>
        <c:axId val="173301760"/>
      </c:barChart>
      <c:catAx>
        <c:axId val="173291776"/>
        <c:scaling>
          <c:orientation val="minMax"/>
        </c:scaling>
        <c:delete val="0"/>
        <c:axPos val="b"/>
        <c:numFmt formatCode="General" sourceLinked="0"/>
        <c:majorTickMark val="out"/>
        <c:minorTickMark val="none"/>
        <c:tickLblPos val="nextTo"/>
        <c:crossAx val="173301760"/>
        <c:crosses val="autoZero"/>
        <c:auto val="1"/>
        <c:lblAlgn val="ctr"/>
        <c:lblOffset val="100"/>
        <c:noMultiLvlLbl val="0"/>
      </c:catAx>
      <c:valAx>
        <c:axId val="173301760"/>
        <c:scaling>
          <c:orientation val="minMax"/>
        </c:scaling>
        <c:delete val="0"/>
        <c:axPos val="l"/>
        <c:numFmt formatCode="#,##0" sourceLinked="1"/>
        <c:majorTickMark val="out"/>
        <c:minorTickMark val="none"/>
        <c:tickLblPos val="nextTo"/>
        <c:crossAx val="173291776"/>
        <c:crosses val="autoZero"/>
        <c:crossBetween val="between"/>
        <c:majorUnit val="1000"/>
      </c:valAx>
    </c:plotArea>
    <c:plotVisOnly val="1"/>
    <c:dispBlanksAs val="gap"/>
    <c:showDLblsOverMax val="0"/>
  </c:chart>
  <c:spPr>
    <a:ln>
      <a:noFill/>
    </a:ln>
  </c:spPr>
  <c:txPr>
    <a:bodyPr/>
    <a:lstStyle/>
    <a:p>
      <a:pPr>
        <a:defRPr>
          <a:latin typeface="+mj-lt"/>
        </a:defRPr>
      </a:pPr>
      <a:endParaRPr lang="es-PE"/>
    </a:p>
  </c:txPr>
  <c:printSettings>
    <c:headerFooter/>
    <c:pageMargins b="0.75" l="0.7" r="0.7" t="0.75" header="0.3" footer="0.3"/>
    <c:pageSetup orientation="portrait"/>
  </c:printSettings>
</c:chartSpac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2</xdr:col>
      <xdr:colOff>63207</xdr:colOff>
      <xdr:row>63</xdr:row>
      <xdr:rowOff>19050</xdr:rowOff>
    </xdr:from>
    <xdr:to>
      <xdr:col>15</xdr:col>
      <xdr:colOff>542924</xdr:colOff>
      <xdr:row>70</xdr:row>
      <xdr:rowOff>1</xdr:rowOff>
    </xdr:to>
    <xdr:graphicFrame macro="">
      <xdr:nvGraphicFramePr>
        <xdr:cNvPr id="2" name="2 Gráfico">
          <a:extLst>
            <a:ext uri="{FF2B5EF4-FFF2-40B4-BE49-F238E27FC236}">
              <a16:creationId xmlns:a16="http://schemas.microsoft.com/office/drawing/2014/main" id="{7A05BD03-B28A-43AA-BB20-4FA32B326AF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A3D1A5-1E2C-4C4B-962C-18DF0D6A85A6}">
  <sheetPr>
    <tabColor rgb="FFC00000"/>
    <pageSetUpPr fitToPage="1"/>
  </sheetPr>
  <dimension ref="C3:AJ72"/>
  <sheetViews>
    <sheetView showGridLines="0" tabSelected="1" view="pageBreakPreview" zoomScaleNormal="100" zoomScaleSheetLayoutView="100" workbookViewId="0">
      <pane ySplit="9" topLeftCell="A10" activePane="bottomLeft" state="frozen"/>
      <selection activeCell="H9" sqref="H9"/>
      <selection pane="bottomLeft"/>
    </sheetView>
  </sheetViews>
  <sheetFormatPr baseColWidth="10" defaultColWidth="11.42578125" defaultRowHeight="12.75" x14ac:dyDescent="0.25"/>
  <cols>
    <col min="1" max="2" width="2.7109375" style="2" customWidth="1"/>
    <col min="3" max="3" width="12.85546875" style="38" customWidth="1"/>
    <col min="4" max="4" width="12.42578125" style="2" customWidth="1"/>
    <col min="5" max="5" width="13.28515625" style="2" bestFit="1" customWidth="1"/>
    <col min="6" max="16" width="12.42578125" style="2" customWidth="1"/>
    <col min="17" max="17" width="2.42578125" style="8" customWidth="1"/>
    <col min="18" max="18" width="11.42578125" style="2"/>
    <col min="19" max="19" width="12.42578125" style="2" bestFit="1" customWidth="1"/>
    <col min="20" max="20" width="14.42578125" style="2" bestFit="1" customWidth="1"/>
    <col min="21" max="22" width="12.42578125" style="2" bestFit="1" customWidth="1"/>
    <col min="23" max="23" width="11.5703125" style="2" bestFit="1" customWidth="1"/>
    <col min="24" max="24" width="13.42578125" style="2" bestFit="1" customWidth="1"/>
    <col min="25" max="26" width="11.5703125" style="2" bestFit="1" customWidth="1"/>
    <col min="27" max="27" width="11.42578125" style="2"/>
    <col min="28" max="28" width="11.5703125" style="2" bestFit="1" customWidth="1"/>
    <col min="29" max="29" width="13.42578125" style="2" bestFit="1" customWidth="1"/>
    <col min="30" max="32" width="11.5703125" style="2" bestFit="1" customWidth="1"/>
    <col min="33" max="33" width="12.42578125" style="2" bestFit="1" customWidth="1"/>
    <col min="34" max="35" width="11.5703125" style="2" bestFit="1" customWidth="1"/>
    <col min="36" max="16384" width="11.42578125" style="2"/>
  </cols>
  <sheetData>
    <row r="3" spans="3:17" ht="15.75" customHeight="1" x14ac:dyDescent="0.25">
      <c r="C3" s="233" t="s">
        <v>0</v>
      </c>
      <c r="D3" s="233"/>
      <c r="E3" s="233"/>
      <c r="F3" s="233"/>
      <c r="G3" s="233"/>
      <c r="H3" s="233"/>
      <c r="I3" s="233"/>
      <c r="J3" s="233"/>
      <c r="K3" s="233"/>
      <c r="L3" s="233"/>
      <c r="M3" s="233"/>
      <c r="N3" s="233"/>
      <c r="O3" s="233"/>
      <c r="P3" s="233"/>
      <c r="Q3" s="1"/>
    </row>
    <row r="4" spans="3:17" ht="14.25" customHeight="1" x14ac:dyDescent="0.25">
      <c r="C4" s="234" t="s">
        <v>1</v>
      </c>
      <c r="D4" s="234"/>
      <c r="E4" s="234"/>
      <c r="F4" s="234"/>
      <c r="G4" s="234"/>
      <c r="H4" s="234"/>
      <c r="I4" s="234"/>
      <c r="J4" s="234"/>
      <c r="K4" s="234"/>
      <c r="L4" s="234"/>
      <c r="M4" s="234"/>
      <c r="N4" s="234"/>
      <c r="O4" s="234"/>
      <c r="P4" s="234"/>
      <c r="Q4" s="3"/>
    </row>
    <row r="5" spans="3:17" ht="9" customHeight="1" x14ac:dyDescent="0.25">
      <c r="C5" s="202"/>
      <c r="D5" s="5"/>
      <c r="E5" s="5"/>
      <c r="F5" s="5"/>
      <c r="G5" s="5"/>
      <c r="H5" s="6"/>
      <c r="I5" s="7"/>
      <c r="J5" s="6"/>
      <c r="K5" s="5"/>
      <c r="L5" s="5"/>
      <c r="M5" s="5"/>
      <c r="N5" s="5"/>
      <c r="O5" s="5"/>
      <c r="P5" s="5"/>
    </row>
    <row r="6" spans="3:17" ht="14.45" customHeight="1" x14ac:dyDescent="0.25">
      <c r="C6" s="235" t="s">
        <v>2</v>
      </c>
      <c r="D6" s="235"/>
      <c r="E6" s="235"/>
      <c r="F6" s="235"/>
      <c r="G6" s="235"/>
      <c r="H6" s="235"/>
      <c r="I6" s="235"/>
      <c r="J6" s="235"/>
      <c r="K6" s="235"/>
      <c r="L6" s="9"/>
      <c r="M6" s="9"/>
      <c r="N6" s="9"/>
      <c r="O6" s="9"/>
      <c r="P6" s="9"/>
    </row>
    <row r="7" spans="3:17" ht="14.45" customHeight="1" x14ac:dyDescent="0.25">
      <c r="C7" s="10" t="s">
        <v>3</v>
      </c>
      <c r="D7" s="9"/>
      <c r="E7" s="9"/>
      <c r="F7" s="9"/>
      <c r="G7" s="9"/>
      <c r="H7" s="9"/>
      <c r="I7" s="9"/>
      <c r="J7" s="9"/>
      <c r="K7" s="9"/>
      <c r="L7" s="9"/>
      <c r="M7" s="9"/>
      <c r="N7" s="9"/>
      <c r="O7" s="9"/>
      <c r="P7" s="9"/>
    </row>
    <row r="8" spans="3:17" x14ac:dyDescent="0.25">
      <c r="C8" s="5"/>
      <c r="D8" s="5"/>
      <c r="E8" s="5"/>
      <c r="F8" s="5"/>
      <c r="G8" s="5"/>
      <c r="H8" s="5"/>
      <c r="I8" s="5"/>
      <c r="J8" s="5"/>
      <c r="K8" s="5"/>
      <c r="L8" s="5"/>
      <c r="M8" s="5"/>
      <c r="N8" s="5"/>
      <c r="O8" s="5"/>
      <c r="P8" s="5"/>
    </row>
    <row r="9" spans="3:17" s="15" customFormat="1" ht="29.25" customHeight="1" x14ac:dyDescent="0.25">
      <c r="C9" s="11" t="s">
        <v>4</v>
      </c>
      <c r="D9" s="12" t="s">
        <v>5</v>
      </c>
      <c r="E9" s="12" t="s">
        <v>6</v>
      </c>
      <c r="F9" s="12" t="s">
        <v>7</v>
      </c>
      <c r="G9" s="12" t="s">
        <v>8</v>
      </c>
      <c r="H9" s="12" t="s">
        <v>9</v>
      </c>
      <c r="I9" s="12" t="s">
        <v>10</v>
      </c>
      <c r="J9" s="12" t="s">
        <v>11</v>
      </c>
      <c r="K9" s="12" t="s">
        <v>12</v>
      </c>
      <c r="L9" s="12" t="s">
        <v>13</v>
      </c>
      <c r="M9" s="12" t="s">
        <v>14</v>
      </c>
      <c r="N9" s="12" t="s">
        <v>15</v>
      </c>
      <c r="O9" s="12" t="s">
        <v>16</v>
      </c>
      <c r="P9" s="13" t="s">
        <v>17</v>
      </c>
      <c r="Q9" s="14"/>
    </row>
    <row r="10" spans="3:17" ht="24" x14ac:dyDescent="0.25">
      <c r="C10" s="16"/>
      <c r="D10" s="17" t="s">
        <v>18</v>
      </c>
      <c r="E10" s="17" t="s">
        <v>19</v>
      </c>
      <c r="F10" s="17" t="s">
        <v>18</v>
      </c>
      <c r="G10" s="17" t="s">
        <v>20</v>
      </c>
      <c r="H10" s="17" t="s">
        <v>18</v>
      </c>
      <c r="I10" s="17" t="s">
        <v>18</v>
      </c>
      <c r="J10" s="17" t="s">
        <v>18</v>
      </c>
      <c r="K10" s="17" t="s">
        <v>18</v>
      </c>
      <c r="L10" s="17" t="s">
        <v>18</v>
      </c>
      <c r="M10" s="17" t="s">
        <v>18</v>
      </c>
      <c r="N10" s="17" t="s">
        <v>18</v>
      </c>
      <c r="O10" s="17" t="s">
        <v>18</v>
      </c>
      <c r="P10" s="18" t="s">
        <v>18</v>
      </c>
    </row>
    <row r="11" spans="3:17" x14ac:dyDescent="0.25">
      <c r="C11" s="19">
        <v>2000</v>
      </c>
      <c r="D11" s="20">
        <v>553924</v>
      </c>
      <c r="E11" s="20">
        <v>132585078.00000001</v>
      </c>
      <c r="F11" s="20">
        <v>910303</v>
      </c>
      <c r="G11" s="20">
        <v>2437706</v>
      </c>
      <c r="H11" s="20">
        <v>270576</v>
      </c>
      <c r="I11" s="20">
        <v>2812784.7804642497</v>
      </c>
      <c r="J11" s="20">
        <v>37410</v>
      </c>
      <c r="K11" s="20">
        <v>7193</v>
      </c>
      <c r="L11" s="20" t="s">
        <v>21</v>
      </c>
      <c r="M11" s="20" t="s">
        <v>21</v>
      </c>
      <c r="N11" s="20" t="s">
        <v>21</v>
      </c>
      <c r="O11" s="20" t="s">
        <v>21</v>
      </c>
      <c r="P11" s="21" t="s">
        <v>21</v>
      </c>
    </row>
    <row r="12" spans="3:17" x14ac:dyDescent="0.25">
      <c r="C12" s="19">
        <v>2001</v>
      </c>
      <c r="D12" s="20">
        <v>722355.34555900015</v>
      </c>
      <c r="E12" s="20">
        <v>138522109.261338</v>
      </c>
      <c r="F12" s="20">
        <v>1056629.375614</v>
      </c>
      <c r="G12" s="20">
        <v>2571113.7884550001</v>
      </c>
      <c r="H12" s="20">
        <v>289546.06610700005</v>
      </c>
      <c r="I12" s="20">
        <v>3038401.494655</v>
      </c>
      <c r="J12" s="20">
        <v>38182.076774000001</v>
      </c>
      <c r="K12" s="20">
        <v>9499.2289039999996</v>
      </c>
      <c r="L12" s="20" t="s">
        <v>21</v>
      </c>
      <c r="M12" s="20" t="s">
        <v>21</v>
      </c>
      <c r="N12" s="20" t="s">
        <v>21</v>
      </c>
      <c r="O12" s="20" t="s">
        <v>21</v>
      </c>
      <c r="P12" s="21" t="s">
        <v>21</v>
      </c>
    </row>
    <row r="13" spans="3:17" x14ac:dyDescent="0.25">
      <c r="C13" s="19">
        <v>2002</v>
      </c>
      <c r="D13" s="20">
        <v>844552.87496099994</v>
      </c>
      <c r="E13" s="20">
        <v>157529918.53579301</v>
      </c>
      <c r="F13" s="20">
        <v>1232996.9204689998</v>
      </c>
      <c r="G13" s="20">
        <v>2869638.9847490001</v>
      </c>
      <c r="H13" s="20">
        <v>305650.71951300005</v>
      </c>
      <c r="I13" s="20">
        <v>3056055.2522</v>
      </c>
      <c r="J13" s="20">
        <v>38815.044966000001</v>
      </c>
      <c r="K13" s="20">
        <v>8612.8507310000005</v>
      </c>
      <c r="L13" s="20" t="s">
        <v>21</v>
      </c>
      <c r="M13" s="20" t="s">
        <v>21</v>
      </c>
      <c r="N13" s="20" t="s">
        <v>21</v>
      </c>
      <c r="O13" s="20" t="s">
        <v>21</v>
      </c>
      <c r="P13" s="21" t="s">
        <v>21</v>
      </c>
    </row>
    <row r="14" spans="3:17" x14ac:dyDescent="0.25">
      <c r="C14" s="19">
        <v>2003</v>
      </c>
      <c r="D14" s="20">
        <v>842605.07863000024</v>
      </c>
      <c r="E14" s="20">
        <v>172624629.84419996</v>
      </c>
      <c r="F14" s="20">
        <v>1373792.267121</v>
      </c>
      <c r="G14" s="20">
        <v>2923686.4022500003</v>
      </c>
      <c r="H14" s="20">
        <v>309163.88219000009</v>
      </c>
      <c r="I14" s="20">
        <v>3484900.3702520002</v>
      </c>
      <c r="J14" s="20">
        <v>40202.178839999993</v>
      </c>
      <c r="K14" s="20">
        <v>9589.5781260000003</v>
      </c>
      <c r="L14" s="20" t="s">
        <v>21</v>
      </c>
      <c r="M14" s="20" t="s">
        <v>21</v>
      </c>
      <c r="N14" s="20" t="s">
        <v>21</v>
      </c>
      <c r="O14" s="20" t="s">
        <v>21</v>
      </c>
      <c r="P14" s="21" t="s">
        <v>21</v>
      </c>
    </row>
    <row r="15" spans="3:17" x14ac:dyDescent="0.25">
      <c r="C15" s="19">
        <v>2004</v>
      </c>
      <c r="D15" s="20">
        <v>1035574.04973</v>
      </c>
      <c r="E15" s="20">
        <v>173223817.38585296</v>
      </c>
      <c r="F15" s="20">
        <v>1209005.7091610003</v>
      </c>
      <c r="G15" s="20">
        <v>3059961.8968920005</v>
      </c>
      <c r="H15" s="20">
        <v>306210.77793799998</v>
      </c>
      <c r="I15" s="20">
        <v>4247173.7726000007</v>
      </c>
      <c r="J15" s="20">
        <v>41613.363517999998</v>
      </c>
      <c r="K15" s="20">
        <v>14246.326868</v>
      </c>
      <c r="L15" s="20" t="s">
        <v>21</v>
      </c>
      <c r="M15" s="20" t="s">
        <v>21</v>
      </c>
      <c r="N15" s="20" t="s">
        <v>21</v>
      </c>
      <c r="O15" s="20" t="s">
        <v>21</v>
      </c>
      <c r="P15" s="21" t="s">
        <v>21</v>
      </c>
    </row>
    <row r="16" spans="3:17" x14ac:dyDescent="0.25">
      <c r="C16" s="19">
        <v>2005</v>
      </c>
      <c r="D16" s="20">
        <v>1009897.918423</v>
      </c>
      <c r="E16" s="20">
        <v>208001717.81876829</v>
      </c>
      <c r="F16" s="20">
        <v>1201670.9143999997</v>
      </c>
      <c r="G16" s="20">
        <v>3193145.5305729993</v>
      </c>
      <c r="H16" s="20">
        <v>319344.80289899989</v>
      </c>
      <c r="I16" s="20">
        <v>4564989.1370999999</v>
      </c>
      <c r="J16" s="20">
        <v>42144.586211000002</v>
      </c>
      <c r="K16" s="20">
        <v>17325.373315000004</v>
      </c>
      <c r="L16" s="20" t="s">
        <v>21</v>
      </c>
      <c r="M16" s="20" t="s">
        <v>21</v>
      </c>
      <c r="N16" s="20" t="s">
        <v>21</v>
      </c>
      <c r="O16" s="20" t="s">
        <v>21</v>
      </c>
      <c r="P16" s="21" t="s">
        <v>21</v>
      </c>
    </row>
    <row r="17" spans="3:36" x14ac:dyDescent="0.25">
      <c r="C17" s="19">
        <v>2006</v>
      </c>
      <c r="D17" s="20">
        <v>1048472.4635900002</v>
      </c>
      <c r="E17" s="20">
        <v>202825998.65453294</v>
      </c>
      <c r="F17" s="20">
        <v>1203364.0679980002</v>
      </c>
      <c r="G17" s="20">
        <v>3470661.2430209992</v>
      </c>
      <c r="H17" s="20">
        <v>313332.28608800005</v>
      </c>
      <c r="I17" s="20">
        <v>4784600.5820000004</v>
      </c>
      <c r="J17" s="20">
        <v>38469.547186000011</v>
      </c>
      <c r="K17" s="20">
        <v>17209.346067999999</v>
      </c>
      <c r="L17" s="20" t="s">
        <v>21</v>
      </c>
      <c r="M17" s="20" t="s">
        <v>21</v>
      </c>
      <c r="N17" s="20" t="s">
        <v>21</v>
      </c>
      <c r="O17" s="20" t="s">
        <v>21</v>
      </c>
      <c r="P17" s="21" t="s">
        <v>21</v>
      </c>
    </row>
    <row r="18" spans="3:36" x14ac:dyDescent="0.25">
      <c r="C18" s="19">
        <v>2007</v>
      </c>
      <c r="D18" s="20">
        <v>1190273.6039159999</v>
      </c>
      <c r="E18" s="20">
        <v>170127538.95581597</v>
      </c>
      <c r="F18" s="20">
        <v>1444361.4378260002</v>
      </c>
      <c r="G18" s="20">
        <v>3501461.9256330007</v>
      </c>
      <c r="H18" s="20">
        <v>329164.77903499996</v>
      </c>
      <c r="I18" s="20">
        <v>5103597.2635999992</v>
      </c>
      <c r="J18" s="20">
        <v>39018.915689000001</v>
      </c>
      <c r="K18" s="20">
        <v>16786.886077000003</v>
      </c>
      <c r="L18" s="20" t="s">
        <v>21</v>
      </c>
      <c r="M18" s="20" t="s">
        <v>21</v>
      </c>
      <c r="N18" s="20" t="s">
        <v>21</v>
      </c>
      <c r="O18" s="20" t="s">
        <v>21</v>
      </c>
      <c r="P18" s="21" t="s">
        <v>21</v>
      </c>
    </row>
    <row r="19" spans="3:36" x14ac:dyDescent="0.25">
      <c r="C19" s="19">
        <v>2008</v>
      </c>
      <c r="D19" s="20">
        <v>1267866.5800789997</v>
      </c>
      <c r="E19" s="20">
        <v>179870472.99560794</v>
      </c>
      <c r="F19" s="20">
        <v>1602597.0080210003</v>
      </c>
      <c r="G19" s="20">
        <v>3685931.0012759985</v>
      </c>
      <c r="H19" s="20">
        <v>345109.27027199999</v>
      </c>
      <c r="I19" s="20">
        <v>5160707.0164000001</v>
      </c>
      <c r="J19" s="20">
        <v>39037.065935000006</v>
      </c>
      <c r="K19" s="20">
        <v>16720.528117000002</v>
      </c>
      <c r="L19" s="20" t="s">
        <v>21</v>
      </c>
      <c r="M19" s="20" t="s">
        <v>21</v>
      </c>
      <c r="N19" s="20" t="s">
        <v>21</v>
      </c>
      <c r="O19" s="20" t="s">
        <v>21</v>
      </c>
      <c r="P19" s="21" t="s">
        <v>21</v>
      </c>
    </row>
    <row r="20" spans="3:36" x14ac:dyDescent="0.25">
      <c r="C20" s="19">
        <v>2009</v>
      </c>
      <c r="D20" s="20">
        <v>1276249.2028349997</v>
      </c>
      <c r="E20" s="20">
        <v>183994691.50778204</v>
      </c>
      <c r="F20" s="20">
        <v>1512931.0674320005</v>
      </c>
      <c r="G20" s="20">
        <v>3922708.3963299985</v>
      </c>
      <c r="H20" s="20">
        <v>302459.11290999997</v>
      </c>
      <c r="I20" s="20">
        <v>4418768.325600001</v>
      </c>
      <c r="J20" s="20">
        <v>37502.627191</v>
      </c>
      <c r="K20" s="20">
        <v>12297.103142</v>
      </c>
      <c r="L20" s="20" t="s">
        <v>21</v>
      </c>
      <c r="M20" s="20" t="s">
        <v>21</v>
      </c>
      <c r="N20" s="20" t="s">
        <v>21</v>
      </c>
      <c r="O20" s="20" t="s">
        <v>21</v>
      </c>
      <c r="P20" s="21" t="s">
        <v>21</v>
      </c>
    </row>
    <row r="21" spans="3:36" x14ac:dyDescent="0.25">
      <c r="C21" s="19">
        <v>2010</v>
      </c>
      <c r="D21" s="20">
        <v>1247184.0293920001</v>
      </c>
      <c r="E21" s="20">
        <v>164084388.90122896</v>
      </c>
      <c r="F21" s="20">
        <v>1470449.7064990005</v>
      </c>
      <c r="G21" s="20">
        <v>3640465.4641499999</v>
      </c>
      <c r="H21" s="20">
        <v>261989.60579399997</v>
      </c>
      <c r="I21" s="20">
        <v>6042644.2223000005</v>
      </c>
      <c r="J21" s="20">
        <v>33847.813441999999</v>
      </c>
      <c r="K21" s="20">
        <v>16963.268973000002</v>
      </c>
      <c r="L21" s="20" t="s">
        <v>21</v>
      </c>
      <c r="M21" s="20" t="s">
        <v>21</v>
      </c>
      <c r="N21" s="20" t="s">
        <v>21</v>
      </c>
      <c r="O21" s="20" t="s">
        <v>21</v>
      </c>
      <c r="P21" s="21" t="s">
        <v>21</v>
      </c>
    </row>
    <row r="22" spans="3:36" x14ac:dyDescent="0.25">
      <c r="C22" s="19">
        <v>2011</v>
      </c>
      <c r="D22" s="20">
        <v>1235345.068018001</v>
      </c>
      <c r="E22" s="20">
        <v>166186716.98165271</v>
      </c>
      <c r="F22" s="20">
        <v>1256382.6002109998</v>
      </c>
      <c r="G22" s="20">
        <v>3418862.1174220056</v>
      </c>
      <c r="H22" s="20">
        <v>230199.08238500016</v>
      </c>
      <c r="I22" s="20">
        <v>7010937.8915999997</v>
      </c>
      <c r="J22" s="20">
        <v>28881.790965999993</v>
      </c>
      <c r="K22" s="20">
        <v>19141.078052000001</v>
      </c>
      <c r="L22" s="20" t="s">
        <v>21</v>
      </c>
      <c r="M22" s="20" t="s">
        <v>21</v>
      </c>
      <c r="N22" s="20" t="s">
        <v>21</v>
      </c>
      <c r="O22" s="20" t="s">
        <v>21</v>
      </c>
      <c r="P22" s="21" t="s">
        <v>21</v>
      </c>
      <c r="Q22" s="22">
        <f t="shared" ref="Q22:Q37" si="0">D22/1000</f>
        <v>1235.345068018001</v>
      </c>
      <c r="AB22" s="23"/>
      <c r="AC22" s="23"/>
      <c r="AD22" s="23"/>
      <c r="AE22" s="23"/>
      <c r="AF22" s="23"/>
      <c r="AG22" s="23"/>
      <c r="AH22" s="23"/>
      <c r="AI22" s="23"/>
      <c r="AJ22" s="24"/>
    </row>
    <row r="23" spans="3:36" x14ac:dyDescent="0.25">
      <c r="C23" s="19">
        <v>2012</v>
      </c>
      <c r="D23" s="20">
        <v>1289916.9346156276</v>
      </c>
      <c r="E23" s="20">
        <v>153780960.26084191</v>
      </c>
      <c r="F23" s="20">
        <v>1281282.431485241</v>
      </c>
      <c r="G23" s="20">
        <v>3452004.3609873233</v>
      </c>
      <c r="H23" s="20">
        <v>249236.15747171015</v>
      </c>
      <c r="I23" s="20">
        <v>6684539.3918000003</v>
      </c>
      <c r="J23" s="20">
        <v>26104.854505400006</v>
      </c>
      <c r="K23" s="20">
        <v>16790.374244900002</v>
      </c>
      <c r="L23" s="20" t="s">
        <v>21</v>
      </c>
      <c r="M23" s="20" t="s">
        <v>21</v>
      </c>
      <c r="N23" s="20" t="s">
        <v>21</v>
      </c>
      <c r="O23" s="20" t="s">
        <v>21</v>
      </c>
      <c r="P23" s="21" t="s">
        <v>21</v>
      </c>
      <c r="Q23" s="22">
        <f t="shared" si="0"/>
        <v>1289.9169346156277</v>
      </c>
      <c r="R23" s="24"/>
      <c r="AB23" s="23"/>
      <c r="AC23" s="23"/>
      <c r="AD23" s="23"/>
      <c r="AE23" s="23"/>
      <c r="AF23" s="23"/>
      <c r="AG23" s="23"/>
      <c r="AH23" s="23"/>
      <c r="AI23" s="23"/>
    </row>
    <row r="24" spans="3:36" x14ac:dyDescent="0.25">
      <c r="C24" s="19">
        <v>2013</v>
      </c>
      <c r="D24" s="20">
        <v>1363452.9126998207</v>
      </c>
      <c r="E24" s="20">
        <v>143716837.41998193</v>
      </c>
      <c r="F24" s="20">
        <v>1351048.7423302194</v>
      </c>
      <c r="G24" s="20">
        <v>3648503.3400407191</v>
      </c>
      <c r="H24" s="20">
        <v>266312.71547875</v>
      </c>
      <c r="I24" s="20">
        <v>6680658.79</v>
      </c>
      <c r="J24" s="20">
        <v>23667.787451500008</v>
      </c>
      <c r="K24" s="20">
        <v>18139.597244000001</v>
      </c>
      <c r="L24" s="20" t="s">
        <v>21</v>
      </c>
      <c r="M24" s="20" t="s">
        <v>21</v>
      </c>
      <c r="N24" s="20" t="s">
        <v>21</v>
      </c>
      <c r="O24" s="20" t="s">
        <v>21</v>
      </c>
      <c r="P24" s="21" t="s">
        <v>21</v>
      </c>
      <c r="Q24" s="22">
        <f t="shared" si="0"/>
        <v>1363.4529126998207</v>
      </c>
      <c r="R24" s="24"/>
      <c r="AB24" s="23"/>
      <c r="AC24" s="23"/>
      <c r="AD24" s="23"/>
      <c r="AE24" s="23"/>
      <c r="AF24" s="23"/>
      <c r="AG24" s="23"/>
      <c r="AH24" s="23"/>
      <c r="AI24" s="23"/>
    </row>
    <row r="25" spans="3:36" x14ac:dyDescent="0.25">
      <c r="C25" s="19">
        <v>2014</v>
      </c>
      <c r="D25" s="20">
        <v>1377373.7760182077</v>
      </c>
      <c r="E25" s="20">
        <v>129946243.44281495</v>
      </c>
      <c r="F25" s="20">
        <v>1315221.0230463955</v>
      </c>
      <c r="G25" s="20">
        <v>3738279.9180184668</v>
      </c>
      <c r="H25" s="20">
        <v>277116.52714844397</v>
      </c>
      <c r="I25" s="20">
        <v>7192591.9308000002</v>
      </c>
      <c r="J25" s="20">
        <v>23105.261867800007</v>
      </c>
      <c r="K25" s="20">
        <v>17017.692464999996</v>
      </c>
      <c r="L25" s="20" t="s">
        <v>21</v>
      </c>
      <c r="M25" s="20" t="s">
        <v>21</v>
      </c>
      <c r="N25" s="20" t="s">
        <v>21</v>
      </c>
      <c r="O25" s="20" t="s">
        <v>21</v>
      </c>
      <c r="P25" s="21" t="s">
        <v>21</v>
      </c>
      <c r="Q25" s="22">
        <f t="shared" si="0"/>
        <v>1377.3737760182078</v>
      </c>
      <c r="R25" s="24"/>
      <c r="AB25" s="23"/>
      <c r="AC25" s="23"/>
      <c r="AD25" s="23"/>
      <c r="AE25" s="23"/>
      <c r="AF25" s="23"/>
      <c r="AG25" s="23"/>
      <c r="AH25" s="23"/>
      <c r="AI25" s="23"/>
    </row>
    <row r="26" spans="3:36" x14ac:dyDescent="0.25">
      <c r="C26" s="19">
        <v>2015</v>
      </c>
      <c r="D26" s="20">
        <v>1699939.7432781935</v>
      </c>
      <c r="E26" s="20">
        <v>137378305.7952458</v>
      </c>
      <c r="F26" s="20">
        <v>1415823.5863843861</v>
      </c>
      <c r="G26" s="20">
        <v>4071094.9244271382</v>
      </c>
      <c r="H26" s="20">
        <v>314011.10750861233</v>
      </c>
      <c r="I26" s="20">
        <v>7320806.8477000007</v>
      </c>
      <c r="J26" s="20">
        <v>19510.729779199999</v>
      </c>
      <c r="K26" s="20">
        <v>20153.237616000009</v>
      </c>
      <c r="L26" s="20" t="s">
        <v>21</v>
      </c>
      <c r="M26" s="20" t="s">
        <v>21</v>
      </c>
      <c r="N26" s="20" t="s">
        <v>21</v>
      </c>
      <c r="O26" s="20" t="s">
        <v>21</v>
      </c>
      <c r="P26" s="21" t="s">
        <v>21</v>
      </c>
      <c r="Q26" s="22">
        <f t="shared" si="0"/>
        <v>1699.9397432781934</v>
      </c>
      <c r="R26" s="24"/>
      <c r="AB26" s="23"/>
      <c r="AC26" s="23"/>
      <c r="AD26" s="23"/>
      <c r="AE26" s="23"/>
      <c r="AF26" s="23"/>
      <c r="AG26" s="23"/>
      <c r="AH26" s="23"/>
      <c r="AI26" s="23"/>
    </row>
    <row r="27" spans="3:36" x14ac:dyDescent="0.25">
      <c r="C27" s="19">
        <v>2016</v>
      </c>
      <c r="D27" s="20">
        <v>2352959.5047380654</v>
      </c>
      <c r="E27" s="20">
        <v>142230636.69316867</v>
      </c>
      <c r="F27" s="20">
        <v>1329178.0227656392</v>
      </c>
      <c r="G27" s="20">
        <v>4329179.7629066529</v>
      </c>
      <c r="H27" s="20">
        <v>312806.40109176951</v>
      </c>
      <c r="I27" s="20">
        <v>7663123.9877000004</v>
      </c>
      <c r="J27" s="20">
        <v>18789.0047614</v>
      </c>
      <c r="K27" s="20">
        <v>25756.505005499999</v>
      </c>
      <c r="L27" s="20">
        <v>23251.82108854</v>
      </c>
      <c r="M27" s="20">
        <v>187.59719447999996</v>
      </c>
      <c r="N27" s="20" t="s">
        <v>21</v>
      </c>
      <c r="O27" s="20">
        <v>1194.0643193499998</v>
      </c>
      <c r="P27" s="21" t="s">
        <v>21</v>
      </c>
      <c r="Q27" s="22">
        <f t="shared" si="0"/>
        <v>2352.9595047380653</v>
      </c>
      <c r="R27" s="24"/>
      <c r="AB27" s="23"/>
      <c r="AC27" s="23"/>
      <c r="AD27" s="23"/>
      <c r="AE27" s="23"/>
      <c r="AF27" s="23"/>
      <c r="AG27" s="23"/>
      <c r="AH27" s="23"/>
      <c r="AI27" s="23"/>
    </row>
    <row r="28" spans="3:36" x14ac:dyDescent="0.25">
      <c r="C28" s="19">
        <v>2017</v>
      </c>
      <c r="D28" s="20">
        <v>2440181.1105834288</v>
      </c>
      <c r="E28" s="20">
        <v>138425832.76156646</v>
      </c>
      <c r="F28" s="20">
        <v>1466521.468671351</v>
      </c>
      <c r="G28" s="20">
        <v>4318324.2784375055</v>
      </c>
      <c r="H28" s="20">
        <v>305279.59941443987</v>
      </c>
      <c r="I28" s="20">
        <v>8668091.618999999</v>
      </c>
      <c r="J28" s="20">
        <v>17790.363566100001</v>
      </c>
      <c r="K28" s="20">
        <v>28141.125214199987</v>
      </c>
      <c r="L28" s="20">
        <v>22403.407244680002</v>
      </c>
      <c r="M28" s="20">
        <v>123.17674860000001</v>
      </c>
      <c r="N28" s="20" t="s">
        <v>21</v>
      </c>
      <c r="O28" s="20">
        <v>1133.2781170000001</v>
      </c>
      <c r="P28" s="21" t="s">
        <v>21</v>
      </c>
      <c r="Q28" s="22">
        <f t="shared" si="0"/>
        <v>2440.1811105834286</v>
      </c>
      <c r="R28" s="24"/>
      <c r="AB28" s="23"/>
      <c r="AC28" s="23"/>
      <c r="AD28" s="23"/>
      <c r="AE28" s="23"/>
      <c r="AF28" s="23"/>
      <c r="AG28" s="23"/>
      <c r="AH28" s="23"/>
      <c r="AI28" s="23"/>
    </row>
    <row r="29" spans="3:36" ht="12" customHeight="1" x14ac:dyDescent="0.25">
      <c r="C29" s="19">
        <v>2018</v>
      </c>
      <c r="D29" s="20">
        <v>2416881.1002070699</v>
      </c>
      <c r="E29" s="20">
        <v>125933914.4370804</v>
      </c>
      <c r="F29" s="20">
        <v>1471845.936649523</v>
      </c>
      <c r="G29" s="20">
        <v>3999990.1319625694</v>
      </c>
      <c r="H29" s="20">
        <v>288796.22529555805</v>
      </c>
      <c r="I29" s="20">
        <v>9096993.8719999995</v>
      </c>
      <c r="J29" s="20">
        <v>18601.344508400005</v>
      </c>
      <c r="K29" s="20">
        <v>27604.218841510006</v>
      </c>
      <c r="L29" s="20">
        <v>20407.598393799999</v>
      </c>
      <c r="M29" s="20">
        <v>145.236144</v>
      </c>
      <c r="N29" s="20" t="s">
        <v>21</v>
      </c>
      <c r="O29" s="20">
        <v>20879.636489500001</v>
      </c>
      <c r="P29" s="21" t="s">
        <v>21</v>
      </c>
      <c r="Q29" s="22">
        <f t="shared" si="0"/>
        <v>2416.8811002070697</v>
      </c>
      <c r="R29" s="24"/>
      <c r="AB29" s="23"/>
      <c r="AC29" s="23"/>
      <c r="AD29" s="23"/>
      <c r="AE29" s="23"/>
      <c r="AF29" s="23"/>
      <c r="AG29" s="23"/>
      <c r="AH29" s="23"/>
      <c r="AI29" s="23"/>
    </row>
    <row r="30" spans="3:36" x14ac:dyDescent="0.25">
      <c r="C30" s="19">
        <v>2019</v>
      </c>
      <c r="D30" s="20">
        <v>2437925.373902773</v>
      </c>
      <c r="E30" s="20">
        <v>113586028.97131993</v>
      </c>
      <c r="F30" s="20">
        <v>1382753.4838439696</v>
      </c>
      <c r="G30" s="20">
        <v>3706760.2491151234</v>
      </c>
      <c r="H30" s="20">
        <v>307020.88310454384</v>
      </c>
      <c r="I30" s="20">
        <v>9666411.8718999997</v>
      </c>
      <c r="J30" s="20">
        <v>19853.168399999995</v>
      </c>
      <c r="K30" s="20">
        <v>30441.359039579998</v>
      </c>
      <c r="L30" s="20">
        <v>24914.734069159997</v>
      </c>
      <c r="M30" s="20">
        <v>72.514848099999995</v>
      </c>
      <c r="N30" s="20" t="s">
        <v>21</v>
      </c>
      <c r="O30" s="20">
        <v>18814.2028421</v>
      </c>
      <c r="P30" s="21" t="s">
        <v>21</v>
      </c>
      <c r="Q30" s="22">
        <f t="shared" si="0"/>
        <v>2437.9253739027731</v>
      </c>
      <c r="R30" s="24"/>
      <c r="AB30" s="23"/>
      <c r="AC30" s="23"/>
      <c r="AD30" s="23"/>
      <c r="AE30" s="23"/>
      <c r="AF30" s="23"/>
      <c r="AG30" s="23"/>
      <c r="AH30" s="23"/>
      <c r="AI30" s="23"/>
    </row>
    <row r="31" spans="3:36" x14ac:dyDescent="0.25">
      <c r="C31" s="19">
        <v>2020</v>
      </c>
      <c r="D31" s="20">
        <v>2150125.9121219628</v>
      </c>
      <c r="E31" s="20">
        <v>85368457.367976174</v>
      </c>
      <c r="F31" s="20">
        <v>1334570.4777680759</v>
      </c>
      <c r="G31" s="20">
        <v>2721461.1368655483</v>
      </c>
      <c r="H31" s="20">
        <v>241547.91303967001</v>
      </c>
      <c r="I31" s="20">
        <v>8893971.5276180003</v>
      </c>
      <c r="J31" s="20">
        <v>20646.581029499997</v>
      </c>
      <c r="K31" s="20">
        <v>32184.625879069805</v>
      </c>
      <c r="L31" s="20">
        <v>19013.894022044497</v>
      </c>
      <c r="M31" s="20">
        <v>73.906293489500015</v>
      </c>
      <c r="N31" s="20">
        <v>235.52044689999997</v>
      </c>
      <c r="O31" s="20">
        <v>10119.873510295998</v>
      </c>
      <c r="P31" s="21" t="s">
        <v>21</v>
      </c>
      <c r="Q31" s="22">
        <f t="shared" si="0"/>
        <v>2150.1259121219628</v>
      </c>
      <c r="R31" s="24"/>
      <c r="AB31" s="23"/>
      <c r="AC31" s="23"/>
      <c r="AD31" s="23"/>
      <c r="AE31" s="23"/>
      <c r="AF31" s="23"/>
      <c r="AG31" s="23"/>
      <c r="AH31" s="23"/>
      <c r="AI31" s="23"/>
    </row>
    <row r="32" spans="3:36" x14ac:dyDescent="0.25">
      <c r="C32" s="19">
        <v>2021</v>
      </c>
      <c r="D32" s="20">
        <v>2326035.3089323733</v>
      </c>
      <c r="E32" s="20">
        <v>97492951.121057257</v>
      </c>
      <c r="F32" s="20">
        <v>1533134.9989912319</v>
      </c>
      <c r="G32" s="20">
        <v>3333632.4494976597</v>
      </c>
      <c r="H32" s="20">
        <v>264426.50705023162</v>
      </c>
      <c r="I32" s="20">
        <v>12149273.526027001</v>
      </c>
      <c r="J32" s="20">
        <v>26995.267701000004</v>
      </c>
      <c r="K32" s="20">
        <v>34148.029036760017</v>
      </c>
      <c r="L32" s="20">
        <v>21876.501141209999</v>
      </c>
      <c r="M32" s="20">
        <v>247.486251065</v>
      </c>
      <c r="N32" s="20">
        <v>278.81457949999998</v>
      </c>
      <c r="O32" s="20">
        <v>11390.682832689996</v>
      </c>
      <c r="P32" s="21" t="s">
        <v>21</v>
      </c>
      <c r="Q32" s="22">
        <f t="shared" si="0"/>
        <v>2326.0353089323735</v>
      </c>
      <c r="R32" s="24"/>
      <c r="AB32" s="23"/>
      <c r="AC32" s="23"/>
      <c r="AD32" s="23"/>
      <c r="AE32" s="23"/>
      <c r="AF32" s="23"/>
      <c r="AG32" s="23"/>
      <c r="AH32" s="23"/>
      <c r="AI32" s="23"/>
    </row>
    <row r="33" spans="3:35" x14ac:dyDescent="0.25">
      <c r="C33" s="19">
        <v>2022</v>
      </c>
      <c r="D33" s="20">
        <v>2445270.8303173976</v>
      </c>
      <c r="E33" s="20">
        <v>96965977.163885579</v>
      </c>
      <c r="F33" s="20">
        <v>1369649.1117797941</v>
      </c>
      <c r="G33" s="20">
        <v>3084038.7076613051</v>
      </c>
      <c r="H33" s="20">
        <v>255442.99715858512</v>
      </c>
      <c r="I33" s="20">
        <v>12936826.381839</v>
      </c>
      <c r="J33" s="20">
        <v>28231.359913</v>
      </c>
      <c r="K33" s="20">
        <v>31587.568951759989</v>
      </c>
      <c r="L33" s="20">
        <v>25378.500620530005</v>
      </c>
      <c r="M33" s="20">
        <v>251.24793746000006</v>
      </c>
      <c r="N33" s="20">
        <v>263.99886950000001</v>
      </c>
      <c r="O33" s="20">
        <v>1169.1241914</v>
      </c>
      <c r="P33" s="21" t="s">
        <v>21</v>
      </c>
      <c r="Q33" s="22">
        <f t="shared" si="0"/>
        <v>2445.2708303173977</v>
      </c>
      <c r="R33" s="24"/>
      <c r="AB33" s="23"/>
      <c r="AC33" s="23"/>
      <c r="AD33" s="23"/>
      <c r="AE33" s="23"/>
      <c r="AF33" s="23"/>
      <c r="AG33" s="23"/>
      <c r="AH33" s="23"/>
      <c r="AI33" s="23"/>
    </row>
    <row r="34" spans="3:35" x14ac:dyDescent="0.25">
      <c r="C34" s="19">
        <v>2023</v>
      </c>
      <c r="D34" s="20">
        <v>2755244.3167853276</v>
      </c>
      <c r="E34" s="20">
        <v>100985631.43873213</v>
      </c>
      <c r="F34" s="20">
        <v>1469127.1631768667</v>
      </c>
      <c r="G34" s="20">
        <v>3041393.6459926581</v>
      </c>
      <c r="H34" s="20">
        <v>273335.49825696991</v>
      </c>
      <c r="I34" s="20">
        <v>12986023.244491</v>
      </c>
      <c r="J34" s="20">
        <v>26230.046980000003</v>
      </c>
      <c r="K34" s="20">
        <v>33475.6190292315</v>
      </c>
      <c r="L34" s="20">
        <v>31161.763995300007</v>
      </c>
      <c r="M34" s="20">
        <v>303.74941249999995</v>
      </c>
      <c r="N34" s="20">
        <v>331.35815600000001</v>
      </c>
      <c r="O34" s="20">
        <v>1326.7171017999999</v>
      </c>
      <c r="P34" s="21">
        <v>22.705695600000002</v>
      </c>
      <c r="Q34" s="22">
        <f t="shared" si="0"/>
        <v>2755.2443167853276</v>
      </c>
      <c r="R34" s="24"/>
      <c r="AB34" s="23"/>
      <c r="AC34" s="23"/>
      <c r="AD34" s="23"/>
      <c r="AE34" s="23"/>
      <c r="AF34" s="23"/>
      <c r="AG34" s="23"/>
      <c r="AH34" s="23"/>
      <c r="AI34" s="23"/>
    </row>
    <row r="35" spans="3:35" x14ac:dyDescent="0.25">
      <c r="C35" s="19">
        <v>2024</v>
      </c>
      <c r="D35" s="20">
        <v>2736237.1072517242</v>
      </c>
      <c r="E35" s="20">
        <v>109624691.96159829</v>
      </c>
      <c r="F35" s="20">
        <v>1270646.954794979</v>
      </c>
      <c r="G35" s="20">
        <v>3512301.3933015401</v>
      </c>
      <c r="H35" s="20">
        <v>291319.62661629292</v>
      </c>
      <c r="I35" s="20">
        <v>13309265.480335999</v>
      </c>
      <c r="J35" s="20">
        <v>32317.234399999998</v>
      </c>
      <c r="K35" s="20">
        <v>41941.797900007798</v>
      </c>
      <c r="L35" s="20">
        <v>32027.784417279996</v>
      </c>
      <c r="M35" s="20">
        <v>265.34277630000003</v>
      </c>
      <c r="N35" s="20">
        <v>317.31784800000003</v>
      </c>
      <c r="O35" s="20">
        <v>24159.249493900003</v>
      </c>
      <c r="P35" s="21">
        <v>40.573911600000002</v>
      </c>
      <c r="Q35" s="22">
        <f t="shared" si="0"/>
        <v>2736.2371072517244</v>
      </c>
      <c r="R35" s="24"/>
      <c r="AB35" s="23"/>
      <c r="AC35" s="23"/>
      <c r="AD35" s="23"/>
      <c r="AE35" s="23"/>
      <c r="AF35" s="23"/>
      <c r="AG35" s="23"/>
      <c r="AH35" s="23"/>
      <c r="AI35" s="23"/>
    </row>
    <row r="36" spans="3:35" s="208" customFormat="1" x14ac:dyDescent="0.25">
      <c r="C36" s="206">
        <v>2025</v>
      </c>
      <c r="D36" s="20">
        <v>2765994.5368234012</v>
      </c>
      <c r="E36" s="20">
        <v>109952906.89542851</v>
      </c>
      <c r="F36" s="20">
        <v>1510132.3151698592</v>
      </c>
      <c r="G36" s="20">
        <v>3759378.3093358874</v>
      </c>
      <c r="H36" s="20">
        <v>316316.95088795654</v>
      </c>
      <c r="I36" s="20">
        <v>11892474.643507</v>
      </c>
      <c r="J36" s="20">
        <v>33816.1850402415</v>
      </c>
      <c r="K36" s="20">
        <v>38009.426948576402</v>
      </c>
      <c r="L36" s="20">
        <v>28040.647536211498</v>
      </c>
      <c r="M36" s="20">
        <v>283.76478212150005</v>
      </c>
      <c r="N36" s="20">
        <v>311.76211124150007</v>
      </c>
      <c r="O36" s="20">
        <v>39204.828695041506</v>
      </c>
      <c r="P36" s="186">
        <v>35.5320762415</v>
      </c>
      <c r="Q36" s="22">
        <f t="shared" si="0"/>
        <v>2765.9945368234012</v>
      </c>
      <c r="R36" s="207"/>
      <c r="AB36" s="201"/>
      <c r="AC36" s="201"/>
      <c r="AD36" s="201"/>
      <c r="AE36" s="201"/>
      <c r="AF36" s="201"/>
      <c r="AG36" s="201"/>
      <c r="AH36" s="201"/>
      <c r="AI36" s="201"/>
    </row>
    <row r="37" spans="3:35" ht="38.25" x14ac:dyDescent="0.25">
      <c r="C37" s="25" t="s">
        <v>131</v>
      </c>
      <c r="D37" s="26">
        <f t="shared" ref="D37:P37" si="1">SUM(D38:D43)</f>
        <v>1362599.5386438963</v>
      </c>
      <c r="E37" s="26">
        <f t="shared" si="1"/>
        <v>49853779.623135559</v>
      </c>
      <c r="F37" s="26">
        <f t="shared" si="1"/>
        <v>643912.85087366612</v>
      </c>
      <c r="G37" s="26">
        <f t="shared" si="1"/>
        <v>1748952.6406295057</v>
      </c>
      <c r="H37" s="26">
        <f t="shared" si="1"/>
        <v>139252.86096873501</v>
      </c>
      <c r="I37" s="26">
        <f t="shared" si="1"/>
        <v>7129276.8974680007</v>
      </c>
      <c r="J37" s="26">
        <f t="shared" si="1"/>
        <v>17514.360342</v>
      </c>
      <c r="K37" s="26">
        <f t="shared" si="1"/>
        <v>18777.245252193399</v>
      </c>
      <c r="L37" s="26">
        <f t="shared" si="1"/>
        <v>12901.345295199999</v>
      </c>
      <c r="M37" s="26">
        <f t="shared" si="1"/>
        <v>142.4936256</v>
      </c>
      <c r="N37" s="26">
        <f t="shared" si="1"/>
        <v>141.717736</v>
      </c>
      <c r="O37" s="26">
        <f t="shared" si="1"/>
        <v>20423.372051300001</v>
      </c>
      <c r="P37" s="26">
        <f t="shared" si="1"/>
        <v>27.143613000000002</v>
      </c>
      <c r="Q37" s="22">
        <f t="shared" si="0"/>
        <v>1362.5995386438963</v>
      </c>
      <c r="R37" s="24"/>
      <c r="AB37" s="23"/>
      <c r="AC37" s="23"/>
      <c r="AD37" s="23"/>
      <c r="AE37" s="23"/>
      <c r="AF37" s="23"/>
      <c r="AG37" s="23"/>
      <c r="AH37" s="23"/>
      <c r="AI37" s="23"/>
    </row>
    <row r="38" spans="3:35" x14ac:dyDescent="0.25">
      <c r="C38" s="27" t="s">
        <v>22</v>
      </c>
      <c r="D38" s="20">
        <v>226465.13532835097</v>
      </c>
      <c r="E38" s="20">
        <v>8854678.9160302784</v>
      </c>
      <c r="F38" s="20">
        <v>107018.13228034819</v>
      </c>
      <c r="G38" s="20">
        <v>288167.58423592697</v>
      </c>
      <c r="H38" s="20">
        <v>22788.222500706997</v>
      </c>
      <c r="I38" s="20">
        <v>1175604.6615900001</v>
      </c>
      <c r="J38" s="20">
        <v>2638.101392</v>
      </c>
      <c r="K38" s="20">
        <v>3100.2304261199997</v>
      </c>
      <c r="L38" s="20">
        <v>1688.6074727999996</v>
      </c>
      <c r="M38" s="188">
        <v>17.800156399999999</v>
      </c>
      <c r="N38" s="188">
        <v>26.551486000000001</v>
      </c>
      <c r="O38" s="20">
        <v>3476.3602592999996</v>
      </c>
      <c r="P38" s="189">
        <v>3.9908700000000001</v>
      </c>
      <c r="Q38" s="28">
        <v>11138766.849174995</v>
      </c>
      <c r="T38" s="29"/>
      <c r="U38" s="29"/>
      <c r="V38" s="29"/>
      <c r="W38" s="29"/>
      <c r="X38" s="29"/>
      <c r="Y38" s="29"/>
      <c r="Z38" s="29"/>
      <c r="AA38" s="29"/>
      <c r="AB38" s="23"/>
      <c r="AC38" s="23"/>
      <c r="AD38" s="23"/>
      <c r="AE38" s="23"/>
      <c r="AF38" s="23"/>
      <c r="AG38" s="23"/>
      <c r="AH38" s="23"/>
      <c r="AI38" s="23"/>
    </row>
    <row r="39" spans="3:35" x14ac:dyDescent="0.25">
      <c r="C39" s="30" t="s">
        <v>23</v>
      </c>
      <c r="D39" s="20">
        <v>223285.27726754191</v>
      </c>
      <c r="E39" s="20">
        <v>7486935.5034139687</v>
      </c>
      <c r="F39" s="20">
        <v>108417.09502581699</v>
      </c>
      <c r="G39" s="20">
        <v>289956.75850244495</v>
      </c>
      <c r="H39" s="20">
        <v>21536.775960890009</v>
      </c>
      <c r="I39" s="20">
        <v>1138826.6746080001</v>
      </c>
      <c r="J39" s="20">
        <v>2611.0019500000003</v>
      </c>
      <c r="K39" s="20">
        <v>3116.1079425219996</v>
      </c>
      <c r="L39" s="20">
        <v>2087.2887541999999</v>
      </c>
      <c r="M39" s="188">
        <v>18.494443</v>
      </c>
      <c r="N39" s="188">
        <v>22.429242000000002</v>
      </c>
      <c r="O39" s="20">
        <v>3321.9614590000001</v>
      </c>
      <c r="P39" s="189">
        <v>4.047072</v>
      </c>
      <c r="Q39" s="28"/>
      <c r="T39" s="29"/>
      <c r="U39" s="29"/>
      <c r="V39" s="29"/>
      <c r="W39" s="29"/>
      <c r="X39" s="29"/>
      <c r="Y39" s="29"/>
      <c r="Z39" s="29"/>
      <c r="AA39" s="29"/>
      <c r="AB39" s="23"/>
      <c r="AC39" s="23"/>
      <c r="AD39" s="23"/>
      <c r="AE39" s="23"/>
      <c r="AF39" s="23"/>
      <c r="AG39" s="23"/>
      <c r="AH39" s="23"/>
      <c r="AI39" s="23"/>
    </row>
    <row r="40" spans="3:35" x14ac:dyDescent="0.25">
      <c r="C40" s="30" t="s">
        <v>121</v>
      </c>
      <c r="D40" s="20">
        <v>238463.97373834343</v>
      </c>
      <c r="E40" s="20">
        <v>8647862.0769819953</v>
      </c>
      <c r="F40" s="20">
        <v>112647.478523602</v>
      </c>
      <c r="G40" s="20">
        <v>303515.09163658979</v>
      </c>
      <c r="H40" s="20">
        <v>23836.885576989011</v>
      </c>
      <c r="I40" s="20">
        <v>1254443.352592</v>
      </c>
      <c r="J40" s="20">
        <v>2743.6943419999998</v>
      </c>
      <c r="K40" s="20">
        <v>3507.1413508700002</v>
      </c>
      <c r="L40" s="20">
        <v>1923.9981766000001</v>
      </c>
      <c r="M40" s="20">
        <v>24.4855892</v>
      </c>
      <c r="N40" s="188">
        <v>22.518574000000001</v>
      </c>
      <c r="O40" s="20">
        <v>3189.6974124000003</v>
      </c>
      <c r="P40" s="189">
        <v>5.5070579999999998</v>
      </c>
      <c r="Q40" s="28"/>
      <c r="T40" s="29"/>
      <c r="U40" s="29"/>
      <c r="V40" s="29"/>
      <c r="W40" s="29"/>
      <c r="X40" s="29"/>
      <c r="Y40" s="29"/>
      <c r="Z40" s="29"/>
      <c r="AA40" s="29"/>
      <c r="AB40" s="23"/>
      <c r="AC40" s="23"/>
      <c r="AD40" s="23"/>
      <c r="AE40" s="23"/>
      <c r="AF40" s="23"/>
      <c r="AG40" s="23"/>
      <c r="AH40" s="23"/>
      <c r="AI40" s="23"/>
    </row>
    <row r="41" spans="3:35" x14ac:dyDescent="0.25">
      <c r="C41" s="30" t="s">
        <v>122</v>
      </c>
      <c r="D41" s="20">
        <v>230069.22009788002</v>
      </c>
      <c r="E41" s="20">
        <v>8516107.9898368828</v>
      </c>
      <c r="F41" s="20">
        <v>109969.57998020601</v>
      </c>
      <c r="G41" s="20">
        <v>305270.79588996101</v>
      </c>
      <c r="H41" s="20">
        <v>23631.853880305993</v>
      </c>
      <c r="I41" s="20">
        <v>1114153.7374539999</v>
      </c>
      <c r="J41" s="20">
        <v>3064.913102</v>
      </c>
      <c r="K41" s="20">
        <v>3178.84068884</v>
      </c>
      <c r="L41" s="20">
        <v>2173.9089795999998</v>
      </c>
      <c r="M41" s="20">
        <v>25.714176999999999</v>
      </c>
      <c r="N41" s="188">
        <v>22.187384000000002</v>
      </c>
      <c r="O41" s="20">
        <v>4010.9459781999999</v>
      </c>
      <c r="P41" s="189">
        <v>4.3102679999999998</v>
      </c>
      <c r="Q41" s="28"/>
      <c r="T41" s="29"/>
      <c r="U41" s="29"/>
      <c r="V41" s="29"/>
      <c r="W41" s="29"/>
      <c r="X41" s="29"/>
      <c r="Y41" s="29"/>
      <c r="Z41" s="29"/>
      <c r="AA41" s="29"/>
      <c r="AB41" s="23"/>
      <c r="AC41" s="23"/>
      <c r="AD41" s="23"/>
      <c r="AE41" s="23"/>
      <c r="AF41" s="23"/>
      <c r="AG41" s="23"/>
      <c r="AH41" s="23"/>
      <c r="AI41" s="23"/>
    </row>
    <row r="42" spans="3:35" x14ac:dyDescent="0.25">
      <c r="C42" s="30" t="s">
        <v>130</v>
      </c>
      <c r="D42" s="20">
        <v>226083.84848298298</v>
      </c>
      <c r="E42" s="20">
        <v>8406686.3624021597</v>
      </c>
      <c r="F42" s="20">
        <v>104727.58935069098</v>
      </c>
      <c r="G42" s="20">
        <v>279548.38802998757</v>
      </c>
      <c r="H42" s="20">
        <v>23262.244831822001</v>
      </c>
      <c r="I42" s="20">
        <v>1240371.767396</v>
      </c>
      <c r="J42" s="20">
        <v>3301.3702799999996</v>
      </c>
      <c r="K42" s="20">
        <v>2845.6354515879998</v>
      </c>
      <c r="L42" s="20">
        <v>1988.2823851000003</v>
      </c>
      <c r="M42" s="20">
        <v>28.570499000000002</v>
      </c>
      <c r="N42" s="188">
        <v>21.732047000000001</v>
      </c>
      <c r="O42" s="20">
        <v>3105.3971604000008</v>
      </c>
      <c r="P42" s="189">
        <v>3.9205589999999999</v>
      </c>
      <c r="Q42" s="28"/>
      <c r="T42" s="29"/>
      <c r="U42" s="29"/>
      <c r="V42" s="29"/>
      <c r="W42" s="29"/>
      <c r="X42" s="29"/>
      <c r="Y42" s="29"/>
      <c r="Z42" s="29"/>
      <c r="AA42" s="29"/>
      <c r="AB42" s="23"/>
      <c r="AC42" s="23"/>
      <c r="AD42" s="23"/>
      <c r="AE42" s="23"/>
      <c r="AF42" s="23"/>
      <c r="AG42" s="23"/>
      <c r="AH42" s="23"/>
      <c r="AI42" s="23"/>
    </row>
    <row r="43" spans="3:35" x14ac:dyDescent="0.25">
      <c r="C43" s="190" t="s">
        <v>132</v>
      </c>
      <c r="D43" s="191">
        <v>218232.08372879706</v>
      </c>
      <c r="E43" s="191">
        <v>7941508.7744702762</v>
      </c>
      <c r="F43" s="191">
        <v>101132.975713002</v>
      </c>
      <c r="G43" s="191">
        <v>282494.02233459527</v>
      </c>
      <c r="H43" s="191">
        <v>24196.878218021</v>
      </c>
      <c r="I43" s="191">
        <v>1205876.703828</v>
      </c>
      <c r="J43" s="191">
        <v>3155.2792760000002</v>
      </c>
      <c r="K43" s="191">
        <v>3029.2893922533999</v>
      </c>
      <c r="L43" s="191">
        <v>3039.2595268999999</v>
      </c>
      <c r="M43" s="191">
        <v>27.428760999999998</v>
      </c>
      <c r="N43" s="209">
        <v>26.299002999999999</v>
      </c>
      <c r="O43" s="191">
        <v>3319.0097819999996</v>
      </c>
      <c r="P43" s="210">
        <v>5.3677859999999997</v>
      </c>
      <c r="Q43" s="28"/>
      <c r="T43" s="29"/>
      <c r="U43" s="29"/>
      <c r="V43" s="29"/>
      <c r="W43" s="29"/>
      <c r="X43" s="29"/>
      <c r="Y43" s="29"/>
      <c r="Z43" s="29"/>
      <c r="AA43" s="29"/>
      <c r="AB43" s="23"/>
      <c r="AC43" s="23"/>
      <c r="AD43" s="23"/>
      <c r="AE43" s="23"/>
      <c r="AF43" s="23"/>
      <c r="AG43" s="23"/>
      <c r="AH43" s="23"/>
      <c r="AI43" s="23"/>
    </row>
    <row r="44" spans="3:35" x14ac:dyDescent="0.25">
      <c r="C44" s="30"/>
      <c r="D44" s="20"/>
      <c r="E44" s="20"/>
      <c r="F44" s="20"/>
      <c r="G44" s="20"/>
      <c r="H44" s="20"/>
      <c r="I44" s="20"/>
      <c r="J44" s="20"/>
      <c r="K44" s="20"/>
      <c r="L44" s="20"/>
      <c r="M44" s="188"/>
      <c r="N44" s="20"/>
      <c r="O44" s="20"/>
      <c r="P44" s="189"/>
      <c r="Q44" s="28"/>
      <c r="T44" s="29"/>
      <c r="U44" s="29"/>
      <c r="V44" s="29"/>
      <c r="W44" s="29"/>
      <c r="X44" s="29"/>
      <c r="Y44" s="29"/>
      <c r="Z44" s="29"/>
      <c r="AA44" s="29"/>
      <c r="AB44" s="23"/>
      <c r="AC44" s="23"/>
      <c r="AD44" s="23"/>
      <c r="AE44" s="23"/>
      <c r="AF44" s="23"/>
      <c r="AG44" s="23"/>
      <c r="AH44" s="23"/>
      <c r="AI44" s="23"/>
    </row>
    <row r="45" spans="3:35" x14ac:dyDescent="0.25">
      <c r="C45" s="34" t="s">
        <v>137</v>
      </c>
      <c r="D45" s="35"/>
      <c r="E45" s="35"/>
      <c r="F45" s="36"/>
      <c r="G45" s="35"/>
      <c r="H45" s="35"/>
      <c r="I45" s="35"/>
      <c r="J45" s="35"/>
      <c r="K45" s="35"/>
      <c r="L45" s="35"/>
      <c r="M45" s="35"/>
      <c r="N45" s="35"/>
      <c r="O45" s="35"/>
      <c r="P45" s="37"/>
      <c r="R45" s="24"/>
      <c r="S45" s="38"/>
    </row>
    <row r="46" spans="3:35" ht="24" x14ac:dyDescent="0.25">
      <c r="C46" s="39" t="s">
        <v>133</v>
      </c>
      <c r="D46" s="20">
        <v>228931.82027097608</v>
      </c>
      <c r="E46" s="20">
        <v>9221884.1855008844</v>
      </c>
      <c r="F46" s="20">
        <v>136355.642412455</v>
      </c>
      <c r="G46" s="20">
        <v>310533.40676929883</v>
      </c>
      <c r="H46" s="20">
        <v>27653.635686539004</v>
      </c>
      <c r="I46" s="20">
        <v>17858.91534</v>
      </c>
      <c r="J46" s="20">
        <v>2794.1680000000001</v>
      </c>
      <c r="K46" s="20">
        <v>2874.2517345399997</v>
      </c>
      <c r="L46" s="20">
        <v>2331.0077547000005</v>
      </c>
      <c r="M46" s="20">
        <v>20.607745000000001</v>
      </c>
      <c r="N46" s="188">
        <v>25.639190000000003</v>
      </c>
      <c r="O46" s="20">
        <v>2300.5616679999998</v>
      </c>
      <c r="P46" s="21">
        <v>3.5141680000000002</v>
      </c>
      <c r="R46" s="24"/>
      <c r="S46" s="38"/>
    </row>
    <row r="47" spans="3:35" ht="24" x14ac:dyDescent="0.25">
      <c r="C47" s="40" t="s">
        <v>136</v>
      </c>
      <c r="D47" s="20">
        <v>218232.08372879706</v>
      </c>
      <c r="E47" s="20">
        <v>7941508.7744702762</v>
      </c>
      <c r="F47" s="20">
        <v>101132.975713002</v>
      </c>
      <c r="G47" s="20">
        <v>282494.02233459527</v>
      </c>
      <c r="H47" s="20">
        <v>24196.878218021</v>
      </c>
      <c r="I47" s="20">
        <v>1205876.703828</v>
      </c>
      <c r="J47" s="20">
        <v>3155.2792760000002</v>
      </c>
      <c r="K47" s="20">
        <v>3029.2893922533999</v>
      </c>
      <c r="L47" s="20">
        <v>3039.2595268999999</v>
      </c>
      <c r="M47" s="20">
        <v>27.428760999999998</v>
      </c>
      <c r="N47" s="188">
        <v>26.299002999999999</v>
      </c>
      <c r="O47" s="20">
        <v>3319.0097819999996</v>
      </c>
      <c r="P47" s="186">
        <v>5.3677859999999997</v>
      </c>
      <c r="Q47" s="41"/>
      <c r="R47" s="24"/>
      <c r="S47" s="23"/>
      <c r="T47" s="23"/>
      <c r="U47" s="23"/>
      <c r="V47" s="23"/>
      <c r="W47" s="23"/>
      <c r="X47" s="23"/>
      <c r="Y47" s="23"/>
      <c r="Z47" s="23"/>
    </row>
    <row r="48" spans="3:35" x14ac:dyDescent="0.25">
      <c r="C48" s="42" t="s">
        <v>24</v>
      </c>
      <c r="D48" s="43">
        <f t="shared" ref="D48:P48" si="2">+D47/D46-1</f>
        <v>-4.6737655471022932E-2</v>
      </c>
      <c r="E48" s="43">
        <f>+E47/E46-1</f>
        <v>-0.13884097710136933</v>
      </c>
      <c r="F48" s="44">
        <f>+F47/F46-1</f>
        <v>-0.25831469879999391</v>
      </c>
      <c r="G48" s="44">
        <f>+G47/G46-1</f>
        <v>-9.0294260853984509E-2</v>
      </c>
      <c r="H48" s="44">
        <f t="shared" si="2"/>
        <v>-0.12500191684381867</v>
      </c>
      <c r="I48" s="43" t="s">
        <v>145</v>
      </c>
      <c r="J48" s="43">
        <f t="shared" si="2"/>
        <v>0.12923749609901769</v>
      </c>
      <c r="K48" s="43">
        <f t="shared" si="2"/>
        <v>5.3940180621727229E-2</v>
      </c>
      <c r="L48" s="43">
        <f t="shared" si="2"/>
        <v>0.30383930331074804</v>
      </c>
      <c r="M48" s="43">
        <f t="shared" si="2"/>
        <v>0.33099283788692047</v>
      </c>
      <c r="N48" s="43">
        <f t="shared" si="2"/>
        <v>2.5734549336386747E-2</v>
      </c>
      <c r="O48" s="43">
        <f t="shared" si="2"/>
        <v>0.44269542006469687</v>
      </c>
      <c r="P48" s="45">
        <f t="shared" si="2"/>
        <v>0.5274699445217188</v>
      </c>
      <c r="R48" s="24"/>
      <c r="S48" s="23"/>
      <c r="T48" s="23"/>
      <c r="U48" s="23"/>
      <c r="V48" s="23"/>
      <c r="W48" s="23"/>
      <c r="X48" s="23"/>
      <c r="Y48" s="23"/>
      <c r="Z48" s="23"/>
    </row>
    <row r="49" spans="3:35" x14ac:dyDescent="0.25">
      <c r="C49" s="33"/>
      <c r="D49" s="31"/>
      <c r="E49" s="31"/>
      <c r="F49" s="31"/>
      <c r="G49" s="31"/>
      <c r="H49" s="31"/>
      <c r="I49" s="31"/>
      <c r="J49" s="31"/>
      <c r="K49" s="31"/>
      <c r="L49" s="31"/>
      <c r="M49" s="31"/>
      <c r="N49" s="31"/>
      <c r="O49" s="31"/>
      <c r="P49" s="32"/>
      <c r="Q49" s="28"/>
      <c r="T49" s="29"/>
      <c r="U49" s="29"/>
      <c r="V49" s="29"/>
      <c r="W49" s="29"/>
      <c r="X49" s="29"/>
      <c r="Y49" s="29"/>
      <c r="Z49" s="29"/>
      <c r="AA49" s="29"/>
      <c r="AB49" s="23"/>
      <c r="AC49" s="23"/>
      <c r="AD49" s="23"/>
      <c r="AE49" s="23"/>
      <c r="AF49" s="23"/>
      <c r="AG49" s="23"/>
      <c r="AH49" s="23"/>
      <c r="AI49" s="23"/>
    </row>
    <row r="50" spans="3:35" x14ac:dyDescent="0.25">
      <c r="C50" s="34" t="s">
        <v>138</v>
      </c>
      <c r="D50" s="35"/>
      <c r="E50" s="35"/>
      <c r="F50" s="36"/>
      <c r="G50" s="35"/>
      <c r="H50" s="35"/>
      <c r="I50" s="35"/>
      <c r="J50" s="35"/>
      <c r="K50" s="35"/>
      <c r="L50" s="35"/>
      <c r="M50" s="35"/>
      <c r="N50" s="35"/>
      <c r="O50" s="35"/>
      <c r="P50" s="37"/>
      <c r="R50" s="24"/>
      <c r="S50" s="23"/>
      <c r="T50" s="23"/>
      <c r="U50" s="23"/>
      <c r="V50" s="23"/>
      <c r="W50" s="23"/>
      <c r="X50" s="23"/>
      <c r="Y50" s="23"/>
      <c r="Z50" s="23"/>
    </row>
    <row r="51" spans="3:35" ht="24" x14ac:dyDescent="0.25">
      <c r="C51" s="46" t="s">
        <v>134</v>
      </c>
      <c r="D51" s="20">
        <v>1336911.6495914774</v>
      </c>
      <c r="E51" s="20">
        <v>52977577.907957941</v>
      </c>
      <c r="F51" s="20">
        <v>716684.24400065606</v>
      </c>
      <c r="G51" s="20">
        <v>1801358.8738404065</v>
      </c>
      <c r="H51" s="20">
        <v>153373.06664003609</v>
      </c>
      <c r="I51" s="20">
        <v>5052014.1260639997</v>
      </c>
      <c r="J51" s="20">
        <v>16446.06494</v>
      </c>
      <c r="K51" s="20">
        <v>19657.3702398149</v>
      </c>
      <c r="L51" s="20">
        <v>13685.874812</v>
      </c>
      <c r="M51" s="20">
        <v>127.33373280000001</v>
      </c>
      <c r="N51" s="20">
        <v>166.50628700000004</v>
      </c>
      <c r="O51" s="20">
        <v>17223.796061800003</v>
      </c>
      <c r="P51" s="187">
        <v>17.498118000000002</v>
      </c>
      <c r="R51" s="24"/>
      <c r="S51" s="23"/>
      <c r="T51" s="23"/>
      <c r="U51" s="23"/>
      <c r="V51" s="23"/>
      <c r="W51" s="23"/>
      <c r="X51" s="23"/>
      <c r="Y51" s="23"/>
      <c r="Z51" s="23"/>
    </row>
    <row r="52" spans="3:35" ht="24" x14ac:dyDescent="0.25">
      <c r="C52" s="46" t="s">
        <v>135</v>
      </c>
      <c r="D52" s="20">
        <v>1362599.5386438963</v>
      </c>
      <c r="E52" s="20">
        <v>49853779.623135559</v>
      </c>
      <c r="F52" s="20">
        <v>643912.85087366612</v>
      </c>
      <c r="G52" s="20">
        <v>1748952.6406295057</v>
      </c>
      <c r="H52" s="20">
        <v>139252.86096873501</v>
      </c>
      <c r="I52" s="20">
        <v>7129276.8974680007</v>
      </c>
      <c r="J52" s="20">
        <v>17514.360342</v>
      </c>
      <c r="K52" s="20">
        <v>18777.245252193399</v>
      </c>
      <c r="L52" s="20">
        <v>12901.345295199999</v>
      </c>
      <c r="M52" s="20">
        <v>142.4936256</v>
      </c>
      <c r="N52" s="20">
        <v>141.717736</v>
      </c>
      <c r="O52" s="20">
        <v>20423.372051300001</v>
      </c>
      <c r="P52" s="186">
        <v>27.143613000000002</v>
      </c>
      <c r="R52" s="24"/>
      <c r="S52" s="23"/>
      <c r="T52" s="23"/>
      <c r="U52" s="23"/>
      <c r="V52" s="23"/>
      <c r="W52" s="23"/>
      <c r="X52" s="23"/>
      <c r="Y52" s="23"/>
      <c r="Z52" s="23"/>
    </row>
    <row r="53" spans="3:35" x14ac:dyDescent="0.25">
      <c r="C53" s="47" t="s">
        <v>24</v>
      </c>
      <c r="D53" s="48">
        <f t="shared" ref="D53:P53" si="3">+D52/D51-1</f>
        <v>1.9214350522166912E-2</v>
      </c>
      <c r="E53" s="49">
        <f t="shared" si="3"/>
        <v>-5.8964535718291966E-2</v>
      </c>
      <c r="F53" s="48">
        <f t="shared" si="3"/>
        <v>-0.1015389883845742</v>
      </c>
      <c r="G53" s="48">
        <f t="shared" si="3"/>
        <v>-2.9092611123719858E-2</v>
      </c>
      <c r="H53" s="48">
        <f t="shared" si="3"/>
        <v>-9.206444117363155E-2</v>
      </c>
      <c r="I53" s="49">
        <f t="shared" si="3"/>
        <v>0.41117517084663935</v>
      </c>
      <c r="J53" s="49">
        <f t="shared" si="3"/>
        <v>6.4957508431193078E-2</v>
      </c>
      <c r="K53" s="49">
        <f t="shared" si="3"/>
        <v>-4.4773282330454189E-2</v>
      </c>
      <c r="L53" s="49">
        <f t="shared" si="3"/>
        <v>-5.7324031351807525E-2</v>
      </c>
      <c r="M53" s="49">
        <f>+M52/M51-1</f>
        <v>0.11905637623779763</v>
      </c>
      <c r="N53" s="48">
        <f>+N52/N51-1</f>
        <v>-0.14887456471838834</v>
      </c>
      <c r="O53" s="48">
        <f>+O52/O51-1</f>
        <v>0.18576485566943135</v>
      </c>
      <c r="P53" s="50">
        <f t="shared" si="3"/>
        <v>0.55123042375185727</v>
      </c>
      <c r="R53" s="24"/>
      <c r="S53" s="23"/>
      <c r="T53" s="23"/>
      <c r="U53" s="23"/>
      <c r="V53" s="23"/>
      <c r="W53" s="23"/>
      <c r="X53" s="23"/>
      <c r="Y53" s="23"/>
      <c r="Z53" s="23"/>
    </row>
    <row r="54" spans="3:35" x14ac:dyDescent="0.25">
      <c r="C54" s="33"/>
      <c r="D54" s="31"/>
      <c r="E54" s="31"/>
      <c r="F54" s="31"/>
      <c r="G54" s="31"/>
      <c r="H54" s="31"/>
      <c r="I54" s="31"/>
      <c r="J54" s="31"/>
      <c r="K54" s="31"/>
      <c r="L54" s="31"/>
      <c r="M54" s="31"/>
      <c r="N54" s="31"/>
      <c r="O54" s="31"/>
      <c r="P54" s="32"/>
      <c r="Q54" s="28"/>
      <c r="T54" s="29"/>
      <c r="U54" s="29"/>
      <c r="V54" s="29"/>
      <c r="W54" s="29"/>
      <c r="X54" s="29"/>
      <c r="Y54" s="29"/>
      <c r="Z54" s="29"/>
      <c r="AA54" s="29"/>
      <c r="AB54" s="23"/>
      <c r="AC54" s="23"/>
      <c r="AD54" s="23"/>
      <c r="AE54" s="23"/>
      <c r="AF54" s="23"/>
      <c r="AG54" s="23"/>
      <c r="AH54" s="23"/>
      <c r="AI54" s="23"/>
    </row>
    <row r="55" spans="3:35" x14ac:dyDescent="0.25">
      <c r="C55" s="34" t="s">
        <v>25</v>
      </c>
      <c r="D55" s="35"/>
      <c r="E55" s="35"/>
      <c r="F55" s="36"/>
      <c r="G55" s="35"/>
      <c r="H55" s="35"/>
      <c r="I55" s="35"/>
      <c r="J55" s="35"/>
      <c r="K55" s="35"/>
      <c r="L55" s="35"/>
      <c r="M55" s="35"/>
      <c r="N55" s="35"/>
      <c r="O55" s="35"/>
      <c r="P55" s="37"/>
      <c r="Q55" s="28"/>
      <c r="T55" s="29"/>
      <c r="U55" s="29"/>
      <c r="V55" s="29"/>
      <c r="W55" s="29"/>
      <c r="X55" s="29"/>
      <c r="Y55" s="29"/>
      <c r="Z55" s="29"/>
      <c r="AA55" s="29"/>
      <c r="AB55" s="23"/>
      <c r="AC55" s="23"/>
      <c r="AD55" s="23"/>
      <c r="AE55" s="23"/>
      <c r="AF55" s="23"/>
      <c r="AG55" s="23"/>
      <c r="AH55" s="23"/>
      <c r="AI55" s="23"/>
    </row>
    <row r="56" spans="3:35" ht="24" x14ac:dyDescent="0.25">
      <c r="C56" s="51" t="s">
        <v>124</v>
      </c>
      <c r="D56" s="20">
        <v>226083.84848298298</v>
      </c>
      <c r="E56" s="20">
        <v>8406686.3624021597</v>
      </c>
      <c r="F56" s="20">
        <v>104727.58935069098</v>
      </c>
      <c r="G56" s="20">
        <v>279548.38802998757</v>
      </c>
      <c r="H56" s="20">
        <v>23262.244831822001</v>
      </c>
      <c r="I56" s="20">
        <v>1240371.767396</v>
      </c>
      <c r="J56" s="20">
        <v>3301.3702799999996</v>
      </c>
      <c r="K56" s="20">
        <v>2845.6354515879998</v>
      </c>
      <c r="L56" s="20">
        <v>1988.2823851000003</v>
      </c>
      <c r="M56" s="20">
        <v>28.570499000000002</v>
      </c>
      <c r="N56" s="20">
        <v>21.732047000000001</v>
      </c>
      <c r="O56" s="20">
        <v>3105.3971604000008</v>
      </c>
      <c r="P56" s="187">
        <v>3.9205589999999999</v>
      </c>
      <c r="Q56" s="28"/>
      <c r="T56" s="29"/>
      <c r="U56" s="29"/>
      <c r="V56" s="29"/>
      <c r="W56" s="29"/>
      <c r="X56" s="29"/>
      <c r="Y56" s="29"/>
      <c r="Z56" s="29"/>
      <c r="AA56" s="29"/>
      <c r="AB56" s="23"/>
      <c r="AC56" s="23"/>
      <c r="AD56" s="23"/>
      <c r="AE56" s="23"/>
      <c r="AF56" s="23"/>
      <c r="AG56" s="23"/>
      <c r="AH56" s="23"/>
      <c r="AI56" s="23"/>
    </row>
    <row r="57" spans="3:35" ht="24" x14ac:dyDescent="0.25">
      <c r="C57" s="53" t="s">
        <v>136</v>
      </c>
      <c r="D57" s="20">
        <v>218232.08372879706</v>
      </c>
      <c r="E57" s="20">
        <v>7941508.7744702762</v>
      </c>
      <c r="F57" s="20">
        <v>101132.975713002</v>
      </c>
      <c r="G57" s="20">
        <v>282494.02233459527</v>
      </c>
      <c r="H57" s="20">
        <v>24196.878218021</v>
      </c>
      <c r="I57" s="20">
        <v>1205876.703828</v>
      </c>
      <c r="J57" s="20">
        <v>3155.2792760000002</v>
      </c>
      <c r="K57" s="20">
        <v>3029.2893922533999</v>
      </c>
      <c r="L57" s="20">
        <v>3039.2595268999999</v>
      </c>
      <c r="M57" s="20">
        <v>27.428760999999998</v>
      </c>
      <c r="N57" s="20">
        <v>26.299002999999999</v>
      </c>
      <c r="O57" s="20">
        <v>3319.0097819999996</v>
      </c>
      <c r="P57" s="186">
        <v>5.3677859999999997</v>
      </c>
      <c r="Q57" s="28"/>
      <c r="T57" s="29"/>
      <c r="U57" s="29"/>
      <c r="V57" s="29"/>
      <c r="W57" s="29"/>
      <c r="X57" s="29"/>
      <c r="Y57" s="29"/>
      <c r="Z57" s="29"/>
      <c r="AA57" s="29"/>
      <c r="AB57" s="23"/>
      <c r="AC57" s="23"/>
      <c r="AD57" s="23"/>
      <c r="AE57" s="23"/>
      <c r="AF57" s="23"/>
      <c r="AG57" s="23"/>
      <c r="AH57" s="23"/>
      <c r="AI57" s="23"/>
    </row>
    <row r="58" spans="3:35" x14ac:dyDescent="0.25">
      <c r="C58" s="54" t="s">
        <v>24</v>
      </c>
      <c r="D58" s="49">
        <f t="shared" ref="D58:M58" si="4">+D57/D56-1</f>
        <v>-3.4729436918519707E-2</v>
      </c>
      <c r="E58" s="49">
        <f t="shared" si="4"/>
        <v>-5.5334238471454245E-2</v>
      </c>
      <c r="F58" s="49">
        <f t="shared" si="4"/>
        <v>-3.4323463950383215E-2</v>
      </c>
      <c r="G58" s="49">
        <f t="shared" si="4"/>
        <v>1.0537117832679854E-2</v>
      </c>
      <c r="H58" s="49">
        <f t="shared" si="4"/>
        <v>4.017812523924813E-2</v>
      </c>
      <c r="I58" s="49">
        <f t="shared" si="4"/>
        <v>-2.781026178983248E-2</v>
      </c>
      <c r="J58" s="49">
        <f t="shared" si="4"/>
        <v>-4.4251626327719729E-2</v>
      </c>
      <c r="K58" s="49">
        <f t="shared" si="4"/>
        <v>6.4538815245260173E-2</v>
      </c>
      <c r="L58" s="49">
        <f t="shared" si="4"/>
        <v>0.52858545127992018</v>
      </c>
      <c r="M58" s="49">
        <f t="shared" si="4"/>
        <v>-3.9962130167905174E-2</v>
      </c>
      <c r="N58" s="49">
        <f>+N57/N56-1</f>
        <v>0.21014845035076535</v>
      </c>
      <c r="O58" s="49">
        <f>+O57/O56-1</f>
        <v>6.8787536848421649E-2</v>
      </c>
      <c r="P58" s="50">
        <f>+P57/P56-1</f>
        <v>0.36913792140355484</v>
      </c>
      <c r="Q58" s="28"/>
      <c r="T58" s="29"/>
      <c r="U58" s="29"/>
      <c r="V58" s="29"/>
      <c r="W58" s="29"/>
      <c r="X58" s="29"/>
      <c r="Y58" s="29"/>
      <c r="Z58" s="29"/>
      <c r="AA58" s="29"/>
      <c r="AB58" s="23"/>
      <c r="AC58" s="23"/>
      <c r="AD58" s="23"/>
      <c r="AE58" s="23"/>
      <c r="AF58" s="23"/>
      <c r="AG58" s="23"/>
      <c r="AH58" s="23"/>
      <c r="AI58" s="23"/>
    </row>
    <row r="59" spans="3:35" x14ac:dyDescent="0.25">
      <c r="C59" s="55"/>
      <c r="D59" s="56"/>
      <c r="E59" s="57"/>
      <c r="F59" s="56"/>
      <c r="G59" s="56"/>
      <c r="H59" s="56"/>
      <c r="I59" s="56"/>
      <c r="J59" s="56"/>
      <c r="K59" s="56"/>
      <c r="L59" s="56"/>
      <c r="M59" s="56"/>
      <c r="N59" s="56"/>
      <c r="O59" s="56"/>
      <c r="P59" s="58"/>
      <c r="R59" s="24"/>
      <c r="S59" s="23"/>
      <c r="T59" s="23"/>
      <c r="U59" s="23"/>
      <c r="V59" s="23"/>
      <c r="W59" s="23"/>
      <c r="X59" s="23"/>
      <c r="Y59" s="23"/>
      <c r="Z59" s="23"/>
    </row>
    <row r="60" spans="3:35" s="60" customFormat="1" ht="77.25" customHeight="1" x14ac:dyDescent="0.25">
      <c r="C60" s="236" t="s">
        <v>127</v>
      </c>
      <c r="D60" s="237"/>
      <c r="E60" s="237"/>
      <c r="F60" s="237"/>
      <c r="G60" s="237"/>
      <c r="H60" s="237"/>
      <c r="I60" s="237"/>
      <c r="J60" s="237"/>
      <c r="K60" s="237"/>
      <c r="L60" s="237"/>
      <c r="M60" s="237"/>
      <c r="N60" s="237"/>
      <c r="O60" s="237"/>
      <c r="P60" s="238"/>
      <c r="Q60" s="59"/>
    </row>
    <row r="61" spans="3:35" s="60" customFormat="1" ht="41.25" customHeight="1" x14ac:dyDescent="0.25">
      <c r="C61" s="239"/>
      <c r="D61" s="240"/>
      <c r="E61" s="240"/>
      <c r="F61" s="240"/>
      <c r="G61" s="240"/>
      <c r="H61" s="240"/>
      <c r="I61" s="240"/>
      <c r="J61" s="240"/>
      <c r="K61" s="240"/>
      <c r="L61" s="240"/>
      <c r="M61" s="240"/>
      <c r="N61" s="240"/>
      <c r="O61" s="240"/>
      <c r="P61" s="241"/>
      <c r="Q61" s="59"/>
    </row>
    <row r="62" spans="3:35" s="60" customFormat="1" ht="15" x14ac:dyDescent="0.25">
      <c r="Q62" s="59"/>
    </row>
    <row r="63" spans="3:35" ht="36.6" customHeight="1" x14ac:dyDescent="0.25">
      <c r="C63" s="242" t="s">
        <v>26</v>
      </c>
      <c r="D63" s="242"/>
      <c r="E63" s="242"/>
      <c r="F63" s="242"/>
      <c r="G63" s="242"/>
      <c r="H63" s="242"/>
      <c r="I63" s="242"/>
      <c r="J63" s="242"/>
      <c r="K63" s="242"/>
      <c r="L63" s="242"/>
      <c r="M63" s="242"/>
      <c r="N63" s="242"/>
      <c r="O63" s="242"/>
      <c r="P63" s="242"/>
    </row>
    <row r="64" spans="3:35" ht="36.75" customHeight="1" x14ac:dyDescent="0.25"/>
    <row r="65" spans="3:36" ht="36.75" customHeight="1" x14ac:dyDescent="0.25"/>
    <row r="66" spans="3:36" ht="36.75" customHeight="1" x14ac:dyDescent="0.25"/>
    <row r="67" spans="3:36" s="8" customFormat="1" ht="36.75" customHeight="1" x14ac:dyDescent="0.25">
      <c r="C67" s="38"/>
      <c r="D67" s="2"/>
      <c r="E67" s="2"/>
      <c r="F67" s="2"/>
      <c r="G67" s="2"/>
      <c r="H67" s="2"/>
      <c r="I67" s="2"/>
      <c r="J67" s="2"/>
      <c r="K67" s="2"/>
      <c r="L67" s="2"/>
      <c r="M67" s="2"/>
      <c r="N67" s="2"/>
      <c r="O67" s="2"/>
      <c r="P67" s="2"/>
      <c r="R67" s="2"/>
      <c r="S67" s="2"/>
      <c r="T67" s="2"/>
      <c r="U67" s="2"/>
      <c r="V67" s="2"/>
      <c r="W67" s="2"/>
      <c r="X67" s="2"/>
      <c r="Y67" s="2"/>
      <c r="Z67" s="2"/>
      <c r="AA67" s="2"/>
      <c r="AB67" s="2"/>
      <c r="AC67" s="2"/>
      <c r="AD67" s="2"/>
      <c r="AE67" s="2"/>
      <c r="AF67" s="2"/>
      <c r="AG67" s="2"/>
      <c r="AH67" s="2"/>
      <c r="AI67" s="2"/>
      <c r="AJ67" s="2"/>
    </row>
    <row r="68" spans="3:36" s="8" customFormat="1" ht="36.75" customHeight="1" x14ac:dyDescent="0.25">
      <c r="C68" s="38"/>
      <c r="D68" s="2"/>
      <c r="E68" s="2"/>
      <c r="F68" s="2"/>
      <c r="G68" s="2"/>
      <c r="H68" s="2"/>
      <c r="I68" s="2"/>
      <c r="J68" s="2"/>
      <c r="K68" s="2"/>
      <c r="L68" s="2"/>
      <c r="M68" s="2"/>
      <c r="N68" s="2"/>
      <c r="O68" s="2"/>
      <c r="P68" s="2"/>
      <c r="R68" s="2"/>
      <c r="S68" s="2"/>
      <c r="T68" s="2"/>
      <c r="U68" s="2"/>
      <c r="V68" s="2"/>
      <c r="W68" s="2"/>
      <c r="X68" s="2"/>
      <c r="Y68" s="2"/>
      <c r="Z68" s="2"/>
      <c r="AA68" s="2"/>
      <c r="AB68" s="2"/>
      <c r="AC68" s="2"/>
      <c r="AD68" s="2"/>
      <c r="AE68" s="2"/>
      <c r="AF68" s="2"/>
      <c r="AG68" s="2"/>
      <c r="AH68" s="2"/>
      <c r="AI68" s="2"/>
      <c r="AJ68" s="2"/>
    </row>
    <row r="69" spans="3:36" ht="36.75" customHeight="1" x14ac:dyDescent="0.25"/>
    <row r="70" spans="3:36" s="8" customFormat="1" ht="36.75" customHeight="1" x14ac:dyDescent="0.25">
      <c r="C70" s="2"/>
      <c r="D70" s="2"/>
      <c r="E70" s="2"/>
      <c r="F70" s="2"/>
      <c r="G70" s="2"/>
      <c r="H70" s="2"/>
      <c r="I70" s="2"/>
      <c r="J70" s="2"/>
      <c r="K70" s="2"/>
      <c r="L70" s="2"/>
      <c r="M70" s="2"/>
      <c r="N70" s="2"/>
      <c r="O70" s="2"/>
      <c r="P70" s="2"/>
      <c r="R70" s="2"/>
      <c r="S70" s="2"/>
      <c r="T70" s="2"/>
      <c r="U70" s="2"/>
      <c r="V70" s="2"/>
      <c r="W70" s="2"/>
      <c r="X70" s="2"/>
      <c r="Y70" s="2"/>
      <c r="Z70" s="2"/>
      <c r="AA70" s="2"/>
      <c r="AB70" s="2"/>
      <c r="AC70" s="2"/>
      <c r="AD70" s="2"/>
      <c r="AE70" s="2"/>
      <c r="AF70" s="2"/>
      <c r="AG70" s="2"/>
      <c r="AH70" s="2"/>
      <c r="AI70" s="2"/>
      <c r="AJ70" s="2"/>
    </row>
    <row r="71" spans="3:36" s="8" customFormat="1" x14ac:dyDescent="0.25">
      <c r="C71" s="38"/>
      <c r="D71" s="2"/>
      <c r="E71" s="2"/>
      <c r="F71" s="2"/>
      <c r="G71" s="2"/>
      <c r="H71" s="2"/>
      <c r="I71" s="2"/>
      <c r="J71" s="2"/>
      <c r="K71" s="61"/>
      <c r="L71" s="61"/>
      <c r="M71" s="61"/>
      <c r="N71" s="61"/>
      <c r="O71" s="61"/>
      <c r="P71" s="61"/>
      <c r="R71" s="2"/>
      <c r="S71" s="2"/>
      <c r="T71" s="2"/>
      <c r="U71" s="2"/>
      <c r="V71" s="2"/>
      <c r="W71" s="2"/>
      <c r="X71" s="2"/>
      <c r="Y71" s="2"/>
      <c r="Z71" s="2"/>
      <c r="AA71" s="2"/>
      <c r="AB71" s="2"/>
      <c r="AC71" s="2"/>
      <c r="AD71" s="2"/>
      <c r="AE71" s="2"/>
      <c r="AF71" s="2"/>
      <c r="AG71" s="2"/>
      <c r="AH71" s="2"/>
      <c r="AI71" s="2"/>
      <c r="AJ71" s="2"/>
    </row>
    <row r="72" spans="3:36" s="8" customFormat="1" ht="67.5" customHeight="1" x14ac:dyDescent="0.25">
      <c r="C72" s="230" t="s">
        <v>126</v>
      </c>
      <c r="D72" s="231"/>
      <c r="E72" s="231"/>
      <c r="F72" s="231"/>
      <c r="G72" s="231"/>
      <c r="H72" s="231"/>
      <c r="I72" s="231"/>
      <c r="J72" s="231"/>
      <c r="K72" s="231"/>
      <c r="L72" s="231"/>
      <c r="M72" s="231"/>
      <c r="N72" s="231"/>
      <c r="O72" s="231"/>
      <c r="P72" s="232"/>
      <c r="R72" s="2"/>
      <c r="S72" s="2"/>
      <c r="T72" s="2"/>
      <c r="U72" s="2"/>
      <c r="V72" s="2"/>
      <c r="W72" s="2"/>
      <c r="X72" s="2"/>
      <c r="Y72" s="2"/>
      <c r="Z72" s="2"/>
      <c r="AA72" s="2"/>
      <c r="AB72" s="2"/>
      <c r="AC72" s="2"/>
      <c r="AD72" s="2"/>
      <c r="AE72" s="2"/>
      <c r="AF72" s="2"/>
      <c r="AG72" s="2"/>
      <c r="AH72" s="2"/>
      <c r="AI72" s="2"/>
      <c r="AJ72" s="2"/>
    </row>
  </sheetData>
  <mergeCells count="7">
    <mergeCell ref="C72:P72"/>
    <mergeCell ref="C3:P3"/>
    <mergeCell ref="C4:P4"/>
    <mergeCell ref="C6:K6"/>
    <mergeCell ref="C60:P60"/>
    <mergeCell ref="C61:P61"/>
    <mergeCell ref="C63:P63"/>
  </mergeCells>
  <conditionalFormatting sqref="D53 O53 D59:P59">
    <cfRule type="cellIs" dxfId="0" priority="1" operator="lessThan">
      <formula>0</formula>
    </cfRule>
  </conditionalFormatting>
  <printOptions horizontalCentered="1" verticalCentered="1"/>
  <pageMargins left="0.25" right="0.25" top="0.75" bottom="0.75" header="0.3" footer="0.3"/>
  <pageSetup paperSize="8" scale="79"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02B6B2-9BC8-4C6D-A6E3-63F662DE15D2}">
  <sheetPr>
    <tabColor rgb="FFC00000"/>
  </sheetPr>
  <dimension ref="B1:Q107"/>
  <sheetViews>
    <sheetView showGridLines="0" view="pageBreakPreview" zoomScaleNormal="100" zoomScaleSheetLayoutView="100" workbookViewId="0"/>
  </sheetViews>
  <sheetFormatPr baseColWidth="10" defaultColWidth="11.5703125" defaultRowHeight="15" x14ac:dyDescent="0.25"/>
  <cols>
    <col min="1" max="2" width="3.7109375" style="60" customWidth="1"/>
    <col min="3" max="3" width="51.7109375" style="60" customWidth="1"/>
    <col min="4" max="4" width="14.42578125" style="60" customWidth="1"/>
    <col min="5" max="5" width="13.140625" style="60" customWidth="1"/>
    <col min="6" max="6" width="14" style="62" customWidth="1"/>
    <col min="7" max="8" width="12.42578125" style="60" customWidth="1"/>
    <col min="9" max="9" width="12" style="60" customWidth="1"/>
    <col min="10" max="10" width="10.85546875" style="63" customWidth="1"/>
    <col min="11" max="11" width="3.7109375" style="60" customWidth="1"/>
    <col min="12" max="16384" width="11.5703125" style="60"/>
  </cols>
  <sheetData>
    <row r="1" spans="2:17" ht="10.5" customHeight="1" x14ac:dyDescent="0.25"/>
    <row r="2" spans="2:17" ht="10.5" customHeight="1" x14ac:dyDescent="0.25"/>
    <row r="3" spans="2:17" ht="15.75" x14ac:dyDescent="0.25">
      <c r="C3" s="233" t="s">
        <v>0</v>
      </c>
      <c r="D3" s="233"/>
      <c r="E3" s="233"/>
      <c r="F3" s="233"/>
      <c r="G3" s="233"/>
      <c r="H3" s="233"/>
      <c r="I3" s="233"/>
      <c r="J3" s="233"/>
      <c r="K3" s="4"/>
      <c r="L3" s="4"/>
      <c r="M3" s="4"/>
      <c r="N3" s="4"/>
      <c r="O3" s="4"/>
      <c r="P3" s="4"/>
      <c r="Q3" s="4"/>
    </row>
    <row r="4" spans="2:17" x14ac:dyDescent="0.25">
      <c r="B4" s="234" t="s">
        <v>1</v>
      </c>
      <c r="C4" s="243"/>
      <c r="D4" s="243"/>
      <c r="E4" s="243"/>
      <c r="F4" s="243"/>
      <c r="G4" s="243"/>
      <c r="H4" s="243"/>
      <c r="I4" s="243"/>
      <c r="J4" s="243"/>
      <c r="K4" s="243"/>
      <c r="L4" s="4"/>
      <c r="M4" s="4"/>
      <c r="N4" s="4"/>
      <c r="O4" s="4"/>
      <c r="P4" s="4"/>
      <c r="Q4" s="4"/>
    </row>
    <row r="5" spans="2:17" x14ac:dyDescent="0.25">
      <c r="C5" s="202"/>
      <c r="D5" s="4"/>
      <c r="E5" s="4"/>
      <c r="F5" s="3"/>
      <c r="G5" s="4"/>
      <c r="H5" s="4"/>
      <c r="I5" s="4"/>
      <c r="J5" s="3"/>
      <c r="K5" s="4"/>
      <c r="L5" s="4"/>
      <c r="M5" s="4"/>
      <c r="N5" s="4"/>
      <c r="O5" s="4"/>
      <c r="P5" s="4"/>
      <c r="Q5" s="4"/>
    </row>
    <row r="6" spans="2:17" ht="15.75" x14ac:dyDescent="0.25">
      <c r="C6" s="64" t="s">
        <v>27</v>
      </c>
      <c r="D6" s="65"/>
      <c r="E6" s="65"/>
      <c r="F6" s="66"/>
    </row>
    <row r="7" spans="2:17" x14ac:dyDescent="0.25">
      <c r="C7" s="67" t="s">
        <v>28</v>
      </c>
      <c r="D7" s="68"/>
      <c r="E7" s="68"/>
      <c r="F7" s="69"/>
    </row>
    <row r="8" spans="2:17" ht="27" customHeight="1" x14ac:dyDescent="0.25">
      <c r="C8" s="70"/>
      <c r="D8" s="244" t="s">
        <v>139</v>
      </c>
      <c r="E8" s="245"/>
      <c r="F8" s="245"/>
      <c r="G8" s="246" t="s">
        <v>140</v>
      </c>
      <c r="H8" s="247"/>
      <c r="I8" s="247"/>
      <c r="J8" s="248"/>
    </row>
    <row r="9" spans="2:17" ht="25.5" customHeight="1" x14ac:dyDescent="0.25">
      <c r="C9" s="71" t="s">
        <v>29</v>
      </c>
      <c r="D9" s="96">
        <v>2025</v>
      </c>
      <c r="E9" s="95">
        <v>2026</v>
      </c>
      <c r="F9" s="136" t="s">
        <v>24</v>
      </c>
      <c r="G9" s="96">
        <v>2025</v>
      </c>
      <c r="H9" s="95">
        <v>2026</v>
      </c>
      <c r="I9" s="136" t="s">
        <v>24</v>
      </c>
      <c r="J9" s="137" t="s">
        <v>30</v>
      </c>
    </row>
    <row r="10" spans="2:17" ht="6.75" customHeight="1" x14ac:dyDescent="0.25">
      <c r="D10" s="63"/>
      <c r="E10" s="63"/>
      <c r="F10" s="63"/>
      <c r="G10" s="63"/>
      <c r="H10" s="63"/>
      <c r="I10" s="63"/>
    </row>
    <row r="11" spans="2:17" x14ac:dyDescent="0.25">
      <c r="C11" s="72" t="s">
        <v>31</v>
      </c>
      <c r="D11" s="106">
        <f>SUM(D12:D22)</f>
        <v>228931.82027097614</v>
      </c>
      <c r="E11" s="97">
        <f>SUM(E12:E22)</f>
        <v>218232.08372879701</v>
      </c>
      <c r="F11" s="107">
        <f t="shared" ref="F11:F74" si="0">(E11-D11)/D11</f>
        <v>-4.6737655471023397E-2</v>
      </c>
      <c r="G11" s="106">
        <f>SUM(G12:G22)</f>
        <v>1336911.6495914774</v>
      </c>
      <c r="H11" s="97">
        <f>SUM(H12:H22)</f>
        <v>1362599.5386438963</v>
      </c>
      <c r="I11" s="107">
        <f t="shared" ref="I11:I74" si="1">(H11-G11)/G11</f>
        <v>1.9214350522166884E-2</v>
      </c>
      <c r="J11" s="108">
        <f>SUM(J12:J22)</f>
        <v>1.0000000000000002</v>
      </c>
    </row>
    <row r="12" spans="2:17" x14ac:dyDescent="0.25">
      <c r="B12" s="175"/>
      <c r="C12" s="192" t="s">
        <v>34</v>
      </c>
      <c r="D12" s="101">
        <v>25129.412254000003</v>
      </c>
      <c r="E12" s="101">
        <v>29483.015197799999</v>
      </c>
      <c r="F12" s="109">
        <f t="shared" si="0"/>
        <v>0.17324730478354133</v>
      </c>
      <c r="G12" s="101">
        <v>166512.09430800998</v>
      </c>
      <c r="H12" s="101">
        <v>248876.10699440003</v>
      </c>
      <c r="I12" s="110">
        <f t="shared" si="1"/>
        <v>0.49464282476704141</v>
      </c>
      <c r="J12" s="111">
        <f>(H12/$H$11)</f>
        <v>0.18264801941888933</v>
      </c>
    </row>
    <row r="13" spans="2:17" x14ac:dyDescent="0.25">
      <c r="B13" s="175"/>
      <c r="C13" s="193" t="s">
        <v>33</v>
      </c>
      <c r="D13" s="101">
        <v>37715.490131999999</v>
      </c>
      <c r="E13" s="101">
        <v>35159.859839999997</v>
      </c>
      <c r="F13" s="112">
        <f t="shared" si="0"/>
        <v>-6.7760760447645813E-2</v>
      </c>
      <c r="G13" s="101">
        <v>210642.75981799999</v>
      </c>
      <c r="H13" s="101">
        <v>210204.61178399998</v>
      </c>
      <c r="I13" s="110">
        <f t="shared" si="1"/>
        <v>-2.0800526653685231E-3</v>
      </c>
      <c r="J13" s="113">
        <f t="shared" ref="J13:J22" si="2">(H13/$H$11)</f>
        <v>0.15426734401598469</v>
      </c>
    </row>
    <row r="14" spans="2:17" x14ac:dyDescent="0.25">
      <c r="B14" s="175"/>
      <c r="C14" s="193" t="s">
        <v>72</v>
      </c>
      <c r="D14" s="101">
        <v>36994.965945600001</v>
      </c>
      <c r="E14" s="101">
        <v>33910.9729171</v>
      </c>
      <c r="F14" s="112">
        <f t="shared" si="0"/>
        <v>-8.3362504861740405E-2</v>
      </c>
      <c r="G14" s="101">
        <v>202027.38083569999</v>
      </c>
      <c r="H14" s="101">
        <v>193718.42558139999</v>
      </c>
      <c r="I14" s="110">
        <f t="shared" si="1"/>
        <v>-4.1127867024407509E-2</v>
      </c>
      <c r="J14" s="113">
        <f t="shared" si="2"/>
        <v>0.14216827474798274</v>
      </c>
    </row>
    <row r="15" spans="2:17" x14ac:dyDescent="0.25">
      <c r="B15" s="175"/>
      <c r="C15" s="193" t="s">
        <v>32</v>
      </c>
      <c r="D15" s="101">
        <v>34305.645620894</v>
      </c>
      <c r="E15" s="101">
        <v>28859.551878516002</v>
      </c>
      <c r="F15" s="112">
        <f t="shared" si="0"/>
        <v>-0.15875211335655584</v>
      </c>
      <c r="G15" s="101">
        <v>210263.99049124602</v>
      </c>
      <c r="H15" s="101">
        <v>187337.30851528401</v>
      </c>
      <c r="I15" s="110">
        <f t="shared" si="1"/>
        <v>-0.10903760516671315</v>
      </c>
      <c r="J15" s="113">
        <f t="shared" si="2"/>
        <v>0.13748522819971612</v>
      </c>
    </row>
    <row r="16" spans="2:17" x14ac:dyDescent="0.25">
      <c r="B16" s="175"/>
      <c r="C16" s="193" t="s">
        <v>35</v>
      </c>
      <c r="D16" s="101">
        <v>27990.208362599999</v>
      </c>
      <c r="E16" s="101">
        <v>25002.143697700001</v>
      </c>
      <c r="F16" s="112">
        <f t="shared" si="0"/>
        <v>-0.10675392716592258</v>
      </c>
      <c r="G16" s="101">
        <v>156616.41244032871</v>
      </c>
      <c r="H16" s="101">
        <v>148449.08459545099</v>
      </c>
      <c r="I16" s="110">
        <f t="shared" si="1"/>
        <v>-5.2148607656234636E-2</v>
      </c>
      <c r="J16" s="113">
        <f t="shared" si="2"/>
        <v>0.10894549747403583</v>
      </c>
    </row>
    <row r="17" spans="2:10" x14ac:dyDescent="0.25">
      <c r="B17" s="175"/>
      <c r="C17" s="193" t="s">
        <v>36</v>
      </c>
      <c r="D17" s="101">
        <v>18639.036980000001</v>
      </c>
      <c r="E17" s="101">
        <v>21951.517988</v>
      </c>
      <c r="F17" s="112">
        <f t="shared" si="0"/>
        <v>0.17771739020392235</v>
      </c>
      <c r="G17" s="101">
        <v>119136.80081799999</v>
      </c>
      <c r="H17" s="101">
        <v>115576.34356500002</v>
      </c>
      <c r="I17" s="110">
        <f t="shared" si="1"/>
        <v>-2.98854529293524E-2</v>
      </c>
      <c r="J17" s="113">
        <f t="shared" si="2"/>
        <v>8.4820477541057565E-2</v>
      </c>
    </row>
    <row r="18" spans="2:10" x14ac:dyDescent="0.25">
      <c r="B18" s="175"/>
      <c r="C18" s="193" t="s">
        <v>61</v>
      </c>
      <c r="D18" s="101">
        <v>11382.99874563</v>
      </c>
      <c r="E18" s="101">
        <v>9478.9376630000006</v>
      </c>
      <c r="F18" s="112">
        <f t="shared" si="0"/>
        <v>-0.16727236163150594</v>
      </c>
      <c r="G18" s="101">
        <v>68263.221501609994</v>
      </c>
      <c r="H18" s="101">
        <v>53677.660565900005</v>
      </c>
      <c r="I18" s="110">
        <f t="shared" si="1"/>
        <v>-0.21366646072169312</v>
      </c>
      <c r="J18" s="113">
        <f t="shared" si="2"/>
        <v>3.939357018961108E-2</v>
      </c>
    </row>
    <row r="19" spans="2:10" x14ac:dyDescent="0.25">
      <c r="B19" s="175"/>
      <c r="C19" s="193" t="s">
        <v>37</v>
      </c>
      <c r="D19" s="101">
        <v>11020.71135</v>
      </c>
      <c r="E19" s="101">
        <v>8167.2546457600001</v>
      </c>
      <c r="F19" s="112">
        <f t="shared" si="0"/>
        <v>-0.25891765183016063</v>
      </c>
      <c r="G19" s="101">
        <v>48081.853124000001</v>
      </c>
      <c r="H19" s="101">
        <v>48010.621367879998</v>
      </c>
      <c r="I19" s="110">
        <f t="shared" si="1"/>
        <v>-1.4814686101282599E-3</v>
      </c>
      <c r="J19" s="113">
        <f t="shared" si="2"/>
        <v>3.5234579204145147E-2</v>
      </c>
    </row>
    <row r="20" spans="2:10" x14ac:dyDescent="0.25">
      <c r="B20" s="175"/>
      <c r="C20" s="193" t="s">
        <v>38</v>
      </c>
      <c r="D20" s="101">
        <v>6251.7566841199996</v>
      </c>
      <c r="E20" s="101">
        <v>6099.7009821900001</v>
      </c>
      <c r="F20" s="112">
        <f t="shared" si="0"/>
        <v>-2.4322076116019369E-2</v>
      </c>
      <c r="G20" s="101">
        <v>42003.006879550005</v>
      </c>
      <c r="H20" s="101">
        <v>40018.722001919996</v>
      </c>
      <c r="I20" s="110">
        <f t="shared" si="1"/>
        <v>-4.7241495908144075E-2</v>
      </c>
      <c r="J20" s="113">
        <f t="shared" si="2"/>
        <v>2.9369393476933021E-2</v>
      </c>
    </row>
    <row r="21" spans="2:10" x14ac:dyDescent="0.25">
      <c r="B21" s="175"/>
      <c r="C21" s="193" t="s">
        <v>39</v>
      </c>
      <c r="D21" s="101">
        <v>4497.1559040000002</v>
      </c>
      <c r="E21" s="101">
        <v>5349.7477680000002</v>
      </c>
      <c r="F21" s="112">
        <f t="shared" si="0"/>
        <v>0.18958468022904459</v>
      </c>
      <c r="G21" s="101">
        <v>25142.316843600001</v>
      </c>
      <c r="H21" s="101">
        <v>24851.489568100002</v>
      </c>
      <c r="I21" s="110">
        <f t="shared" si="1"/>
        <v>-1.1567242482429782E-2</v>
      </c>
      <c r="J21" s="113">
        <f t="shared" si="2"/>
        <v>1.8238292956441932E-2</v>
      </c>
    </row>
    <row r="22" spans="2:10" x14ac:dyDescent="0.2">
      <c r="B22" s="175"/>
      <c r="C22" s="194" t="s">
        <v>141</v>
      </c>
      <c r="D22" s="101">
        <v>15004.438292132101</v>
      </c>
      <c r="E22" s="101">
        <v>14769.381150731</v>
      </c>
      <c r="F22" s="114">
        <f t="shared" si="0"/>
        <v>-1.566584078821253E-2</v>
      </c>
      <c r="G22" s="101">
        <v>88221.812531432923</v>
      </c>
      <c r="H22" s="101">
        <v>91879.164104561409</v>
      </c>
      <c r="I22" s="110">
        <f t="shared" si="1"/>
        <v>4.1456318660709819E-2</v>
      </c>
      <c r="J22" s="123">
        <f t="shared" si="2"/>
        <v>6.7429322775202583E-2</v>
      </c>
    </row>
    <row r="23" spans="2:10" x14ac:dyDescent="0.25">
      <c r="B23" s="175"/>
      <c r="C23" s="174" t="s">
        <v>40</v>
      </c>
      <c r="D23" s="106">
        <f>SUM(D24:D34)</f>
        <v>9221884.1855008882</v>
      </c>
      <c r="E23" s="97">
        <f>SUM(E24:E34)</f>
        <v>7941508.7744702753</v>
      </c>
      <c r="F23" s="107">
        <f t="shared" si="0"/>
        <v>-0.13884097710136978</v>
      </c>
      <c r="G23" s="106">
        <f>SUM(G24:G34)</f>
        <v>52977577.907957986</v>
      </c>
      <c r="H23" s="97">
        <f>SUM(H24:H34)</f>
        <v>49853779.623135537</v>
      </c>
      <c r="I23" s="107">
        <f t="shared" si="1"/>
        <v>-5.8964535718293194E-2</v>
      </c>
      <c r="J23" s="108">
        <f>SUM(J24:J34)</f>
        <v>1</v>
      </c>
    </row>
    <row r="24" spans="2:10" x14ac:dyDescent="0.25">
      <c r="B24" s="175"/>
      <c r="C24" s="195" t="s">
        <v>41</v>
      </c>
      <c r="D24" s="101">
        <v>1511328.1554</v>
      </c>
      <c r="E24" s="101">
        <v>1335236.2767999999</v>
      </c>
      <c r="F24" s="109">
        <f t="shared" si="0"/>
        <v>-0.11651465498794622</v>
      </c>
      <c r="G24" s="101">
        <v>7348505.9019000009</v>
      </c>
      <c r="H24" s="101">
        <v>8445812.2437999994</v>
      </c>
      <c r="I24" s="109">
        <f t="shared" si="1"/>
        <v>0.14932373417789366</v>
      </c>
      <c r="J24" s="111">
        <f>(H24/$H$23)</f>
        <v>0.16941167365133072</v>
      </c>
    </row>
    <row r="25" spans="2:10" x14ac:dyDescent="0.25">
      <c r="B25" s="175"/>
      <c r="C25" s="196" t="s">
        <v>42</v>
      </c>
      <c r="D25" s="101">
        <v>669095.40528000006</v>
      </c>
      <c r="E25" s="101">
        <v>0</v>
      </c>
      <c r="F25" s="112" t="s">
        <v>43</v>
      </c>
      <c r="G25" s="101">
        <v>4295712.5034299996</v>
      </c>
      <c r="H25" s="101">
        <v>3284997.4596800003</v>
      </c>
      <c r="I25" s="112">
        <f t="shared" si="1"/>
        <v>-0.23528461063047704</v>
      </c>
      <c r="J25" s="113">
        <f t="shared" ref="J25:J34" si="3">(H25/$H$23)</f>
        <v>6.5892646144637315E-2</v>
      </c>
    </row>
    <row r="26" spans="2:10" x14ac:dyDescent="0.25">
      <c r="B26" s="175"/>
      <c r="C26" s="196" t="s">
        <v>44</v>
      </c>
      <c r="D26" s="101">
        <v>461594.94300000003</v>
      </c>
      <c r="E26" s="101">
        <v>423268.30800000002</v>
      </c>
      <c r="F26" s="112">
        <f t="shared" si="0"/>
        <v>-8.303088147133364E-2</v>
      </c>
      <c r="G26" s="101">
        <v>2705111.1809999999</v>
      </c>
      <c r="H26" s="101">
        <v>2489049.4590000003</v>
      </c>
      <c r="I26" s="112">
        <f t="shared" si="1"/>
        <v>-7.9871660550428075E-2</v>
      </c>
      <c r="J26" s="113">
        <f t="shared" si="3"/>
        <v>4.9926996063602617E-2</v>
      </c>
    </row>
    <row r="27" spans="2:10" x14ac:dyDescent="0.25">
      <c r="B27" s="175"/>
      <c r="C27" s="196" t="s">
        <v>45</v>
      </c>
      <c r="D27" s="101">
        <v>594607.48400000005</v>
      </c>
      <c r="E27" s="101">
        <v>355825.86599999998</v>
      </c>
      <c r="F27" s="112">
        <f t="shared" si="0"/>
        <v>-0.4015785613623391</v>
      </c>
      <c r="G27" s="101">
        <v>2734305.0210000002</v>
      </c>
      <c r="H27" s="101">
        <v>2262234.023</v>
      </c>
      <c r="I27" s="112">
        <f t="shared" si="1"/>
        <v>-0.17264752629074007</v>
      </c>
      <c r="J27" s="113">
        <f t="shared" si="3"/>
        <v>4.5377382419169075E-2</v>
      </c>
    </row>
    <row r="28" spans="2:10" x14ac:dyDescent="0.25">
      <c r="B28" s="175"/>
      <c r="C28" s="196" t="s">
        <v>49</v>
      </c>
      <c r="D28" s="101">
        <v>321078.59491824999</v>
      </c>
      <c r="E28" s="101">
        <v>335451.87387305999</v>
      </c>
      <c r="F28" s="112">
        <f t="shared" si="0"/>
        <v>4.4765609362622215E-2</v>
      </c>
      <c r="G28" s="101">
        <v>1626162.1133016651</v>
      </c>
      <c r="H28" s="101">
        <v>2000478.4326401218</v>
      </c>
      <c r="I28" s="112">
        <f t="shared" si="1"/>
        <v>0.23018388897184833</v>
      </c>
      <c r="J28" s="211">
        <f t="shared" si="3"/>
        <v>4.0126916108718949E-2</v>
      </c>
    </row>
    <row r="29" spans="2:10" x14ac:dyDescent="0.25">
      <c r="B29" s="175"/>
      <c r="C29" s="196" t="s">
        <v>46</v>
      </c>
      <c r="D29" s="101">
        <v>359942.40000000002</v>
      </c>
      <c r="E29" s="101">
        <v>378351.27</v>
      </c>
      <c r="F29" s="112">
        <f t="shared" si="0"/>
        <v>5.1143933029284668E-2</v>
      </c>
      <c r="G29" s="101">
        <v>2193258.23</v>
      </c>
      <c r="H29" s="101">
        <v>1980496.11</v>
      </c>
      <c r="I29" s="112">
        <f t="shared" si="1"/>
        <v>-9.7007327769151871E-2</v>
      </c>
      <c r="J29" s="211">
        <f t="shared" si="3"/>
        <v>3.9726097498953027E-2</v>
      </c>
    </row>
    <row r="30" spans="2:10" x14ac:dyDescent="0.25">
      <c r="B30" s="175"/>
      <c r="C30" s="196" t="s">
        <v>47</v>
      </c>
      <c r="D30" s="101">
        <v>128899.955841319</v>
      </c>
      <c r="E30" s="101">
        <v>267095.09694720001</v>
      </c>
      <c r="F30" s="112">
        <f t="shared" si="0"/>
        <v>1.0721116248946181</v>
      </c>
      <c r="G30" s="101">
        <v>1722848.098423142</v>
      </c>
      <c r="H30" s="101">
        <v>1906510.1263051401</v>
      </c>
      <c r="I30" s="112">
        <f t="shared" si="1"/>
        <v>0.10660372673023062</v>
      </c>
      <c r="J30" s="113">
        <f t="shared" si="3"/>
        <v>3.8242037829773493E-2</v>
      </c>
    </row>
    <row r="31" spans="2:10" x14ac:dyDescent="0.25">
      <c r="B31" s="175"/>
      <c r="C31" s="196" t="s">
        <v>48</v>
      </c>
      <c r="D31" s="101">
        <v>395100.18865800003</v>
      </c>
      <c r="E31" s="101">
        <v>283990.87079999998</v>
      </c>
      <c r="F31" s="112">
        <f t="shared" si="0"/>
        <v>-0.28121808353317856</v>
      </c>
      <c r="G31" s="101">
        <v>1987951.444197</v>
      </c>
      <c r="H31" s="101">
        <v>1575403.1891050001</v>
      </c>
      <c r="I31" s="112">
        <f t="shared" si="1"/>
        <v>-0.20752431167082247</v>
      </c>
      <c r="J31" s="113">
        <f t="shared" si="3"/>
        <v>3.1600476453622912E-2</v>
      </c>
    </row>
    <row r="32" spans="2:10" x14ac:dyDescent="0.25">
      <c r="B32" s="175"/>
      <c r="C32" s="196" t="s">
        <v>125</v>
      </c>
      <c r="D32" s="101">
        <v>415436.89032000001</v>
      </c>
      <c r="E32" s="101">
        <v>288433.39260000002</v>
      </c>
      <c r="F32" s="112">
        <f t="shared" si="0"/>
        <v>-0.30571068838439591</v>
      </c>
      <c r="G32" s="101">
        <v>2884883.2508000005</v>
      </c>
      <c r="H32" s="101">
        <v>1561271.9267199999</v>
      </c>
      <c r="I32" s="112">
        <f t="shared" si="1"/>
        <v>-0.4588093205203202</v>
      </c>
      <c r="J32" s="113">
        <f t="shared" si="3"/>
        <v>3.1317022270372932E-2</v>
      </c>
    </row>
    <row r="33" spans="2:10" x14ac:dyDescent="0.25">
      <c r="B33" s="175"/>
      <c r="C33" s="196" t="s">
        <v>123</v>
      </c>
      <c r="D33" s="101">
        <v>216906.867</v>
      </c>
      <c r="E33" s="101">
        <v>257945.80600800001</v>
      </c>
      <c r="F33" s="112">
        <f t="shared" si="0"/>
        <v>0.18920073659078768</v>
      </c>
      <c r="G33" s="101">
        <v>1326537.6864479999</v>
      </c>
      <c r="H33" s="101">
        <v>1511199.0049259998</v>
      </c>
      <c r="I33" s="112">
        <f t="shared" si="1"/>
        <v>0.13920548233534003</v>
      </c>
      <c r="J33" s="113">
        <f t="shared" si="3"/>
        <v>3.0312626572142603E-2</v>
      </c>
    </row>
    <row r="34" spans="2:10" x14ac:dyDescent="0.2">
      <c r="B34" s="175"/>
      <c r="C34" s="197" t="s">
        <v>142</v>
      </c>
      <c r="D34" s="101">
        <v>4147893.3010833184</v>
      </c>
      <c r="E34" s="101">
        <v>4015910.0134420157</v>
      </c>
      <c r="F34" s="116">
        <f t="shared" si="0"/>
        <v>-3.1819354564118656E-2</v>
      </c>
      <c r="G34" s="101">
        <v>24152302.477458183</v>
      </c>
      <c r="H34" s="101">
        <v>22836327.647959277</v>
      </c>
      <c r="I34" s="116">
        <f t="shared" si="1"/>
        <v>-5.4486516584790652E-2</v>
      </c>
      <c r="J34" s="123">
        <f t="shared" si="3"/>
        <v>0.4580661249876764</v>
      </c>
    </row>
    <row r="35" spans="2:10" x14ac:dyDescent="0.25">
      <c r="C35" s="75" t="s">
        <v>50</v>
      </c>
      <c r="D35" s="106">
        <f>SUM(D36:D46)</f>
        <v>136355.642412455</v>
      </c>
      <c r="E35" s="97">
        <f>SUM(E36:E46)</f>
        <v>101132.975713002</v>
      </c>
      <c r="F35" s="107">
        <f t="shared" si="0"/>
        <v>-0.25831469879999397</v>
      </c>
      <c r="G35" s="106">
        <f>SUM(G36:G46)</f>
        <v>716684.24400065606</v>
      </c>
      <c r="H35" s="97">
        <f>SUM(H36:H46)</f>
        <v>643912.85087366612</v>
      </c>
      <c r="I35" s="107">
        <f t="shared" si="1"/>
        <v>-0.10153898838457419</v>
      </c>
      <c r="J35" s="108">
        <f>SUM(J36:J46)</f>
        <v>1.0000000000000002</v>
      </c>
    </row>
    <row r="36" spans="2:10" x14ac:dyDescent="0.25">
      <c r="B36" s="175"/>
      <c r="C36" s="195" t="s">
        <v>34</v>
      </c>
      <c r="D36" s="101">
        <v>55656.313662699999</v>
      </c>
      <c r="E36" s="101">
        <v>16327.821211400002</v>
      </c>
      <c r="F36" s="109">
        <f t="shared" si="0"/>
        <v>-0.70663128517003004</v>
      </c>
      <c r="G36" s="101">
        <v>256560.78326485003</v>
      </c>
      <c r="H36" s="101">
        <v>152716.61733869999</v>
      </c>
      <c r="I36" s="119">
        <f t="shared" si="1"/>
        <v>-0.40475463398843292</v>
      </c>
      <c r="J36" s="120">
        <f>(H36/$H$35)</f>
        <v>0.23716969948882502</v>
      </c>
    </row>
    <row r="37" spans="2:10" x14ac:dyDescent="0.25">
      <c r="B37" s="175"/>
      <c r="C37" s="196" t="s">
        <v>51</v>
      </c>
      <c r="D37" s="101">
        <v>15136.914699921001</v>
      </c>
      <c r="E37" s="101">
        <v>12220.215696597999</v>
      </c>
      <c r="F37" s="112">
        <f t="shared" si="0"/>
        <v>-0.19268781393993212</v>
      </c>
      <c r="G37" s="101">
        <v>81931.878416915002</v>
      </c>
      <c r="H37" s="101">
        <v>72017.680654291995</v>
      </c>
      <c r="I37" s="121">
        <f t="shared" si="1"/>
        <v>-0.12100537610249884</v>
      </c>
      <c r="J37" s="122">
        <f t="shared" ref="J37:J46" si="4">(H37/$H$35)</f>
        <v>0.11184383190454707</v>
      </c>
    </row>
    <row r="38" spans="2:10" x14ac:dyDescent="0.25">
      <c r="B38" s="175"/>
      <c r="C38" s="196" t="s">
        <v>52</v>
      </c>
      <c r="D38" s="101">
        <v>8202.7286000000004</v>
      </c>
      <c r="E38" s="101">
        <v>7870.3315000000002</v>
      </c>
      <c r="F38" s="112">
        <f t="shared" si="0"/>
        <v>-4.052274751599122E-2</v>
      </c>
      <c r="G38" s="101">
        <v>43215.474500000004</v>
      </c>
      <c r="H38" s="101">
        <v>46492.869099999996</v>
      </c>
      <c r="I38" s="121">
        <f t="shared" si="1"/>
        <v>7.5838449951532799E-2</v>
      </c>
      <c r="J38" s="122">
        <f t="shared" si="4"/>
        <v>7.2203667059786272E-2</v>
      </c>
    </row>
    <row r="39" spans="2:10" x14ac:dyDescent="0.25">
      <c r="B39" s="175"/>
      <c r="C39" s="196" t="s">
        <v>54</v>
      </c>
      <c r="D39" s="101">
        <v>2699.1286689999997</v>
      </c>
      <c r="E39" s="101">
        <v>5199.7440229999993</v>
      </c>
      <c r="F39" s="112">
        <f t="shared" si="0"/>
        <v>0.92645281520663947</v>
      </c>
      <c r="G39" s="101">
        <v>25352.740761000001</v>
      </c>
      <c r="H39" s="101">
        <v>33246.450732999998</v>
      </c>
      <c r="I39" s="121">
        <f t="shared" si="1"/>
        <v>0.31135529079139457</v>
      </c>
      <c r="J39" s="122">
        <f t="shared" si="4"/>
        <v>5.1631910572822001E-2</v>
      </c>
    </row>
    <row r="40" spans="2:10" x14ac:dyDescent="0.25">
      <c r="B40" s="175"/>
      <c r="C40" s="196" t="s">
        <v>36</v>
      </c>
      <c r="D40" s="101">
        <v>3804.4565200000002</v>
      </c>
      <c r="E40" s="101">
        <v>6654.5520800000004</v>
      </c>
      <c r="F40" s="121">
        <f t="shared" si="0"/>
        <v>0.74914657192612633</v>
      </c>
      <c r="G40" s="101">
        <v>24342.677200999999</v>
      </c>
      <c r="H40" s="101">
        <v>32403.239700000002</v>
      </c>
      <c r="I40" s="121">
        <f t="shared" si="1"/>
        <v>0.3311288414352746</v>
      </c>
      <c r="J40" s="122">
        <f t="shared" si="4"/>
        <v>5.0322399461410074E-2</v>
      </c>
    </row>
    <row r="41" spans="2:10" x14ac:dyDescent="0.25">
      <c r="B41" s="175"/>
      <c r="C41" s="196" t="s">
        <v>56</v>
      </c>
      <c r="D41" s="101">
        <v>4484.5838592</v>
      </c>
      <c r="E41" s="101">
        <v>5023.1553366999997</v>
      </c>
      <c r="F41" s="121">
        <f t="shared" si="0"/>
        <v>0.12009396956534443</v>
      </c>
      <c r="G41" s="101">
        <v>24809.165308900003</v>
      </c>
      <c r="H41" s="101">
        <v>29325.033633799998</v>
      </c>
      <c r="I41" s="121">
        <f t="shared" si="1"/>
        <v>0.18202419423115293</v>
      </c>
      <c r="J41" s="122">
        <f t="shared" si="4"/>
        <v>4.5541929461434968E-2</v>
      </c>
    </row>
    <row r="42" spans="2:10" x14ac:dyDescent="0.25">
      <c r="B42" s="175"/>
      <c r="C42" s="196" t="s">
        <v>57</v>
      </c>
      <c r="D42" s="101">
        <v>3998.2861464600001</v>
      </c>
      <c r="E42" s="101">
        <v>4017.1912399900002</v>
      </c>
      <c r="F42" s="121">
        <f t="shared" si="0"/>
        <v>4.7282992856172478E-3</v>
      </c>
      <c r="G42" s="101">
        <v>20918.97903051</v>
      </c>
      <c r="H42" s="101">
        <v>26361.117606589996</v>
      </c>
      <c r="I42" s="121">
        <f t="shared" si="1"/>
        <v>0.26015316369612129</v>
      </c>
      <c r="J42" s="212">
        <f t="shared" si="4"/>
        <v>4.0938952485298316E-2</v>
      </c>
    </row>
    <row r="43" spans="2:10" x14ac:dyDescent="0.25">
      <c r="B43" s="175"/>
      <c r="C43" s="196" t="s">
        <v>119</v>
      </c>
      <c r="D43" s="101">
        <v>2487.8997786999998</v>
      </c>
      <c r="E43" s="101">
        <v>2180.4404862999995</v>
      </c>
      <c r="F43" s="121">
        <f t="shared" si="0"/>
        <v>-0.12358186412181633</v>
      </c>
      <c r="G43" s="101">
        <v>17238.737225100002</v>
      </c>
      <c r="H43" s="101">
        <v>26099.080969099999</v>
      </c>
      <c r="I43" s="121">
        <f t="shared" si="1"/>
        <v>0.51397869973324561</v>
      </c>
      <c r="J43" s="212">
        <f t="shared" si="4"/>
        <v>4.0532008227027239E-2</v>
      </c>
    </row>
    <row r="44" spans="2:10" x14ac:dyDescent="0.25">
      <c r="B44" s="175"/>
      <c r="C44" s="196" t="s">
        <v>53</v>
      </c>
      <c r="D44" s="101">
        <v>3888.7990159999999</v>
      </c>
      <c r="E44" s="101">
        <v>4569.5723120000002</v>
      </c>
      <c r="F44" s="121">
        <f t="shared" si="0"/>
        <v>0.17506003606744389</v>
      </c>
      <c r="G44" s="101">
        <v>27039.917696</v>
      </c>
      <c r="H44" s="101">
        <v>24491.385202000001</v>
      </c>
      <c r="I44" s="121">
        <f t="shared" si="1"/>
        <v>-9.4250748935415657E-2</v>
      </c>
      <c r="J44" s="122">
        <f t="shared" si="4"/>
        <v>3.8035248355068385E-2</v>
      </c>
    </row>
    <row r="45" spans="2:10" x14ac:dyDescent="0.25">
      <c r="B45" s="175"/>
      <c r="C45" s="196" t="s">
        <v>55</v>
      </c>
      <c r="D45" s="101">
        <v>3309.4923757819997</v>
      </c>
      <c r="E45" s="101">
        <v>4544.6969263150004</v>
      </c>
      <c r="F45" s="121">
        <f t="shared" si="0"/>
        <v>0.37323081919508405</v>
      </c>
      <c r="G45" s="101">
        <v>24944.632132273</v>
      </c>
      <c r="H45" s="101">
        <v>21600.524378271002</v>
      </c>
      <c r="I45" s="121">
        <f t="shared" si="1"/>
        <v>-0.13406121751041741</v>
      </c>
      <c r="J45" s="122">
        <f t="shared" si="4"/>
        <v>3.3545726489171999E-2</v>
      </c>
    </row>
    <row r="46" spans="2:10" x14ac:dyDescent="0.2">
      <c r="B46" s="175"/>
      <c r="C46" s="198" t="s">
        <v>143</v>
      </c>
      <c r="D46" s="101">
        <v>32687.039084691995</v>
      </c>
      <c r="E46" s="101">
        <v>32525.254900699005</v>
      </c>
      <c r="F46" s="116">
        <f>(E46-D46)/D46</f>
        <v>-4.9494903338845563E-3</v>
      </c>
      <c r="G46" s="125">
        <v>170329.25846410799</v>
      </c>
      <c r="H46" s="125">
        <v>179158.85155791321</v>
      </c>
      <c r="I46" s="114">
        <f t="shared" si="1"/>
        <v>5.1838381575915818E-2</v>
      </c>
      <c r="J46" s="123">
        <f t="shared" si="4"/>
        <v>0.27823462649460878</v>
      </c>
    </row>
    <row r="47" spans="2:10" x14ac:dyDescent="0.25">
      <c r="B47" s="175"/>
      <c r="C47" s="177" t="s">
        <v>58</v>
      </c>
      <c r="D47" s="97">
        <f>SUM(D48:D58)</f>
        <v>310533.40676929872</v>
      </c>
      <c r="E47" s="97">
        <f>SUM(E48:E58)</f>
        <v>282494.02233459527</v>
      </c>
      <c r="F47" s="176">
        <f t="shared" si="0"/>
        <v>-9.0294260853984218E-2</v>
      </c>
      <c r="G47" s="106">
        <f>SUM(G48:G58)</f>
        <v>1801358.8738404065</v>
      </c>
      <c r="H47" s="97">
        <f>SUM(H48:H58)</f>
        <v>1748952.640629506</v>
      </c>
      <c r="I47" s="107">
        <f t="shared" si="1"/>
        <v>-2.9092611123719678E-2</v>
      </c>
      <c r="J47" s="108">
        <f>SUM(J48:J58)</f>
        <v>1</v>
      </c>
    </row>
    <row r="48" spans="2:10" x14ac:dyDescent="0.25">
      <c r="B48" s="175"/>
      <c r="C48" s="192" t="s">
        <v>34</v>
      </c>
      <c r="D48" s="101">
        <v>45027.5947346229</v>
      </c>
      <c r="E48" s="101">
        <v>27554.139118769501</v>
      </c>
      <c r="F48" s="109">
        <f t="shared" si="0"/>
        <v>-0.38806104831572541</v>
      </c>
      <c r="G48" s="101">
        <v>247638.2076247886</v>
      </c>
      <c r="H48" s="101">
        <v>261570.67578393707</v>
      </c>
      <c r="I48" s="112">
        <f t="shared" si="1"/>
        <v>5.6261383462516343E-2</v>
      </c>
      <c r="J48" s="111">
        <f>(H48/$H$47)</f>
        <v>0.14955846699759071</v>
      </c>
    </row>
    <row r="49" spans="2:10" x14ac:dyDescent="0.25">
      <c r="B49" s="175"/>
      <c r="C49" s="193" t="s">
        <v>59</v>
      </c>
      <c r="D49" s="101">
        <v>31816.1758313145</v>
      </c>
      <c r="E49" s="101">
        <v>33591.296095522695</v>
      </c>
      <c r="F49" s="112">
        <f t="shared" si="0"/>
        <v>5.5793011505206262E-2</v>
      </c>
      <c r="G49" s="101">
        <v>197682.46367893799</v>
      </c>
      <c r="H49" s="101">
        <v>202805.49633325741</v>
      </c>
      <c r="I49" s="112">
        <f t="shared" si="1"/>
        <v>2.591546341024915E-2</v>
      </c>
      <c r="J49" s="113">
        <f t="shared" ref="J49:J58" si="5">(H49/$H$47)</f>
        <v>0.11595825502756953</v>
      </c>
    </row>
    <row r="50" spans="2:10" x14ac:dyDescent="0.25">
      <c r="B50" s="175"/>
      <c r="C50" s="193" t="s">
        <v>36</v>
      </c>
      <c r="D50" s="101">
        <v>18032.812193273501</v>
      </c>
      <c r="E50" s="101">
        <v>24028.3283669472</v>
      </c>
      <c r="F50" s="112">
        <f t="shared" si="0"/>
        <v>0.33247815756158727</v>
      </c>
      <c r="G50" s="101">
        <v>114861.47214237921</v>
      </c>
      <c r="H50" s="101">
        <v>111391.02579658989</v>
      </c>
      <c r="I50" s="112">
        <f t="shared" si="1"/>
        <v>-3.0214190024375118E-2</v>
      </c>
      <c r="J50" s="113">
        <f t="shared" si="5"/>
        <v>6.3690132716513456E-2</v>
      </c>
    </row>
    <row r="51" spans="2:10" x14ac:dyDescent="0.25">
      <c r="B51" s="175"/>
      <c r="C51" s="193" t="s">
        <v>33</v>
      </c>
      <c r="D51" s="101">
        <v>11919.9030627426</v>
      </c>
      <c r="E51" s="101">
        <v>14581.2518164145</v>
      </c>
      <c r="F51" s="112">
        <f t="shared" si="0"/>
        <v>0.22326932858962042</v>
      </c>
      <c r="G51" s="101">
        <v>73584.326329484596</v>
      </c>
      <c r="H51" s="101">
        <v>87661.947628758106</v>
      </c>
      <c r="I51" s="112">
        <f t="shared" si="1"/>
        <v>0.1913127700080979</v>
      </c>
      <c r="J51" s="113">
        <f t="shared" si="5"/>
        <v>5.0122539394323262E-2</v>
      </c>
    </row>
    <row r="52" spans="2:10" x14ac:dyDescent="0.25">
      <c r="B52" s="175"/>
      <c r="C52" s="193" t="s">
        <v>32</v>
      </c>
      <c r="D52" s="101">
        <v>15305.752997133101</v>
      </c>
      <c r="E52" s="101">
        <v>12659.126923993699</v>
      </c>
      <c r="F52" s="112">
        <f t="shared" si="0"/>
        <v>-0.17291707723462788</v>
      </c>
      <c r="G52" s="101">
        <v>90210.375488449397</v>
      </c>
      <c r="H52" s="101">
        <v>83542.207117986385</v>
      </c>
      <c r="I52" s="112">
        <f t="shared" si="1"/>
        <v>-7.3917976001738397E-2</v>
      </c>
      <c r="J52" s="113">
        <f t="shared" si="5"/>
        <v>4.7766992185629895E-2</v>
      </c>
    </row>
    <row r="53" spans="2:10" x14ac:dyDescent="0.25">
      <c r="B53" s="175"/>
      <c r="C53" s="193" t="s">
        <v>51</v>
      </c>
      <c r="D53" s="101">
        <v>20024.492947524799</v>
      </c>
      <c r="E53" s="101">
        <v>13849.025293944</v>
      </c>
      <c r="F53" s="112">
        <f t="shared" si="0"/>
        <v>-0.3083957066860033</v>
      </c>
      <c r="G53" s="101">
        <v>107057.03929806058</v>
      </c>
      <c r="H53" s="101">
        <v>82215.432125859603</v>
      </c>
      <c r="I53" s="112">
        <f t="shared" si="1"/>
        <v>-0.23204085723909051</v>
      </c>
      <c r="J53" s="113">
        <f t="shared" si="5"/>
        <v>4.7008381025267526E-2</v>
      </c>
    </row>
    <row r="54" spans="2:10" x14ac:dyDescent="0.25">
      <c r="B54" s="175"/>
      <c r="C54" s="193" t="s">
        <v>46</v>
      </c>
      <c r="D54" s="101">
        <v>16690.048416284098</v>
      </c>
      <c r="E54" s="101">
        <v>11120.7437344142</v>
      </c>
      <c r="F54" s="112">
        <f t="shared" si="0"/>
        <v>-0.33369014534649616</v>
      </c>
      <c r="G54" s="101">
        <v>92102.716596870596</v>
      </c>
      <c r="H54" s="101">
        <v>71872.675243768594</v>
      </c>
      <c r="I54" s="112">
        <f t="shared" si="1"/>
        <v>-0.2196465218463422</v>
      </c>
      <c r="J54" s="113">
        <f t="shared" si="5"/>
        <v>4.1094694947199507E-2</v>
      </c>
    </row>
    <row r="55" spans="2:10" x14ac:dyDescent="0.25">
      <c r="B55" s="175"/>
      <c r="C55" s="193" t="s">
        <v>60</v>
      </c>
      <c r="D55" s="101">
        <v>11718.044697223901</v>
      </c>
      <c r="E55" s="101">
        <v>11307.696012445998</v>
      </c>
      <c r="F55" s="112">
        <f t="shared" si="0"/>
        <v>-3.5018528720505489E-2</v>
      </c>
      <c r="G55" s="101">
        <v>65169.185475292397</v>
      </c>
      <c r="H55" s="101">
        <v>64969.589001936809</v>
      </c>
      <c r="I55" s="112">
        <f t="shared" si="1"/>
        <v>-3.0627431031996161E-3</v>
      </c>
      <c r="J55" s="113">
        <f t="shared" si="5"/>
        <v>3.7147712003540646E-2</v>
      </c>
    </row>
    <row r="56" spans="2:10" x14ac:dyDescent="0.25">
      <c r="B56" s="175"/>
      <c r="C56" s="193" t="s">
        <v>53</v>
      </c>
      <c r="D56" s="101">
        <v>11103.26429581</v>
      </c>
      <c r="E56" s="101">
        <v>12170.377517298999</v>
      </c>
      <c r="F56" s="112">
        <f t="shared" si="0"/>
        <v>9.6108062733559471E-2</v>
      </c>
      <c r="G56" s="101">
        <v>67995.895959833797</v>
      </c>
      <c r="H56" s="101">
        <v>63123.776677406597</v>
      </c>
      <c r="I56" s="112">
        <f t="shared" si="1"/>
        <v>-7.1653137496787075E-2</v>
      </c>
      <c r="J56" s="113">
        <f t="shared" si="5"/>
        <v>3.6092330467385476E-2</v>
      </c>
    </row>
    <row r="57" spans="2:10" x14ac:dyDescent="0.25">
      <c r="B57" s="175"/>
      <c r="C57" s="193" t="s">
        <v>119</v>
      </c>
      <c r="D57" s="101">
        <v>5912.7313031034</v>
      </c>
      <c r="E57" s="101">
        <v>9266.9245032052004</v>
      </c>
      <c r="F57" s="112">
        <f t="shared" si="0"/>
        <v>0.56728321111789637</v>
      </c>
      <c r="G57" s="101">
        <v>51603.815348803299</v>
      </c>
      <c r="H57" s="101">
        <v>60599.888685532409</v>
      </c>
      <c r="I57" s="112">
        <f t="shared" si="1"/>
        <v>0.1743296164425511</v>
      </c>
      <c r="J57" s="113">
        <f t="shared" si="5"/>
        <v>3.4649245084029549E-2</v>
      </c>
    </row>
    <row r="58" spans="2:10" x14ac:dyDescent="0.2">
      <c r="B58" s="175"/>
      <c r="C58" s="194" t="s">
        <v>144</v>
      </c>
      <c r="D58" s="101">
        <v>122982.58629026596</v>
      </c>
      <c r="E58" s="101">
        <v>112365.11295163928</v>
      </c>
      <c r="F58" s="116">
        <f t="shared" si="0"/>
        <v>-8.6333144056404063E-2</v>
      </c>
      <c r="G58" s="101">
        <v>693453.37589750614</v>
      </c>
      <c r="H58" s="101">
        <v>659199.92623447301</v>
      </c>
      <c r="I58" s="114">
        <f t="shared" si="1"/>
        <v>-4.9395461690125014E-2</v>
      </c>
      <c r="J58" s="123">
        <f t="shared" si="5"/>
        <v>0.37691125015095039</v>
      </c>
    </row>
    <row r="59" spans="2:10" x14ac:dyDescent="0.25">
      <c r="C59" s="75" t="s">
        <v>62</v>
      </c>
      <c r="D59" s="106">
        <f>SUM(D60:D70)</f>
        <v>27653.635686538993</v>
      </c>
      <c r="E59" s="97">
        <f>SUM(E60:E70)</f>
        <v>24196.878218021004</v>
      </c>
      <c r="F59" s="107">
        <f t="shared" si="0"/>
        <v>-0.12500191684381817</v>
      </c>
      <c r="G59" s="106">
        <f>SUM(G60:G70)</f>
        <v>153373.06664003606</v>
      </c>
      <c r="H59" s="97">
        <f>SUM(H60:H70)</f>
        <v>139252.86096873501</v>
      </c>
      <c r="I59" s="107">
        <f t="shared" si="1"/>
        <v>-9.2064441173631426E-2</v>
      </c>
      <c r="J59" s="108">
        <f>SUM(J60:J70)</f>
        <v>0.99999999999999989</v>
      </c>
    </row>
    <row r="60" spans="2:10" x14ac:dyDescent="0.25">
      <c r="B60" s="175"/>
      <c r="C60" s="195" t="s">
        <v>51</v>
      </c>
      <c r="D60" s="101">
        <v>2338.0295304789997</v>
      </c>
      <c r="E60" s="101">
        <v>1844.0217821260001</v>
      </c>
      <c r="F60" s="109">
        <f t="shared" si="0"/>
        <v>-0.21129234764275653</v>
      </c>
      <c r="G60" s="101">
        <v>14296.845484240997</v>
      </c>
      <c r="H60" s="101">
        <v>12700.537420671</v>
      </c>
      <c r="I60" s="109">
        <f t="shared" si="1"/>
        <v>-0.11165456501083135</v>
      </c>
      <c r="J60" s="111">
        <f>(H60/$H$59)</f>
        <v>9.1204858071264466E-2</v>
      </c>
    </row>
    <row r="61" spans="2:10" x14ac:dyDescent="0.25">
      <c r="B61" s="175"/>
      <c r="C61" s="196" t="s">
        <v>53</v>
      </c>
      <c r="D61" s="101">
        <v>2058.4093120000002</v>
      </c>
      <c r="E61" s="101">
        <v>2366.8048789999998</v>
      </c>
      <c r="F61" s="112">
        <f t="shared" si="0"/>
        <v>0.14982227548337068</v>
      </c>
      <c r="G61" s="101">
        <v>13679.835483999999</v>
      </c>
      <c r="H61" s="101">
        <v>11838.581898999999</v>
      </c>
      <c r="I61" s="112">
        <f t="shared" si="1"/>
        <v>-0.13459617896381423</v>
      </c>
      <c r="J61" s="113">
        <f t="shared" ref="J61:J70" si="6">(H61/$H$59)</f>
        <v>8.5014999452384624E-2</v>
      </c>
    </row>
    <row r="62" spans="2:10" x14ac:dyDescent="0.25">
      <c r="B62" s="175"/>
      <c r="C62" s="196" t="s">
        <v>63</v>
      </c>
      <c r="D62" s="101">
        <v>1790.9118514000002</v>
      </c>
      <c r="E62" s="101">
        <v>2068.5364961</v>
      </c>
      <c r="F62" s="112">
        <f t="shared" si="0"/>
        <v>0.15501859819788105</v>
      </c>
      <c r="G62" s="101">
        <v>10887.7271683</v>
      </c>
      <c r="H62" s="101">
        <v>11350.137651499999</v>
      </c>
      <c r="I62" s="112">
        <f t="shared" si="1"/>
        <v>4.2470800016584154E-2</v>
      </c>
      <c r="J62" s="113">
        <f t="shared" si="6"/>
        <v>8.1507392900518769E-2</v>
      </c>
    </row>
    <row r="63" spans="2:10" x14ac:dyDescent="0.25">
      <c r="B63" s="175"/>
      <c r="C63" s="196" t="s">
        <v>55</v>
      </c>
      <c r="D63" s="101">
        <v>1822.2466077199999</v>
      </c>
      <c r="E63" s="101">
        <v>2828.7199463470001</v>
      </c>
      <c r="F63" s="112">
        <f t="shared" si="0"/>
        <v>0.55232553835636022</v>
      </c>
      <c r="G63" s="101">
        <v>12440.673368285201</v>
      </c>
      <c r="H63" s="101">
        <v>10794.593331761</v>
      </c>
      <c r="I63" s="112">
        <f t="shared" si="1"/>
        <v>-0.1323143842615887</v>
      </c>
      <c r="J63" s="113">
        <f t="shared" si="6"/>
        <v>7.7517928584494911E-2</v>
      </c>
    </row>
    <row r="64" spans="2:10" x14ac:dyDescent="0.25">
      <c r="B64" s="175"/>
      <c r="C64" s="196" t="s">
        <v>59</v>
      </c>
      <c r="D64" s="101">
        <v>2085.8439948999999</v>
      </c>
      <c r="E64" s="101">
        <v>1649.8131378</v>
      </c>
      <c r="F64" s="112">
        <f t="shared" si="0"/>
        <v>-0.20904289015195698</v>
      </c>
      <c r="G64" s="101">
        <v>10115.812570599999</v>
      </c>
      <c r="H64" s="101">
        <v>10580.4797473</v>
      </c>
      <c r="I64" s="112">
        <f t="shared" si="1"/>
        <v>4.5934735688014025E-2</v>
      </c>
      <c r="J64" s="113">
        <f t="shared" si="6"/>
        <v>7.5980340178975023E-2</v>
      </c>
    </row>
    <row r="65" spans="2:10" x14ac:dyDescent="0.25">
      <c r="B65" s="175"/>
      <c r="C65" s="196" t="s">
        <v>65</v>
      </c>
      <c r="D65" s="101">
        <v>1367.6359650000002</v>
      </c>
      <c r="E65" s="101">
        <v>1226.6122130000001</v>
      </c>
      <c r="F65" s="112">
        <f t="shared" si="0"/>
        <v>-0.10311497767609529</v>
      </c>
      <c r="G65" s="101">
        <v>8148.4880929999999</v>
      </c>
      <c r="H65" s="101">
        <v>7324.3405490000005</v>
      </c>
      <c r="I65" s="112">
        <f t="shared" si="1"/>
        <v>-0.10114116073974357</v>
      </c>
      <c r="J65" s="113">
        <f t="shared" si="6"/>
        <v>5.259741522039147E-2</v>
      </c>
    </row>
    <row r="66" spans="2:10" x14ac:dyDescent="0.25">
      <c r="B66" s="175"/>
      <c r="C66" s="196" t="s">
        <v>79</v>
      </c>
      <c r="D66" s="101">
        <v>1193.598479</v>
      </c>
      <c r="E66" s="101">
        <v>1343.7529139999999</v>
      </c>
      <c r="F66" s="112">
        <f t="shared" si="0"/>
        <v>0.12579978748448115</v>
      </c>
      <c r="G66" s="101">
        <v>5842.5299100000002</v>
      </c>
      <c r="H66" s="101">
        <v>7053.3267310000001</v>
      </c>
      <c r="I66" s="112">
        <f t="shared" si="1"/>
        <v>0.20723844629834337</v>
      </c>
      <c r="J66" s="113">
        <f t="shared" si="6"/>
        <v>5.0651215938634177E-2</v>
      </c>
    </row>
    <row r="67" spans="2:10" x14ac:dyDescent="0.25">
      <c r="B67" s="175"/>
      <c r="C67" s="196" t="s">
        <v>64</v>
      </c>
      <c r="D67" s="101">
        <v>1285.6150810000001</v>
      </c>
      <c r="E67" s="101">
        <v>1069.7077326000001</v>
      </c>
      <c r="F67" s="112">
        <f t="shared" si="0"/>
        <v>-0.16794089583334626</v>
      </c>
      <c r="G67" s="101">
        <v>8481.5559464000016</v>
      </c>
      <c r="H67" s="101">
        <v>6813.6257960000003</v>
      </c>
      <c r="I67" s="112">
        <f t="shared" si="1"/>
        <v>-0.1966537933535597</v>
      </c>
      <c r="J67" s="211">
        <f t="shared" si="6"/>
        <v>4.8929880137470155E-2</v>
      </c>
    </row>
    <row r="68" spans="2:10" x14ac:dyDescent="0.25">
      <c r="B68" s="175"/>
      <c r="C68" s="196" t="s">
        <v>120</v>
      </c>
      <c r="D68" s="101">
        <v>1220.328475</v>
      </c>
      <c r="E68" s="101">
        <v>1360.6006725000002</v>
      </c>
      <c r="F68" s="112">
        <f t="shared" si="0"/>
        <v>0.11494626272651728</v>
      </c>
      <c r="G68" s="101">
        <v>6932.5833001999999</v>
      </c>
      <c r="H68" s="101">
        <v>6776.3824135000013</v>
      </c>
      <c r="I68" s="112">
        <f t="shared" si="1"/>
        <v>-2.2531411443046392E-2</v>
      </c>
      <c r="J68" s="211">
        <f t="shared" si="6"/>
        <v>4.866242866652077E-2</v>
      </c>
    </row>
    <row r="69" spans="2:10" x14ac:dyDescent="0.25">
      <c r="B69" s="175"/>
      <c r="C69" s="196" t="s">
        <v>60</v>
      </c>
      <c r="D69" s="101">
        <v>1338.11353708</v>
      </c>
      <c r="E69" s="101">
        <v>1070.374133738</v>
      </c>
      <c r="F69" s="112">
        <f t="shared" si="0"/>
        <v>-0.20008720928588369</v>
      </c>
      <c r="G69" s="101">
        <v>7752.0421810850003</v>
      </c>
      <c r="H69" s="101">
        <v>6373.7782664729993</v>
      </c>
      <c r="I69" s="112">
        <f t="shared" si="1"/>
        <v>-0.17779365519642912</v>
      </c>
      <c r="J69" s="113">
        <f t="shared" si="6"/>
        <v>4.5771255413589222E-2</v>
      </c>
    </row>
    <row r="70" spans="2:10" x14ac:dyDescent="0.2">
      <c r="B70" s="175"/>
      <c r="C70" s="197" t="s">
        <v>143</v>
      </c>
      <c r="D70" s="101">
        <v>11152.902852959996</v>
      </c>
      <c r="E70" s="101">
        <v>7367.9343108100002</v>
      </c>
      <c r="F70" s="121">
        <f t="shared" si="0"/>
        <v>-0.33937070842013656</v>
      </c>
      <c r="G70" s="101">
        <v>54794.97313392489</v>
      </c>
      <c r="H70" s="101">
        <v>47647.077162530004</v>
      </c>
      <c r="I70" s="114">
        <f t="shared" si="1"/>
        <v>-0.13044802401717853</v>
      </c>
      <c r="J70" s="123">
        <f t="shared" si="6"/>
        <v>0.34216228543575633</v>
      </c>
    </row>
    <row r="71" spans="2:10" x14ac:dyDescent="0.25">
      <c r="C71" s="75" t="s">
        <v>67</v>
      </c>
      <c r="D71" s="106">
        <f>SUM(D72:D73)</f>
        <v>17858.91534</v>
      </c>
      <c r="E71" s="97">
        <f>SUM(E72:E73)</f>
        <v>1205876.703828</v>
      </c>
      <c r="F71" s="107" t="s">
        <v>145</v>
      </c>
      <c r="G71" s="97">
        <f>SUM(G72:G73)</f>
        <v>5052014.1260639997</v>
      </c>
      <c r="H71" s="97">
        <f>SUM(H72:H73)</f>
        <v>7129276.8974680007</v>
      </c>
      <c r="I71" s="107">
        <f t="shared" si="1"/>
        <v>0.41117517084663946</v>
      </c>
      <c r="J71" s="108">
        <f>SUM(J72:J73)</f>
        <v>1</v>
      </c>
    </row>
    <row r="72" spans="2:10" x14ac:dyDescent="0.25">
      <c r="B72" s="175"/>
      <c r="C72" s="195" t="s">
        <v>68</v>
      </c>
      <c r="D72" s="101">
        <v>0</v>
      </c>
      <c r="E72" s="101">
        <v>1189258.9615</v>
      </c>
      <c r="F72" s="109" t="s">
        <v>145</v>
      </c>
      <c r="G72" s="101">
        <v>4943906.2683799993</v>
      </c>
      <c r="H72" s="101">
        <v>7007292.5271000005</v>
      </c>
      <c r="I72" s="109">
        <f t="shared" si="1"/>
        <v>0.41735950212424311</v>
      </c>
      <c r="J72" s="111">
        <f>(H72/$H$71)</f>
        <v>0.98288965737726874</v>
      </c>
    </row>
    <row r="73" spans="2:10" x14ac:dyDescent="0.25">
      <c r="B73" s="175"/>
      <c r="C73" s="199" t="s">
        <v>54</v>
      </c>
      <c r="D73" s="101">
        <v>17858.91534</v>
      </c>
      <c r="E73" s="101">
        <v>16617.742328</v>
      </c>
      <c r="F73" s="114">
        <f t="shared" si="0"/>
        <v>-6.9498790288794729E-2</v>
      </c>
      <c r="G73" s="101">
        <v>108107.85768399999</v>
      </c>
      <c r="H73" s="101">
        <v>121984.370368</v>
      </c>
      <c r="I73" s="114">
        <f t="shared" si="1"/>
        <v>0.12835803965851547</v>
      </c>
      <c r="J73" s="115">
        <f>(H73/$H$71)</f>
        <v>1.711034262273126E-2</v>
      </c>
    </row>
    <row r="74" spans="2:10" x14ac:dyDescent="0.25">
      <c r="B74" s="175"/>
      <c r="C74" s="177" t="s">
        <v>69</v>
      </c>
      <c r="D74" s="97">
        <f>SUM(D75:D75)</f>
        <v>2794.1680000000001</v>
      </c>
      <c r="E74" s="97">
        <f>SUM(E75:E75)</f>
        <v>3155.2792760000002</v>
      </c>
      <c r="F74" s="107">
        <f t="shared" si="0"/>
        <v>0.12923749609901769</v>
      </c>
      <c r="G74" s="106">
        <f>SUM(G75:G75)</f>
        <v>16446.06494</v>
      </c>
      <c r="H74" s="97">
        <f>SUM(H75:H75)</f>
        <v>17514.360342</v>
      </c>
      <c r="I74" s="107">
        <f t="shared" si="1"/>
        <v>6.4957508431193134E-2</v>
      </c>
      <c r="J74" s="108">
        <f>SUM(J75:J75)</f>
        <v>1</v>
      </c>
    </row>
    <row r="75" spans="2:10" x14ac:dyDescent="0.25">
      <c r="C75" s="192" t="s">
        <v>70</v>
      </c>
      <c r="D75" s="99">
        <v>2794.1680000000001</v>
      </c>
      <c r="E75" s="99">
        <v>3155.2792760000002</v>
      </c>
      <c r="F75" s="133">
        <f t="shared" ref="F75:F88" si="7">(E75-D75)/D75</f>
        <v>0.12923749609901769</v>
      </c>
      <c r="G75" s="98">
        <v>16446.06494</v>
      </c>
      <c r="H75" s="99">
        <v>17514.360342</v>
      </c>
      <c r="I75" s="109">
        <f t="shared" ref="I75:I88" si="8">(H75-G75)/G75</f>
        <v>6.4957508431193134E-2</v>
      </c>
      <c r="J75" s="111">
        <f>(H75/$H$74)</f>
        <v>1</v>
      </c>
    </row>
    <row r="76" spans="2:10" x14ac:dyDescent="0.25">
      <c r="C76" s="75" t="s">
        <v>71</v>
      </c>
      <c r="D76" s="106">
        <f>SUM(D77:D81)</f>
        <v>2874.2517345399997</v>
      </c>
      <c r="E76" s="97">
        <f>SUM(E77:E81)</f>
        <v>3029.2893922534004</v>
      </c>
      <c r="F76" s="107">
        <f t="shared" si="7"/>
        <v>5.3940180621727334E-2</v>
      </c>
      <c r="G76" s="106">
        <f>SUM(G77:G81)</f>
        <v>19657.370239814903</v>
      </c>
      <c r="H76" s="97">
        <f>SUM(H77:H81)</f>
        <v>18777.245252193403</v>
      </c>
      <c r="I76" s="107">
        <f t="shared" si="8"/>
        <v>-4.4773282330454189E-2</v>
      </c>
      <c r="J76" s="108">
        <f>SUM(J77:J81)</f>
        <v>0.99999999999999978</v>
      </c>
    </row>
    <row r="77" spans="2:10" x14ac:dyDescent="0.25">
      <c r="B77" s="175"/>
      <c r="C77" s="192" t="s">
        <v>32</v>
      </c>
      <c r="D77" s="99">
        <v>1267.5329184</v>
      </c>
      <c r="E77" s="99">
        <v>1064.8698404000002</v>
      </c>
      <c r="F77" s="109">
        <f t="shared" si="7"/>
        <v>-0.1598878222869512</v>
      </c>
      <c r="G77" s="98">
        <v>7215.2705136000004</v>
      </c>
      <c r="H77" s="99">
        <v>6775.024473200001</v>
      </c>
      <c r="I77" s="109">
        <f t="shared" si="8"/>
        <v>-6.1015874535844984E-2</v>
      </c>
      <c r="J77" s="111">
        <f>(H77/$H$76)</f>
        <v>0.36081035222185204</v>
      </c>
    </row>
    <row r="78" spans="2:10" x14ac:dyDescent="0.25">
      <c r="B78" s="175"/>
      <c r="C78" s="193" t="s">
        <v>72</v>
      </c>
      <c r="D78" s="101">
        <v>535.31823599999996</v>
      </c>
      <c r="E78" s="101">
        <v>942.68627879999997</v>
      </c>
      <c r="F78" s="112">
        <f t="shared" si="7"/>
        <v>0.76098293576533427</v>
      </c>
      <c r="G78" s="100">
        <v>4700.6299905000005</v>
      </c>
      <c r="H78" s="101">
        <v>5216.9591610999996</v>
      </c>
      <c r="I78" s="112">
        <f t="shared" si="8"/>
        <v>0.1098425469870003</v>
      </c>
      <c r="J78" s="113">
        <f t="shared" ref="J78:J81" si="9">(H78/$H$76)</f>
        <v>0.27783410670905506</v>
      </c>
    </row>
    <row r="79" spans="2:10" x14ac:dyDescent="0.25">
      <c r="B79" s="175"/>
      <c r="C79" s="193" t="s">
        <v>35</v>
      </c>
      <c r="D79" s="101">
        <v>381.59429089999998</v>
      </c>
      <c r="E79" s="101">
        <v>479.4464637534</v>
      </c>
      <c r="F79" s="112">
        <f t="shared" si="7"/>
        <v>0.25642986592543915</v>
      </c>
      <c r="G79" s="128">
        <v>2366.2240190848997</v>
      </c>
      <c r="H79" s="129">
        <v>3018.9866744433998</v>
      </c>
      <c r="I79" s="112">
        <f t="shared" si="8"/>
        <v>0.27586680301341282</v>
      </c>
      <c r="J79" s="113">
        <f t="shared" si="9"/>
        <v>0.16077899787194538</v>
      </c>
    </row>
    <row r="80" spans="2:10" x14ac:dyDescent="0.25">
      <c r="B80" s="175"/>
      <c r="C80" s="193" t="s">
        <v>33</v>
      </c>
      <c r="D80" s="103">
        <v>211.33323300000001</v>
      </c>
      <c r="E80" s="101">
        <v>299.83502800000002</v>
      </c>
      <c r="F80" s="112">
        <f t="shared" si="7"/>
        <v>0.41877840859984389</v>
      </c>
      <c r="G80" s="128">
        <v>1383.0984679999999</v>
      </c>
      <c r="H80" s="129">
        <v>1646.5662560000001</v>
      </c>
      <c r="I80" s="112">
        <f t="shared" si="8"/>
        <v>0.19049098390007049</v>
      </c>
      <c r="J80" s="113">
        <f t="shared" si="9"/>
        <v>8.768944719447927E-2</v>
      </c>
    </row>
    <row r="81" spans="2:10" x14ac:dyDescent="0.25">
      <c r="B81" s="175"/>
      <c r="C81" s="193" t="s">
        <v>117</v>
      </c>
      <c r="D81" s="142">
        <v>478.47305624000001</v>
      </c>
      <c r="E81" s="103">
        <v>242.45178129999999</v>
      </c>
      <c r="F81" s="112">
        <f t="shared" si="7"/>
        <v>-0.49328017923252249</v>
      </c>
      <c r="G81" s="100">
        <v>3992.1472486299999</v>
      </c>
      <c r="H81" s="101">
        <v>2119.7086874500001</v>
      </c>
      <c r="I81" s="112">
        <f t="shared" si="8"/>
        <v>-0.46903043514303527</v>
      </c>
      <c r="J81" s="113">
        <f t="shared" si="9"/>
        <v>0.11288709600266808</v>
      </c>
    </row>
    <row r="82" spans="2:10" x14ac:dyDescent="0.25">
      <c r="B82" s="175"/>
      <c r="C82" s="75" t="s">
        <v>73</v>
      </c>
      <c r="D82" s="178">
        <f>SUM(D83:D89)</f>
        <v>2331.0077546999996</v>
      </c>
      <c r="E82" s="97">
        <f>SUM(E83:E89)</f>
        <v>3039.2595268999999</v>
      </c>
      <c r="F82" s="107">
        <f t="shared" si="7"/>
        <v>0.3038393033107486</v>
      </c>
      <c r="G82" s="106">
        <f>SUM(G83:G89)</f>
        <v>13685.874812</v>
      </c>
      <c r="H82" s="97">
        <f>SUM(H83:H89)</f>
        <v>12901.345295200001</v>
      </c>
      <c r="I82" s="107">
        <f t="shared" si="8"/>
        <v>-5.7324031351807407E-2</v>
      </c>
      <c r="J82" s="108">
        <f>SUM(J83:J89)</f>
        <v>0.99999999999999989</v>
      </c>
    </row>
    <row r="83" spans="2:10" x14ac:dyDescent="0.25">
      <c r="C83" s="193" t="s">
        <v>39</v>
      </c>
      <c r="D83" s="131">
        <v>1583.8667504</v>
      </c>
      <c r="E83" s="132">
        <v>1884.1436217999999</v>
      </c>
      <c r="F83" s="133">
        <f t="shared" si="7"/>
        <v>0.18958468022904454</v>
      </c>
      <c r="G83" s="98">
        <v>8813.5674445000004</v>
      </c>
      <c r="H83" s="101">
        <v>7974.3965820000003</v>
      </c>
      <c r="I83" s="110">
        <f t="shared" si="8"/>
        <v>-9.5213529343747688E-2</v>
      </c>
      <c r="J83" s="111">
        <f>(H83/$H$82)</f>
        <v>0.61810581761321493</v>
      </c>
    </row>
    <row r="84" spans="2:10" x14ac:dyDescent="0.25">
      <c r="C84" s="193" t="s">
        <v>36</v>
      </c>
      <c r="D84" s="134">
        <v>572.24346000000003</v>
      </c>
      <c r="E84" s="132">
        <v>1048.1296279999999</v>
      </c>
      <c r="F84" s="110">
        <f t="shared" si="7"/>
        <v>0.83161486546303187</v>
      </c>
      <c r="G84" s="100">
        <v>3800.2023880000002</v>
      </c>
      <c r="H84" s="101">
        <v>4220.5292709999994</v>
      </c>
      <c r="I84" s="110">
        <f t="shared" si="8"/>
        <v>0.11060644673222579</v>
      </c>
      <c r="J84" s="113">
        <f t="shared" ref="J84:J88" si="10">(H84/$H$82)</f>
        <v>0.32713869557233421</v>
      </c>
    </row>
    <row r="85" spans="2:10" x14ac:dyDescent="0.25">
      <c r="C85" s="193" t="s">
        <v>66</v>
      </c>
      <c r="D85" s="134">
        <v>106.95907800000001</v>
      </c>
      <c r="E85" s="132">
        <v>86.509502699999999</v>
      </c>
      <c r="F85" s="110">
        <f t="shared" si="7"/>
        <v>-0.19119064676305461</v>
      </c>
      <c r="G85" s="100">
        <v>708.056104</v>
      </c>
      <c r="H85" s="101">
        <v>485.51141909999996</v>
      </c>
      <c r="I85" s="110">
        <f t="shared" si="8"/>
        <v>-0.31430374463659738</v>
      </c>
      <c r="J85" s="113">
        <f t="shared" si="10"/>
        <v>3.7632619543997207E-2</v>
      </c>
    </row>
    <row r="86" spans="2:10" x14ac:dyDescent="0.25">
      <c r="C86" s="193" t="s">
        <v>59</v>
      </c>
      <c r="D86" s="134">
        <v>64.508973299999994</v>
      </c>
      <c r="E86" s="132">
        <v>20.220274400000001</v>
      </c>
      <c r="F86" s="110">
        <f t="shared" si="7"/>
        <v>-0.68655098096251976</v>
      </c>
      <c r="G86" s="100">
        <v>344.34192150000001</v>
      </c>
      <c r="H86" s="101">
        <v>199.99256410000004</v>
      </c>
      <c r="I86" s="110">
        <f t="shared" si="8"/>
        <v>-0.41920355433690626</v>
      </c>
      <c r="J86" s="113">
        <f t="shared" si="10"/>
        <v>1.5501682927160171E-2</v>
      </c>
    </row>
    <row r="87" spans="2:10" x14ac:dyDescent="0.25">
      <c r="C87" s="193" t="s">
        <v>74</v>
      </c>
      <c r="D87" s="138">
        <v>2.985093</v>
      </c>
      <c r="E87" s="132">
        <v>0</v>
      </c>
      <c r="F87" s="110" t="s">
        <v>43</v>
      </c>
      <c r="G87" s="100">
        <v>12.215468999999999</v>
      </c>
      <c r="H87" s="101">
        <v>18.714458999999998</v>
      </c>
      <c r="I87" s="110">
        <f t="shared" si="8"/>
        <v>0.5320295111059592</v>
      </c>
      <c r="J87" s="113">
        <f t="shared" si="10"/>
        <v>1.4505819797694113E-3</v>
      </c>
    </row>
    <row r="88" spans="2:10" x14ac:dyDescent="0.25">
      <c r="C88" s="193" t="s">
        <v>75</v>
      </c>
      <c r="D88" s="216">
        <v>0.44440000000000002</v>
      </c>
      <c r="E88" s="214">
        <v>0.25650000000000001</v>
      </c>
      <c r="F88" s="110">
        <f t="shared" si="7"/>
        <v>-0.42281728172817284</v>
      </c>
      <c r="G88" s="100">
        <v>4.8135000000000003</v>
      </c>
      <c r="H88" s="101">
        <v>2.2010000000000001</v>
      </c>
      <c r="I88" s="110">
        <f t="shared" si="8"/>
        <v>-0.54274436480731281</v>
      </c>
      <c r="J88" s="211">
        <f t="shared" si="10"/>
        <v>1.7060236352397229E-4</v>
      </c>
    </row>
    <row r="89" spans="2:10" x14ac:dyDescent="0.25">
      <c r="C89" s="193" t="s">
        <v>76</v>
      </c>
      <c r="D89" s="138">
        <v>0</v>
      </c>
      <c r="E89" s="139">
        <v>0</v>
      </c>
      <c r="F89" s="110" t="s">
        <v>43</v>
      </c>
      <c r="G89" s="100">
        <v>2.6779850000000001</v>
      </c>
      <c r="H89" s="101">
        <v>0</v>
      </c>
      <c r="I89" s="110" t="s">
        <v>43</v>
      </c>
      <c r="J89" s="113" t="s">
        <v>43</v>
      </c>
    </row>
    <row r="90" spans="2:10" x14ac:dyDescent="0.25">
      <c r="C90" s="75" t="s">
        <v>77</v>
      </c>
      <c r="D90" s="106">
        <f>SUM(D91:D95)</f>
        <v>20.607744999999998</v>
      </c>
      <c r="E90" s="97">
        <f>SUM(E91:E95)</f>
        <v>27.428761000000002</v>
      </c>
      <c r="F90" s="107">
        <f t="shared" ref="F90:F95" si="11">(E90-D90)/D90</f>
        <v>0.33099283788692091</v>
      </c>
      <c r="G90" s="106">
        <f>SUM(G91:G95)</f>
        <v>127.33373280000001</v>
      </c>
      <c r="H90" s="97">
        <f>SUM(H91:H95)</f>
        <v>142.49362559999997</v>
      </c>
      <c r="I90" s="107">
        <f t="shared" ref="I90:I95" si="12">(H90-G90)/G90</f>
        <v>0.11905637623779741</v>
      </c>
      <c r="J90" s="108">
        <f>SUM(J91:J95)</f>
        <v>1.0000000000000002</v>
      </c>
    </row>
    <row r="91" spans="2:10" x14ac:dyDescent="0.25">
      <c r="B91" s="175"/>
      <c r="C91" s="192" t="s">
        <v>53</v>
      </c>
      <c r="D91" s="132">
        <v>14.527896</v>
      </c>
      <c r="E91" s="135">
        <v>17.375508</v>
      </c>
      <c r="F91" s="110">
        <f t="shared" si="11"/>
        <v>0.1960099383971361</v>
      </c>
      <c r="G91" s="131">
        <v>90.581907999999999</v>
      </c>
      <c r="H91" s="132">
        <v>92.932567000000006</v>
      </c>
      <c r="I91" s="110">
        <f t="shared" si="12"/>
        <v>2.5950645685228969E-2</v>
      </c>
      <c r="J91" s="111">
        <f>(H91/$H$90)</f>
        <v>0.65218753897718229</v>
      </c>
    </row>
    <row r="92" spans="2:10" x14ac:dyDescent="0.25">
      <c r="B92" s="175"/>
      <c r="C92" s="193" t="s">
        <v>78</v>
      </c>
      <c r="D92" s="132">
        <v>4.1261549999999998</v>
      </c>
      <c r="E92" s="132">
        <v>6.0317970000000001</v>
      </c>
      <c r="F92" s="110">
        <f t="shared" si="11"/>
        <v>0.46184450172133629</v>
      </c>
      <c r="G92" s="134">
        <v>26.101018800000002</v>
      </c>
      <c r="H92" s="132">
        <v>32.685614399999999</v>
      </c>
      <c r="I92" s="110">
        <f t="shared" si="12"/>
        <v>0.25227350895590311</v>
      </c>
      <c r="J92" s="113">
        <f t="shared" ref="J92:J95" si="13">(H92/$H$90)</f>
        <v>0.22938299353651934</v>
      </c>
    </row>
    <row r="93" spans="2:10" x14ac:dyDescent="0.25">
      <c r="B93" s="175"/>
      <c r="C93" s="193" t="s">
        <v>79</v>
      </c>
      <c r="D93" s="132">
        <v>1.5823780000000001</v>
      </c>
      <c r="E93" s="132">
        <v>3.9998559999999999</v>
      </c>
      <c r="F93" s="110">
        <f t="shared" si="11"/>
        <v>1.5277500066355827</v>
      </c>
      <c r="G93" s="134">
        <v>7.9216600000000001</v>
      </c>
      <c r="H93" s="132">
        <v>13.092054999999998</v>
      </c>
      <c r="I93" s="110">
        <f t="shared" si="12"/>
        <v>0.65269085015009454</v>
      </c>
      <c r="J93" s="113">
        <f t="shared" si="13"/>
        <v>9.1878180128220424E-2</v>
      </c>
    </row>
    <row r="94" spans="2:10" x14ac:dyDescent="0.25">
      <c r="B94" s="175"/>
      <c r="C94" s="193" t="s">
        <v>66</v>
      </c>
      <c r="D94" s="213">
        <v>0.31851600000000002</v>
      </c>
      <c r="E94" s="132">
        <v>0</v>
      </c>
      <c r="F94" s="110" t="s">
        <v>43</v>
      </c>
      <c r="G94" s="134">
        <v>2.1240459999999999</v>
      </c>
      <c r="H94" s="132">
        <v>3.5294892</v>
      </c>
      <c r="I94" s="110">
        <f t="shared" si="12"/>
        <v>0.66168209163078395</v>
      </c>
      <c r="J94" s="113">
        <f t="shared" si="13"/>
        <v>2.4769453265985258E-2</v>
      </c>
    </row>
    <row r="95" spans="2:10" x14ac:dyDescent="0.25">
      <c r="B95" s="175"/>
      <c r="C95" s="193" t="s">
        <v>75</v>
      </c>
      <c r="D95" s="214">
        <v>5.28E-2</v>
      </c>
      <c r="E95" s="215">
        <v>2.1600000000000001E-2</v>
      </c>
      <c r="F95" s="110">
        <f t="shared" si="11"/>
        <v>-0.59090909090909094</v>
      </c>
      <c r="G95" s="134">
        <v>0.60510000000000008</v>
      </c>
      <c r="H95" s="214">
        <v>0.25390000000000001</v>
      </c>
      <c r="I95" s="110">
        <f t="shared" si="12"/>
        <v>-0.58039993389522393</v>
      </c>
      <c r="J95" s="113">
        <f t="shared" si="13"/>
        <v>1.781834092092889E-3</v>
      </c>
    </row>
    <row r="96" spans="2:10" x14ac:dyDescent="0.25">
      <c r="B96" s="175"/>
      <c r="C96" s="75" t="s">
        <v>80</v>
      </c>
      <c r="D96" s="220">
        <f>SUM(D97:D99)</f>
        <v>25.639190000000003</v>
      </c>
      <c r="E96" s="220">
        <f>SUM(E97:E99)</f>
        <v>26.299002999999999</v>
      </c>
      <c r="F96" s="107">
        <f t="shared" ref="F96:F99" si="14">(E96-D96)/D96</f>
        <v>2.5734549336386841E-2</v>
      </c>
      <c r="G96" s="106">
        <f>SUM(G97:G99)</f>
        <v>166.50628699999999</v>
      </c>
      <c r="H96" s="97">
        <f>SUM(H97:H99)</f>
        <v>141.717736</v>
      </c>
      <c r="I96" s="107">
        <f t="shared" ref="I96:I105" si="15">(H96-G96)/G96</f>
        <v>-0.148874564718388</v>
      </c>
      <c r="J96" s="108">
        <f>SUM(J97:J99)</f>
        <v>1</v>
      </c>
    </row>
    <row r="97" spans="2:10" x14ac:dyDescent="0.25">
      <c r="B97" s="175"/>
      <c r="C97" s="193" t="s">
        <v>65</v>
      </c>
      <c r="D97" s="135">
        <v>13.694468000000001</v>
      </c>
      <c r="E97" s="135">
        <v>15.47044</v>
      </c>
      <c r="F97" s="109">
        <f t="shared" si="14"/>
        <v>0.12968535908076162</v>
      </c>
      <c r="G97" s="98">
        <v>94.351579999999998</v>
      </c>
      <c r="H97" s="99">
        <v>83.208669999999998</v>
      </c>
      <c r="I97" s="109">
        <f t="shared" si="15"/>
        <v>-0.11809987707678028</v>
      </c>
      <c r="J97" s="111">
        <f>(H97/$H$96)</f>
        <v>0.58714365857495776</v>
      </c>
    </row>
    <row r="98" spans="2:10" x14ac:dyDescent="0.25">
      <c r="B98" s="175"/>
      <c r="C98" s="193" t="s">
        <v>66</v>
      </c>
      <c r="D98" s="132">
        <v>6.67347</v>
      </c>
      <c r="E98" s="132">
        <v>5.4607770000000002</v>
      </c>
      <c r="F98" s="112">
        <f t="shared" si="14"/>
        <v>-0.1817185062643572</v>
      </c>
      <c r="G98" s="100">
        <v>45.907530000000001</v>
      </c>
      <c r="H98" s="101">
        <v>31.365453000000002</v>
      </c>
      <c r="I98" s="112">
        <f t="shared" si="15"/>
        <v>-0.31676888301330958</v>
      </c>
      <c r="J98" s="113">
        <f t="shared" ref="J98:J99" si="16">(H98/$H$96)</f>
        <v>0.22132341290013272</v>
      </c>
    </row>
    <row r="99" spans="2:10" x14ac:dyDescent="0.25">
      <c r="B99" s="175"/>
      <c r="C99" s="193" t="s">
        <v>78</v>
      </c>
      <c r="D99" s="217">
        <v>5.2712519999999996</v>
      </c>
      <c r="E99" s="217">
        <v>5.3677859999999997</v>
      </c>
      <c r="F99" s="114">
        <f t="shared" si="14"/>
        <v>1.831329634781265E-2</v>
      </c>
      <c r="G99" s="124">
        <v>26.247177000000001</v>
      </c>
      <c r="H99" s="125">
        <v>27.143613000000002</v>
      </c>
      <c r="I99" s="114">
        <f t="shared" si="15"/>
        <v>3.4153615834571514E-2</v>
      </c>
      <c r="J99" s="115">
        <f t="shared" si="16"/>
        <v>0.19153292852490955</v>
      </c>
    </row>
    <row r="100" spans="2:10" x14ac:dyDescent="0.25">
      <c r="B100" s="175"/>
      <c r="C100" s="75" t="s">
        <v>81</v>
      </c>
      <c r="D100" s="97">
        <f>SUM(D101:D104)</f>
        <v>2300.5616680000003</v>
      </c>
      <c r="E100" s="97">
        <f>SUM(E101:E104)</f>
        <v>3319.0097819999996</v>
      </c>
      <c r="F100" s="107">
        <f t="shared" ref="F100:F105" si="17">(E100-D100)/D100</f>
        <v>0.44269542006469664</v>
      </c>
      <c r="G100" s="106">
        <f>SUM(G101:G104)</f>
        <v>17223.7960618</v>
      </c>
      <c r="H100" s="97">
        <f>SUM(H101:H104)</f>
        <v>20423.372051300001</v>
      </c>
      <c r="I100" s="107">
        <f t="shared" si="15"/>
        <v>0.18576485566943157</v>
      </c>
      <c r="J100" s="108">
        <f>SUM(J101:J104)</f>
        <v>1</v>
      </c>
    </row>
    <row r="101" spans="2:10" x14ac:dyDescent="0.25">
      <c r="C101" s="193" t="s">
        <v>59</v>
      </c>
      <c r="D101" s="117">
        <v>2241.5011469999999</v>
      </c>
      <c r="E101" s="118">
        <v>3234.0587</v>
      </c>
      <c r="F101" s="109">
        <f t="shared" si="17"/>
        <v>0.4428092996197785</v>
      </c>
      <c r="G101" s="98">
        <v>16690.900168799999</v>
      </c>
      <c r="H101" s="99">
        <v>19937.098728500001</v>
      </c>
      <c r="I101" s="109">
        <f t="shared" si="15"/>
        <v>0.19448912442529989</v>
      </c>
      <c r="J101" s="111">
        <f>(H101/$H$100)</f>
        <v>0.97619035085985972</v>
      </c>
    </row>
    <row r="102" spans="2:10" x14ac:dyDescent="0.25">
      <c r="C102" s="193" t="s">
        <v>65</v>
      </c>
      <c r="D102" s="102">
        <v>47.115798999999996</v>
      </c>
      <c r="E102" s="103">
        <v>74.122518999999997</v>
      </c>
      <c r="F102" s="112">
        <f t="shared" si="17"/>
        <v>0.57319881171918585</v>
      </c>
      <c r="G102" s="100">
        <v>460.19239799999997</v>
      </c>
      <c r="H102" s="101">
        <v>401.65726199999995</v>
      </c>
      <c r="I102" s="112">
        <f t="shared" si="15"/>
        <v>-0.12719709463779544</v>
      </c>
      <c r="J102" s="113">
        <f t="shared" ref="J102:J104" si="18">(H102/$H$100)</f>
        <v>1.9666549725045696E-2</v>
      </c>
    </row>
    <row r="103" spans="2:10" x14ac:dyDescent="0.25">
      <c r="C103" s="193" t="s">
        <v>66</v>
      </c>
      <c r="D103" s="102">
        <v>6.67347</v>
      </c>
      <c r="E103" s="103">
        <v>5.4607770000000002</v>
      </c>
      <c r="F103" s="112">
        <f t="shared" si="17"/>
        <v>-0.1817185062643572</v>
      </c>
      <c r="G103" s="100">
        <v>47.328267000000004</v>
      </c>
      <c r="H103" s="101">
        <v>57.472447800000005</v>
      </c>
      <c r="I103" s="112">
        <f t="shared" si="15"/>
        <v>0.21433662043869048</v>
      </c>
      <c r="J103" s="113">
        <f t="shared" si="18"/>
        <v>2.8140528241682662E-3</v>
      </c>
    </row>
    <row r="104" spans="2:10" x14ac:dyDescent="0.25">
      <c r="C104" s="193" t="s">
        <v>78</v>
      </c>
      <c r="D104" s="218">
        <v>5.2712519999999996</v>
      </c>
      <c r="E104" s="219">
        <v>5.3677859999999997</v>
      </c>
      <c r="F104" s="114">
        <f t="shared" si="17"/>
        <v>1.831329634781265E-2</v>
      </c>
      <c r="G104" s="124">
        <v>25.375228</v>
      </c>
      <c r="H104" s="125">
        <v>27.143613000000002</v>
      </c>
      <c r="I104" s="114">
        <f t="shared" si="15"/>
        <v>6.9689423086169003E-2</v>
      </c>
      <c r="J104" s="115">
        <f t="shared" si="18"/>
        <v>1.3290465909263128E-3</v>
      </c>
    </row>
    <row r="105" spans="2:10" x14ac:dyDescent="0.25">
      <c r="C105" s="78" t="s">
        <v>82</v>
      </c>
      <c r="D105" s="106">
        <f>SUM(D106:D106)</f>
        <v>3.5141680000000002</v>
      </c>
      <c r="E105" s="97">
        <f>SUM(E106:E106)</f>
        <v>5.3677859999999997</v>
      </c>
      <c r="F105" s="107">
        <f t="shared" si="17"/>
        <v>0.5274699445217188</v>
      </c>
      <c r="G105" s="106">
        <f>SUM(G106:G106)</f>
        <v>17.498118000000002</v>
      </c>
      <c r="H105" s="97">
        <f>SUM(H106:H106)</f>
        <v>27.143613000000002</v>
      </c>
      <c r="I105" s="107">
        <f t="shared" si="15"/>
        <v>0.55123042375185716</v>
      </c>
      <c r="J105" s="108">
        <f>SUM(J106:J106)</f>
        <v>1</v>
      </c>
    </row>
    <row r="106" spans="2:10" x14ac:dyDescent="0.25">
      <c r="C106" s="193" t="s">
        <v>78</v>
      </c>
      <c r="D106" s="117">
        <v>3.5141680000000002</v>
      </c>
      <c r="E106" s="118">
        <v>5.3677859999999997</v>
      </c>
      <c r="F106" s="109">
        <f>(E106-D106)/D106</f>
        <v>0.5274699445217188</v>
      </c>
      <c r="G106" s="98">
        <v>17.498118000000002</v>
      </c>
      <c r="H106" s="99">
        <v>27.143613000000002</v>
      </c>
      <c r="I106" s="109">
        <f>(H106-G106)/G106</f>
        <v>0.55123042375185716</v>
      </c>
      <c r="J106" s="111">
        <f>H106/H105</f>
        <v>1</v>
      </c>
    </row>
    <row r="107" spans="2:10" ht="98.25" customHeight="1" x14ac:dyDescent="0.25">
      <c r="C107" s="249" t="s">
        <v>128</v>
      </c>
      <c r="D107" s="250"/>
      <c r="E107" s="250"/>
      <c r="F107" s="250"/>
      <c r="G107" s="250"/>
      <c r="H107" s="250"/>
      <c r="I107" s="250"/>
      <c r="J107" s="251"/>
    </row>
  </sheetData>
  <mergeCells count="5">
    <mergeCell ref="C3:J3"/>
    <mergeCell ref="B4:K4"/>
    <mergeCell ref="D8:F8"/>
    <mergeCell ref="G8:J8"/>
    <mergeCell ref="C107:J107"/>
  </mergeCells>
  <printOptions horizontalCentered="1" verticalCentered="1"/>
  <pageMargins left="0" right="0" top="0" bottom="0" header="0.31496062992125984" footer="0.31496062992125984"/>
  <pageSetup paperSize="9" scale="47" orientation="portrait" r:id="rId1"/>
  <ignoredErrors>
    <ignoredError sqref="F11 I11:I68 F76:F79 F81:F86 I76:I86 F95 F88 I70:I75 F23:F24 I90:I95 F90:F91 I88 F96:F105 I96:I105 F73:F75 F26:F70" formula="1"/>
  </ignoredError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1D3CBB-DC25-4836-85C0-23E6B5DB39FA}">
  <sheetPr>
    <tabColor rgb="FFC00000"/>
  </sheetPr>
  <dimension ref="C1:S124"/>
  <sheetViews>
    <sheetView showGridLines="0" view="pageBreakPreview" zoomScaleNormal="100" zoomScaleSheetLayoutView="100" zoomScalePageLayoutView="70" workbookViewId="0"/>
  </sheetViews>
  <sheetFormatPr baseColWidth="10" defaultColWidth="11.42578125" defaultRowHeight="15" x14ac:dyDescent="0.25"/>
  <cols>
    <col min="1" max="2" width="3.28515625" style="60" customWidth="1"/>
    <col min="3" max="3" width="48.85546875" style="60" customWidth="1"/>
    <col min="4" max="4" width="14.7109375" style="60" customWidth="1"/>
    <col min="5" max="5" width="13" style="60" customWidth="1"/>
    <col min="6" max="6" width="11.140625" style="94" customWidth="1"/>
    <col min="7" max="7" width="12.42578125" style="63" customWidth="1"/>
    <col min="8" max="8" width="11.7109375" style="60" customWidth="1"/>
    <col min="9" max="9" width="9.7109375" style="63" customWidth="1"/>
    <col min="10" max="10" width="9.85546875" style="63" customWidth="1"/>
    <col min="11" max="11" width="3.28515625" style="60" customWidth="1"/>
    <col min="12" max="12" width="15.42578125" style="60" customWidth="1"/>
    <col min="13" max="16384" width="11.42578125" style="60"/>
  </cols>
  <sheetData>
    <row r="1" spans="3:19" ht="10.5" customHeight="1" x14ac:dyDescent="0.25">
      <c r="F1" s="63"/>
      <c r="H1" s="62"/>
    </row>
    <row r="2" spans="3:19" ht="10.5" customHeight="1" x14ac:dyDescent="0.25">
      <c r="F2" s="63"/>
      <c r="H2" s="62"/>
    </row>
    <row r="3" spans="3:19" ht="15.75" x14ac:dyDescent="0.25">
      <c r="C3" s="233" t="s">
        <v>0</v>
      </c>
      <c r="D3" s="233"/>
      <c r="E3" s="233"/>
      <c r="F3" s="233"/>
      <c r="G3" s="233"/>
      <c r="H3" s="233"/>
      <c r="I3" s="233"/>
      <c r="J3" s="233"/>
      <c r="K3" s="1"/>
      <c r="L3" s="1"/>
      <c r="M3" s="4"/>
      <c r="N3" s="4"/>
      <c r="O3" s="4"/>
      <c r="P3" s="4"/>
      <c r="Q3" s="4"/>
      <c r="R3" s="4"/>
      <c r="S3" s="4"/>
    </row>
    <row r="4" spans="3:19" ht="15.75" x14ac:dyDescent="0.25">
      <c r="C4" s="234" t="s">
        <v>1</v>
      </c>
      <c r="D4" s="234"/>
      <c r="E4" s="234"/>
      <c r="F4" s="234"/>
      <c r="G4" s="234"/>
      <c r="H4" s="234"/>
      <c r="I4" s="234"/>
      <c r="J4" s="234"/>
      <c r="K4" s="79"/>
      <c r="L4" s="1"/>
      <c r="M4" s="4"/>
      <c r="N4" s="4"/>
      <c r="O4" s="4"/>
      <c r="P4" s="4"/>
      <c r="Q4" s="4"/>
      <c r="R4" s="4"/>
      <c r="S4" s="4"/>
    </row>
    <row r="5" spans="3:19" ht="9" customHeight="1" x14ac:dyDescent="0.25">
      <c r="E5" s="4"/>
      <c r="F5" s="3"/>
      <c r="G5" s="3"/>
      <c r="H5" s="4"/>
      <c r="I5" s="3"/>
      <c r="J5" s="3"/>
      <c r="K5" s="4"/>
      <c r="L5" s="4"/>
      <c r="M5" s="4"/>
      <c r="N5" s="4"/>
      <c r="O5" s="4"/>
      <c r="P5" s="4"/>
      <c r="Q5" s="4"/>
      <c r="R5" s="4"/>
      <c r="S5" s="4"/>
    </row>
    <row r="6" spans="3:19" ht="15.75" customHeight="1" x14ac:dyDescent="0.25">
      <c r="C6" s="80" t="s">
        <v>83</v>
      </c>
      <c r="D6" s="52"/>
      <c r="E6" s="52"/>
      <c r="F6" s="81"/>
    </row>
    <row r="7" spans="3:19" x14ac:dyDescent="0.25">
      <c r="C7" s="82" t="s">
        <v>84</v>
      </c>
      <c r="D7" s="83"/>
      <c r="E7" s="83"/>
      <c r="F7" s="81"/>
    </row>
    <row r="8" spans="3:19" ht="26.25" customHeight="1" x14ac:dyDescent="0.25">
      <c r="C8" s="84"/>
      <c r="D8" s="244" t="s">
        <v>139</v>
      </c>
      <c r="E8" s="245"/>
      <c r="F8" s="245"/>
      <c r="G8" s="246" t="s">
        <v>140</v>
      </c>
      <c r="H8" s="247"/>
      <c r="I8" s="247"/>
      <c r="J8" s="248"/>
    </row>
    <row r="9" spans="3:19" ht="24" x14ac:dyDescent="0.25">
      <c r="C9" s="85" t="s">
        <v>85</v>
      </c>
      <c r="D9" s="96">
        <v>2025</v>
      </c>
      <c r="E9" s="95">
        <v>2026</v>
      </c>
      <c r="F9" s="107" t="s">
        <v>24</v>
      </c>
      <c r="G9" s="96">
        <v>2025</v>
      </c>
      <c r="H9" s="95">
        <v>2026</v>
      </c>
      <c r="I9" s="160" t="s">
        <v>24</v>
      </c>
      <c r="J9" s="137" t="s">
        <v>30</v>
      </c>
    </row>
    <row r="10" spans="3:19" ht="4.5" customHeight="1" x14ac:dyDescent="0.25">
      <c r="D10" s="200"/>
      <c r="E10" s="200"/>
      <c r="F10" s="63"/>
      <c r="H10" s="200"/>
    </row>
    <row r="11" spans="3:19" x14ac:dyDescent="0.25">
      <c r="C11" s="86" t="s">
        <v>86</v>
      </c>
      <c r="D11" s="140">
        <f>+SUM(D12:D26)</f>
        <v>228931.82027097605</v>
      </c>
      <c r="E11" s="140">
        <f>+SUM(E12:E26)</f>
        <v>218232.08372879698</v>
      </c>
      <c r="F11" s="161">
        <f>(E11-D11)/D11</f>
        <v>-4.6737655471023161E-2</v>
      </c>
      <c r="G11" s="144">
        <f>+SUM(G12:G26)</f>
        <v>1336911.6495914778</v>
      </c>
      <c r="H11" s="140">
        <f>+SUM(H12:H26)</f>
        <v>1362599.5386438963</v>
      </c>
      <c r="I11" s="163">
        <f>(H11-G11)/G11</f>
        <v>1.9214350522166527E-2</v>
      </c>
      <c r="J11" s="163">
        <f>SUM(J12:J26)</f>
        <v>1</v>
      </c>
    </row>
    <row r="12" spans="3:19" x14ac:dyDescent="0.25">
      <c r="C12" s="87" t="s">
        <v>90</v>
      </c>
      <c r="D12" s="141">
        <v>25948.464370000005</v>
      </c>
      <c r="E12" s="141">
        <v>30666.9837204</v>
      </c>
      <c r="F12" s="162">
        <f t="shared" ref="F12:F77" si="0">+E12/D12-1</f>
        <v>0.18184194960898159</v>
      </c>
      <c r="G12" s="150">
        <v>171056.56600671</v>
      </c>
      <c r="H12" s="141">
        <v>254964.32126889998</v>
      </c>
      <c r="I12" s="165">
        <f t="shared" ref="I12:I78" si="1">+H12/G12-1</f>
        <v>0.49052636341886191</v>
      </c>
      <c r="J12" s="165">
        <f t="shared" ref="J12:J26" si="2">(H12/$H$11)</f>
        <v>0.1871161071452063</v>
      </c>
    </row>
    <row r="13" spans="3:19" x14ac:dyDescent="0.25">
      <c r="C13" s="87" t="s">
        <v>87</v>
      </c>
      <c r="D13" s="141">
        <v>41571.51616159</v>
      </c>
      <c r="E13" s="141">
        <v>38247.183375193999</v>
      </c>
      <c r="F13" s="162">
        <f t="shared" si="0"/>
        <v>-7.9966599569623487E-2</v>
      </c>
      <c r="G13" s="150">
        <v>240305.07828134671</v>
      </c>
      <c r="H13" s="141">
        <v>224381.68398803199</v>
      </c>
      <c r="I13" s="165">
        <f t="shared" si="1"/>
        <v>-6.6263245068303389E-2</v>
      </c>
      <c r="J13" s="165">
        <f t="shared" si="2"/>
        <v>0.16467177451956572</v>
      </c>
    </row>
    <row r="14" spans="3:19" x14ac:dyDescent="0.25">
      <c r="C14" s="87" t="s">
        <v>88</v>
      </c>
      <c r="D14" s="141">
        <v>37722.690131999996</v>
      </c>
      <c r="E14" s="141">
        <v>35159.859839999997</v>
      </c>
      <c r="F14" s="162">
        <f t="shared" si="0"/>
        <v>-6.7938693741938616E-2</v>
      </c>
      <c r="G14" s="150">
        <v>210813.92981799998</v>
      </c>
      <c r="H14" s="141">
        <v>210204.61178399998</v>
      </c>
      <c r="I14" s="165">
        <f t="shared" si="1"/>
        <v>-2.8903120136607452E-3</v>
      </c>
      <c r="J14" s="165">
        <f t="shared" si="2"/>
        <v>0.15426734401598469</v>
      </c>
    </row>
    <row r="15" spans="3:19" x14ac:dyDescent="0.25">
      <c r="C15" s="88" t="s">
        <v>89</v>
      </c>
      <c r="D15" s="142">
        <v>37282.92874114</v>
      </c>
      <c r="E15" s="142">
        <v>34203.079790470008</v>
      </c>
      <c r="F15" s="162">
        <f t="shared" si="0"/>
        <v>-8.2607484300757705E-2</v>
      </c>
      <c r="G15" s="150">
        <v>203558.64381281001</v>
      </c>
      <c r="H15" s="141">
        <v>195470.79840995002</v>
      </c>
      <c r="I15" s="165">
        <f t="shared" si="1"/>
        <v>-3.9732262169605903E-2</v>
      </c>
      <c r="J15" s="165">
        <f t="shared" si="2"/>
        <v>0.14345432598963664</v>
      </c>
    </row>
    <row r="16" spans="3:19" x14ac:dyDescent="0.25">
      <c r="C16" s="89" t="s">
        <v>92</v>
      </c>
      <c r="D16" s="142">
        <v>19334.119290895003</v>
      </c>
      <c r="E16" s="142">
        <v>23020.783060519996</v>
      </c>
      <c r="F16" s="162">
        <f t="shared" si="0"/>
        <v>0.19068175354442696</v>
      </c>
      <c r="G16" s="150">
        <v>121910.323267428</v>
      </c>
      <c r="H16" s="141">
        <v>121563.06870879199</v>
      </c>
      <c r="I16" s="165">
        <f t="shared" si="1"/>
        <v>-2.8484426037839183E-3</v>
      </c>
      <c r="J16" s="165">
        <f t="shared" si="2"/>
        <v>8.9214083273340558E-2</v>
      </c>
    </row>
    <row r="17" spans="3:10" x14ac:dyDescent="0.25">
      <c r="C17" s="89" t="s">
        <v>91</v>
      </c>
      <c r="D17" s="142">
        <v>20724.337821904002</v>
      </c>
      <c r="E17" s="142">
        <v>16042.362201022001</v>
      </c>
      <c r="F17" s="162">
        <f t="shared" si="0"/>
        <v>-0.22591677770922647</v>
      </c>
      <c r="G17" s="150">
        <v>126575.32465022801</v>
      </c>
      <c r="H17" s="141">
        <v>112115.967207842</v>
      </c>
      <c r="I17" s="165">
        <f t="shared" si="1"/>
        <v>-0.11423519933559156</v>
      </c>
      <c r="J17" s="165">
        <f t="shared" si="2"/>
        <v>8.2280937302696783E-2</v>
      </c>
    </row>
    <row r="18" spans="3:10" x14ac:dyDescent="0.25">
      <c r="C18" s="89" t="s">
        <v>94</v>
      </c>
      <c r="D18" s="142">
        <v>17272.46803412</v>
      </c>
      <c r="E18" s="142">
        <v>14266.955627950001</v>
      </c>
      <c r="F18" s="162">
        <f t="shared" si="0"/>
        <v>-0.17400596140823166</v>
      </c>
      <c r="G18" s="150">
        <v>90084.860003549999</v>
      </c>
      <c r="H18" s="141">
        <v>88029.997986800008</v>
      </c>
      <c r="I18" s="165">
        <f t="shared" si="1"/>
        <v>-2.2810292613753447E-2</v>
      </c>
      <c r="J18" s="165">
        <f t="shared" si="2"/>
        <v>6.4604453098824871E-2</v>
      </c>
    </row>
    <row r="19" spans="3:10" x14ac:dyDescent="0.25">
      <c r="C19" s="89" t="s">
        <v>93</v>
      </c>
      <c r="D19" s="142">
        <v>16097.956809430099</v>
      </c>
      <c r="E19" s="142">
        <v>13939.560466999999</v>
      </c>
      <c r="F19" s="162">
        <f t="shared" si="0"/>
        <v>-0.1340789000729411</v>
      </c>
      <c r="G19" s="150">
        <v>96212.042021710105</v>
      </c>
      <c r="H19" s="141">
        <v>85298.763546100003</v>
      </c>
      <c r="I19" s="165">
        <f t="shared" si="1"/>
        <v>-0.11342944444675163</v>
      </c>
      <c r="J19" s="165">
        <f t="shared" si="2"/>
        <v>6.2600023797888649E-2</v>
      </c>
    </row>
    <row r="20" spans="3:10" x14ac:dyDescent="0.25">
      <c r="C20" s="89" t="s">
        <v>95</v>
      </c>
      <c r="D20" s="142">
        <v>5083.553563857</v>
      </c>
      <c r="E20" s="142">
        <v>6108.7737673410002</v>
      </c>
      <c r="F20" s="162">
        <f t="shared" si="0"/>
        <v>0.20167392565175302</v>
      </c>
      <c r="G20" s="150">
        <v>29180.531163015803</v>
      </c>
      <c r="H20" s="141">
        <v>29080.698734418998</v>
      </c>
      <c r="I20" s="165">
        <f t="shared" si="1"/>
        <v>-3.4211998417401634E-3</v>
      </c>
      <c r="J20" s="165">
        <f t="shared" si="2"/>
        <v>2.1342072934621027E-2</v>
      </c>
    </row>
    <row r="21" spans="3:10" x14ac:dyDescent="0.25">
      <c r="C21" s="89" t="s">
        <v>96</v>
      </c>
      <c r="D21" s="142">
        <v>3741.1799840799999</v>
      </c>
      <c r="E21" s="142">
        <v>3232.6128695899997</v>
      </c>
      <c r="F21" s="162">
        <f t="shared" si="0"/>
        <v>-0.13593762306388013</v>
      </c>
      <c r="G21" s="150">
        <v>24039.186527704001</v>
      </c>
      <c r="H21" s="141">
        <v>21808.17886883</v>
      </c>
      <c r="I21" s="165">
        <f t="shared" si="1"/>
        <v>-9.2807119587964171E-2</v>
      </c>
      <c r="J21" s="165">
        <f t="shared" si="2"/>
        <v>1.6004833592219041E-2</v>
      </c>
    </row>
    <row r="22" spans="3:10" x14ac:dyDescent="0.25">
      <c r="C22" s="89" t="s">
        <v>97</v>
      </c>
      <c r="D22" s="142">
        <v>2399.7758399999998</v>
      </c>
      <c r="E22" s="142">
        <v>1454.9842000000001</v>
      </c>
      <c r="F22" s="162">
        <f t="shared" si="0"/>
        <v>-0.3936999549091218</v>
      </c>
      <c r="G22" s="150">
        <v>12653.229265</v>
      </c>
      <c r="H22" s="141">
        <v>9302.8956769000015</v>
      </c>
      <c r="I22" s="165">
        <f t="shared" si="1"/>
        <v>-0.26478091228199985</v>
      </c>
      <c r="J22" s="221">
        <f t="shared" si="2"/>
        <v>6.8273145653333688E-3</v>
      </c>
    </row>
    <row r="23" spans="3:10" x14ac:dyDescent="0.25">
      <c r="C23" s="89" t="s">
        <v>98</v>
      </c>
      <c r="D23" s="142">
        <v>1562.2402809999999</v>
      </c>
      <c r="E23" s="142">
        <v>1709.2630813100002</v>
      </c>
      <c r="F23" s="162">
        <f t="shared" si="0"/>
        <v>9.4110235216755544E-2</v>
      </c>
      <c r="G23" s="150">
        <v>8948.4784068850004</v>
      </c>
      <c r="H23" s="141">
        <v>9070.4876017099996</v>
      </c>
      <c r="I23" s="165">
        <f t="shared" si="1"/>
        <v>1.3634630299954154E-2</v>
      </c>
      <c r="J23" s="221">
        <f t="shared" si="2"/>
        <v>6.6567522918268753E-3</v>
      </c>
    </row>
    <row r="24" spans="3:10" x14ac:dyDescent="0.25">
      <c r="C24" s="89" t="s">
        <v>99</v>
      </c>
      <c r="D24" s="142">
        <v>154.48893049999998</v>
      </c>
      <c r="E24" s="142">
        <v>179.68172800000002</v>
      </c>
      <c r="F24" s="162">
        <f t="shared" si="0"/>
        <v>0.16307186164383491</v>
      </c>
      <c r="G24" s="150">
        <v>868.37522450000006</v>
      </c>
      <c r="H24" s="141">
        <v>1029.8704757999999</v>
      </c>
      <c r="I24" s="165">
        <f t="shared" si="1"/>
        <v>0.18597404295244235</v>
      </c>
      <c r="J24" s="165">
        <f t="shared" si="2"/>
        <v>7.558130225296867E-4</v>
      </c>
    </row>
    <row r="25" spans="3:10" x14ac:dyDescent="0.25">
      <c r="C25" s="89" t="s">
        <v>100</v>
      </c>
      <c r="D25" s="142">
        <v>0</v>
      </c>
      <c r="E25" s="142">
        <v>0</v>
      </c>
      <c r="F25" s="162" t="s">
        <v>43</v>
      </c>
      <c r="G25" s="150">
        <v>503.85285729999998</v>
      </c>
      <c r="H25" s="141">
        <v>163.28291342150001</v>
      </c>
      <c r="I25" s="165">
        <f t="shared" si="1"/>
        <v>-0.67593135365653101</v>
      </c>
      <c r="J25" s="222">
        <f t="shared" si="2"/>
        <v>1.1983191597437682E-4</v>
      </c>
    </row>
    <row r="26" spans="3:10" x14ac:dyDescent="0.25">
      <c r="C26" s="74" t="s">
        <v>101</v>
      </c>
      <c r="D26" s="143">
        <v>36.100310459999996</v>
      </c>
      <c r="E26" s="143">
        <v>0</v>
      </c>
      <c r="F26" s="162" t="s">
        <v>43</v>
      </c>
      <c r="G26" s="155">
        <v>201.22828528999997</v>
      </c>
      <c r="H26" s="156">
        <v>114.91147240000001</v>
      </c>
      <c r="I26" s="165">
        <f t="shared" si="1"/>
        <v>-0.42894970140805289</v>
      </c>
      <c r="J26" s="222">
        <f t="shared" si="2"/>
        <v>8.4332534351482067E-5</v>
      </c>
    </row>
    <row r="27" spans="3:10" x14ac:dyDescent="0.25">
      <c r="C27" s="86" t="s">
        <v>102</v>
      </c>
      <c r="D27" s="144">
        <f>+SUM(D28:D44)</f>
        <v>9221884.1855008863</v>
      </c>
      <c r="E27" s="140">
        <f>+SUM(E28:E44)</f>
        <v>7941508.7744702799</v>
      </c>
      <c r="F27" s="163">
        <f>+E27/D27-1</f>
        <v>-0.13884097710136911</v>
      </c>
      <c r="G27" s="144">
        <f>+SUM(G28:G44)</f>
        <v>52977577.907957971</v>
      </c>
      <c r="H27" s="140">
        <f>+SUM(H28:H44)</f>
        <v>49853779.623135552</v>
      </c>
      <c r="I27" s="163">
        <f>+H27/G27-1</f>
        <v>-5.8964535718292632E-2</v>
      </c>
      <c r="J27" s="170">
        <f>SUM(J28:J44)</f>
        <v>1</v>
      </c>
    </row>
    <row r="28" spans="3:10" x14ac:dyDescent="0.25">
      <c r="C28" s="90" t="s">
        <v>97</v>
      </c>
      <c r="D28" s="141">
        <v>2471997.339288</v>
      </c>
      <c r="E28" s="145">
        <v>2071869.0599299998</v>
      </c>
      <c r="F28" s="162">
        <f t="shared" si="0"/>
        <v>-0.16186436489986178</v>
      </c>
      <c r="G28" s="148">
        <v>12341476.869127</v>
      </c>
      <c r="H28" s="149">
        <v>12729882.309505001</v>
      </c>
      <c r="I28" s="164">
        <f t="shared" si="1"/>
        <v>3.147155275634983E-2</v>
      </c>
      <c r="J28" s="171">
        <f t="shared" ref="J28:J43" si="3">(H28/$H$27)</f>
        <v>0.25534437721142145</v>
      </c>
    </row>
    <row r="29" spans="3:10" x14ac:dyDescent="0.25">
      <c r="C29" s="87" t="s">
        <v>103</v>
      </c>
      <c r="D29" s="141">
        <v>2626134.8850592501</v>
      </c>
      <c r="E29" s="145">
        <v>1535570.9109519999</v>
      </c>
      <c r="F29" s="162">
        <f t="shared" si="0"/>
        <v>-0.41527340439051563</v>
      </c>
      <c r="G29" s="150">
        <v>15485475.340065408</v>
      </c>
      <c r="H29" s="141">
        <v>12524396.26749284</v>
      </c>
      <c r="I29" s="165">
        <f t="shared" si="1"/>
        <v>-0.19121654373188013</v>
      </c>
      <c r="J29" s="172">
        <f t="shared" si="3"/>
        <v>0.2512226026225034</v>
      </c>
    </row>
    <row r="30" spans="3:10" x14ac:dyDescent="0.25">
      <c r="C30" s="87" t="s">
        <v>89</v>
      </c>
      <c r="D30" s="141">
        <v>1961356.5778222252</v>
      </c>
      <c r="E30" s="145">
        <v>2097978.895632328</v>
      </c>
      <c r="F30" s="162">
        <f t="shared" si="0"/>
        <v>6.9657052345780013E-2</v>
      </c>
      <c r="G30" s="150">
        <v>11565229.034010982</v>
      </c>
      <c r="H30" s="142">
        <v>11219212.08337917</v>
      </c>
      <c r="I30" s="165">
        <f t="shared" si="1"/>
        <v>-2.9918728770026659E-2</v>
      </c>
      <c r="J30" s="172">
        <f t="shared" si="3"/>
        <v>0.22504235723328569</v>
      </c>
    </row>
    <row r="31" spans="3:10" x14ac:dyDescent="0.25">
      <c r="C31" s="87" t="s">
        <v>101</v>
      </c>
      <c r="D31" s="142">
        <v>715891.24691955815</v>
      </c>
      <c r="E31" s="146">
        <v>724462.276255748</v>
      </c>
      <c r="F31" s="162">
        <f t="shared" si="0"/>
        <v>1.197252986828734E-2</v>
      </c>
      <c r="G31" s="150">
        <v>4204006.6555784382</v>
      </c>
      <c r="H31" s="141">
        <v>4077370.8271207716</v>
      </c>
      <c r="I31" s="165">
        <f t="shared" si="1"/>
        <v>-3.0122651754042606E-2</v>
      </c>
      <c r="J31" s="172">
        <f t="shared" si="3"/>
        <v>8.1786593873989719E-2</v>
      </c>
    </row>
    <row r="32" spans="3:10" x14ac:dyDescent="0.25">
      <c r="C32" s="87" t="s">
        <v>96</v>
      </c>
      <c r="D32" s="142">
        <v>234763.60289271901</v>
      </c>
      <c r="E32" s="146">
        <v>375538.29603719997</v>
      </c>
      <c r="F32" s="162">
        <f t="shared" si="0"/>
        <v>0.59964445684883882</v>
      </c>
      <c r="G32" s="150">
        <v>2336304.9214690421</v>
      </c>
      <c r="H32" s="142">
        <v>2521386.5108421398</v>
      </c>
      <c r="I32" s="165">
        <f t="shared" si="1"/>
        <v>7.9219791762763725E-2</v>
      </c>
      <c r="J32" s="172">
        <f t="shared" si="3"/>
        <v>5.0575633982063113E-2</v>
      </c>
    </row>
    <row r="33" spans="3:10" x14ac:dyDescent="0.25">
      <c r="C33" s="87" t="s">
        <v>94</v>
      </c>
      <c r="D33" s="142">
        <v>168269.390732</v>
      </c>
      <c r="E33" s="146">
        <v>277419.86782573699</v>
      </c>
      <c r="F33" s="162">
        <f t="shared" si="0"/>
        <v>0.64866507579848087</v>
      </c>
      <c r="G33" s="150">
        <v>843773.37611499999</v>
      </c>
      <c r="H33" s="141">
        <v>1480480.6262844319</v>
      </c>
      <c r="I33" s="165">
        <f t="shared" si="1"/>
        <v>0.75459509412472081</v>
      </c>
      <c r="J33" s="172">
        <f t="shared" si="3"/>
        <v>2.9696457068570745E-2</v>
      </c>
    </row>
    <row r="34" spans="3:10" x14ac:dyDescent="0.25">
      <c r="C34" s="87" t="s">
        <v>88</v>
      </c>
      <c r="D34" s="142">
        <v>191966.20741499998</v>
      </c>
      <c r="E34" s="146">
        <v>199717.57120000001</v>
      </c>
      <c r="F34" s="162">
        <f t="shared" si="0"/>
        <v>4.0378793170835703E-2</v>
      </c>
      <c r="G34" s="150">
        <v>1313120.083292</v>
      </c>
      <c r="H34" s="141">
        <v>1381273.5072075198</v>
      </c>
      <c r="I34" s="165">
        <f t="shared" si="1"/>
        <v>5.1901897459871948E-2</v>
      </c>
      <c r="J34" s="172">
        <f t="shared" si="3"/>
        <v>2.7706495227625926E-2</v>
      </c>
    </row>
    <row r="35" spans="3:10" x14ac:dyDescent="0.25">
      <c r="C35" s="87" t="s">
        <v>100</v>
      </c>
      <c r="D35" s="142">
        <v>272752.56267699372</v>
      </c>
      <c r="E35" s="146">
        <v>178565.09769858388</v>
      </c>
      <c r="F35" s="162">
        <f t="shared" si="0"/>
        <v>-0.34532201660723172</v>
      </c>
      <c r="G35" s="150">
        <v>1498619.1675627802</v>
      </c>
      <c r="H35" s="141">
        <v>1177572.7073478228</v>
      </c>
      <c r="I35" s="165">
        <f t="shared" si="1"/>
        <v>-0.2142281822920219</v>
      </c>
      <c r="J35" s="172">
        <f t="shared" si="3"/>
        <v>2.3620530203518387E-2</v>
      </c>
    </row>
    <row r="36" spans="3:10" x14ac:dyDescent="0.25">
      <c r="C36" s="87" t="s">
        <v>95</v>
      </c>
      <c r="D36" s="142">
        <v>161865.5827572</v>
      </c>
      <c r="E36" s="146">
        <v>156387.64905180002</v>
      </c>
      <c r="F36" s="162">
        <f t="shared" si="0"/>
        <v>-3.3842485920042242E-2</v>
      </c>
      <c r="G36" s="150">
        <v>920495.9606143001</v>
      </c>
      <c r="H36" s="141">
        <v>747930.04997489997</v>
      </c>
      <c r="I36" s="165">
        <f t="shared" si="1"/>
        <v>-0.18747057893033769</v>
      </c>
      <c r="J36" s="172">
        <f t="shared" si="3"/>
        <v>1.5002474348560915E-2</v>
      </c>
    </row>
    <row r="37" spans="3:10" x14ac:dyDescent="0.25">
      <c r="C37" s="87" t="s">
        <v>91</v>
      </c>
      <c r="D37" s="142">
        <v>138857.40470216199</v>
      </c>
      <c r="E37" s="146">
        <v>112411.64821896399</v>
      </c>
      <c r="F37" s="162">
        <f t="shared" si="0"/>
        <v>-0.19045261964907112</v>
      </c>
      <c r="G37" s="150">
        <v>849272.87408350699</v>
      </c>
      <c r="H37" s="141">
        <v>695953.01774142089</v>
      </c>
      <c r="I37" s="165">
        <f t="shared" si="1"/>
        <v>-0.18053073519808494</v>
      </c>
      <c r="J37" s="172">
        <f t="shared" si="3"/>
        <v>1.3959884747002237E-2</v>
      </c>
    </row>
    <row r="38" spans="3:10" x14ac:dyDescent="0.25">
      <c r="C38" s="87" t="s">
        <v>104</v>
      </c>
      <c r="D38" s="142">
        <v>117263.59992518526</v>
      </c>
      <c r="E38" s="146">
        <v>95554.933538585959</v>
      </c>
      <c r="F38" s="162">
        <f t="shared" si="0"/>
        <v>-0.18512706756785169</v>
      </c>
      <c r="G38" s="150">
        <v>650423.89598091273</v>
      </c>
      <c r="H38" s="141">
        <v>671275.96619121684</v>
      </c>
      <c r="I38" s="165">
        <f t="shared" si="1"/>
        <v>3.2059200683051126E-2</v>
      </c>
      <c r="J38" s="172">
        <f t="shared" si="3"/>
        <v>1.3464896167665871E-2</v>
      </c>
    </row>
    <row r="39" spans="3:10" x14ac:dyDescent="0.25">
      <c r="C39" s="87" t="s">
        <v>93</v>
      </c>
      <c r="D39" s="142">
        <v>39769.813580000002</v>
      </c>
      <c r="E39" s="146">
        <v>48099.998659999997</v>
      </c>
      <c r="F39" s="162">
        <f t="shared" si="0"/>
        <v>0.209459998177844</v>
      </c>
      <c r="G39" s="150">
        <v>230244.14613000001</v>
      </c>
      <c r="H39" s="141">
        <v>271013.14019000001</v>
      </c>
      <c r="I39" s="165">
        <f t="shared" si="1"/>
        <v>0.17706853679129408</v>
      </c>
      <c r="J39" s="172">
        <f t="shared" si="3"/>
        <v>5.4361603521076154E-3</v>
      </c>
    </row>
    <row r="40" spans="3:10" x14ac:dyDescent="0.25">
      <c r="C40" s="87" t="s">
        <v>98</v>
      </c>
      <c r="D40" s="142">
        <v>61429.082560000003</v>
      </c>
      <c r="E40" s="146">
        <v>30849.405498336</v>
      </c>
      <c r="F40" s="162">
        <f t="shared" si="0"/>
        <v>-0.49780455424831926</v>
      </c>
      <c r="G40" s="150">
        <v>359415.94087385299</v>
      </c>
      <c r="H40" s="141">
        <v>163069.34291833601</v>
      </c>
      <c r="I40" s="165">
        <f t="shared" si="1"/>
        <v>-0.54629351574706664</v>
      </c>
      <c r="J40" s="172">
        <f t="shared" si="3"/>
        <v>3.2709524563842842E-3</v>
      </c>
    </row>
    <row r="41" spans="3:10" x14ac:dyDescent="0.25">
      <c r="C41" s="87" t="s">
        <v>105</v>
      </c>
      <c r="D41" s="142">
        <v>43679.052220596197</v>
      </c>
      <c r="E41" s="146">
        <v>21879.5149949962</v>
      </c>
      <c r="F41" s="162">
        <f t="shared" si="0"/>
        <v>-0.49908448369034786</v>
      </c>
      <c r="G41" s="150">
        <v>295407.3623447431</v>
      </c>
      <c r="H41" s="141">
        <v>110130.12921197771</v>
      </c>
      <c r="I41" s="165">
        <f t="shared" si="1"/>
        <v>-0.62719233421320475</v>
      </c>
      <c r="J41" s="172">
        <f t="shared" si="3"/>
        <v>2.209062784095708E-3</v>
      </c>
    </row>
    <row r="42" spans="3:10" x14ac:dyDescent="0.25">
      <c r="C42" s="87" t="s">
        <v>87</v>
      </c>
      <c r="D42" s="142">
        <v>11942.737349999999</v>
      </c>
      <c r="E42" s="146">
        <v>11918.674559999999</v>
      </c>
      <c r="F42" s="162">
        <f t="shared" si="0"/>
        <v>-2.0148471238045085E-3</v>
      </c>
      <c r="G42" s="150">
        <v>73798.770820000005</v>
      </c>
      <c r="H42" s="141">
        <v>65292.619319999998</v>
      </c>
      <c r="I42" s="165">
        <f t="shared" si="1"/>
        <v>-0.11526142516312454</v>
      </c>
      <c r="J42" s="172">
        <f t="shared" si="3"/>
        <v>1.3096824315743509E-3</v>
      </c>
    </row>
    <row r="43" spans="3:10" x14ac:dyDescent="0.25">
      <c r="C43" s="87" t="s">
        <v>90</v>
      </c>
      <c r="D43" s="142">
        <v>1082.13994</v>
      </c>
      <c r="E43" s="146">
        <v>3284.974416</v>
      </c>
      <c r="F43" s="162">
        <f t="shared" si="0"/>
        <v>2.0356281055479757</v>
      </c>
      <c r="G43" s="150">
        <v>7650.5502300000007</v>
      </c>
      <c r="H43" s="141">
        <v>17540.518408</v>
      </c>
      <c r="I43" s="165">
        <f t="shared" si="1"/>
        <v>1.2927133187386444</v>
      </c>
      <c r="J43" s="223">
        <f t="shared" si="3"/>
        <v>3.5183928963050985E-4</v>
      </c>
    </row>
    <row r="44" spans="3:10" x14ac:dyDescent="0.25">
      <c r="C44" s="87" t="s">
        <v>92</v>
      </c>
      <c r="D44" s="142">
        <v>2862.95966</v>
      </c>
      <c r="E44" s="146">
        <v>0</v>
      </c>
      <c r="F44" s="162" t="s">
        <v>43</v>
      </c>
      <c r="G44" s="150">
        <v>2862.95966</v>
      </c>
      <c r="H44" s="141">
        <v>0</v>
      </c>
      <c r="I44" s="165" t="s">
        <v>43</v>
      </c>
      <c r="J44" s="172" t="s">
        <v>43</v>
      </c>
    </row>
    <row r="45" spans="3:10" x14ac:dyDescent="0.25">
      <c r="C45" s="86" t="s">
        <v>106</v>
      </c>
      <c r="D45" s="144">
        <f>+SUM(D46:D57)</f>
        <v>136355.64241245497</v>
      </c>
      <c r="E45" s="140">
        <f>+SUM(E46:E57)</f>
        <v>101132.975713002</v>
      </c>
      <c r="F45" s="163">
        <f t="shared" si="0"/>
        <v>-0.2583146987999938</v>
      </c>
      <c r="G45" s="144">
        <f>+SUM(G46:G57)</f>
        <v>716684.24400065595</v>
      </c>
      <c r="H45" s="140">
        <f>+SUM(H46:H57)</f>
        <v>643912.85087366623</v>
      </c>
      <c r="I45" s="163">
        <f t="shared" si="1"/>
        <v>-0.10153898838457387</v>
      </c>
      <c r="J45" s="170">
        <f>SUM(J46:J57)</f>
        <v>1.0000000000000002</v>
      </c>
    </row>
    <row r="46" spans="3:10" x14ac:dyDescent="0.25">
      <c r="C46" s="90" t="s">
        <v>90</v>
      </c>
      <c r="D46" s="148">
        <v>60921.660442099994</v>
      </c>
      <c r="E46" s="149">
        <v>21669.150627939995</v>
      </c>
      <c r="F46" s="164">
        <f t="shared" si="0"/>
        <v>-0.64431122739121038</v>
      </c>
      <c r="G46" s="141">
        <v>288203.97737105004</v>
      </c>
      <c r="H46" s="145">
        <v>182926.11433223</v>
      </c>
      <c r="I46" s="162">
        <f t="shared" si="1"/>
        <v>-0.36528941758246236</v>
      </c>
      <c r="J46" s="171">
        <f t="shared" ref="J46:J57" si="4">(H46/$H$45)</f>
        <v>0.28408520513922708</v>
      </c>
    </row>
    <row r="47" spans="3:10" x14ac:dyDescent="0.25">
      <c r="C47" s="89" t="s">
        <v>92</v>
      </c>
      <c r="D47" s="150">
        <v>22400.842525358999</v>
      </c>
      <c r="E47" s="141">
        <v>25808.756397725996</v>
      </c>
      <c r="F47" s="165">
        <f t="shared" si="0"/>
        <v>0.15213329000947384</v>
      </c>
      <c r="G47" s="141">
        <v>114361.95082497101</v>
      </c>
      <c r="H47" s="145">
        <v>140729.213857683</v>
      </c>
      <c r="I47" s="162">
        <f t="shared" si="1"/>
        <v>0.23055975210729529</v>
      </c>
      <c r="J47" s="172">
        <f t="shared" si="4"/>
        <v>0.21855319965541992</v>
      </c>
    </row>
    <row r="48" spans="3:10" x14ac:dyDescent="0.25">
      <c r="C48" s="87" t="s">
        <v>96</v>
      </c>
      <c r="D48" s="150">
        <v>16489.930938580001</v>
      </c>
      <c r="E48" s="141">
        <v>13150.726136930001</v>
      </c>
      <c r="F48" s="165">
        <f t="shared" si="0"/>
        <v>-0.20249962319960746</v>
      </c>
      <c r="G48" s="141">
        <v>90637.121962060017</v>
      </c>
      <c r="H48" s="145">
        <v>85047.398882490001</v>
      </c>
      <c r="I48" s="162">
        <f t="shared" si="1"/>
        <v>-6.1671453799137965E-2</v>
      </c>
      <c r="J48" s="172">
        <f t="shared" si="4"/>
        <v>0.13207905195104741</v>
      </c>
    </row>
    <row r="49" spans="3:10" x14ac:dyDescent="0.25">
      <c r="C49" s="89" t="s">
        <v>93</v>
      </c>
      <c r="D49" s="130">
        <v>10901.857269</v>
      </c>
      <c r="E49" s="142">
        <v>13070.075523</v>
      </c>
      <c r="F49" s="165">
        <f t="shared" si="0"/>
        <v>0.19888521749091703</v>
      </c>
      <c r="G49" s="141">
        <v>68568.215261000005</v>
      </c>
      <c r="H49" s="145">
        <v>79739.319833000016</v>
      </c>
      <c r="I49" s="162">
        <f t="shared" si="1"/>
        <v>0.16291957621294362</v>
      </c>
      <c r="J49" s="172">
        <f t="shared" si="4"/>
        <v>0.12383557763260829</v>
      </c>
    </row>
    <row r="50" spans="3:10" x14ac:dyDescent="0.25">
      <c r="C50" s="89" t="s">
        <v>95</v>
      </c>
      <c r="D50" s="130">
        <v>12380.337331256</v>
      </c>
      <c r="E50" s="142">
        <v>14294.612102015999</v>
      </c>
      <c r="F50" s="165">
        <f t="shared" si="0"/>
        <v>0.15462218189540988</v>
      </c>
      <c r="G50" s="141">
        <v>83329.981924937994</v>
      </c>
      <c r="H50" s="145">
        <v>76521.371336348006</v>
      </c>
      <c r="I50" s="162">
        <f t="shared" si="1"/>
        <v>-8.170661304982707E-2</v>
      </c>
      <c r="J50" s="172">
        <f t="shared" si="4"/>
        <v>0.11883808691272923</v>
      </c>
    </row>
    <row r="51" spans="3:10" x14ac:dyDescent="0.25">
      <c r="C51" s="89" t="s">
        <v>99</v>
      </c>
      <c r="D51" s="130">
        <v>4484.5838592</v>
      </c>
      <c r="E51" s="142">
        <v>5023.1553366999997</v>
      </c>
      <c r="F51" s="165">
        <f t="shared" si="0"/>
        <v>0.12009396956534446</v>
      </c>
      <c r="G51" s="141">
        <v>24809.165308900003</v>
      </c>
      <c r="H51" s="145">
        <v>29325.033633799998</v>
      </c>
      <c r="I51" s="162">
        <f t="shared" si="1"/>
        <v>0.1820241942311529</v>
      </c>
      <c r="J51" s="172">
        <f t="shared" si="4"/>
        <v>4.5541929461434962E-2</v>
      </c>
    </row>
    <row r="52" spans="3:10" x14ac:dyDescent="0.25">
      <c r="C52" s="89" t="s">
        <v>101</v>
      </c>
      <c r="D52" s="130">
        <v>4141.3037464600002</v>
      </c>
      <c r="E52" s="142">
        <v>4125.2110399900002</v>
      </c>
      <c r="F52" s="165">
        <f t="shared" si="0"/>
        <v>-3.8859034389244762E-3</v>
      </c>
      <c r="G52" s="141">
        <v>21903.596190509998</v>
      </c>
      <c r="H52" s="145">
        <v>27123.136086589999</v>
      </c>
      <c r="I52" s="162">
        <f t="shared" si="1"/>
        <v>0.2382960245743313</v>
      </c>
      <c r="J52" s="172">
        <f t="shared" si="4"/>
        <v>4.2122371140425455E-2</v>
      </c>
    </row>
    <row r="53" spans="3:10" x14ac:dyDescent="0.25">
      <c r="C53" s="89" t="s">
        <v>89</v>
      </c>
      <c r="D53" s="130">
        <v>2188.3584238999997</v>
      </c>
      <c r="E53" s="142">
        <v>2300.9004192000002</v>
      </c>
      <c r="F53" s="165">
        <f t="shared" si="0"/>
        <v>5.1427587944863573E-2</v>
      </c>
      <c r="G53" s="141">
        <v>14321.981138399999</v>
      </c>
      <c r="H53" s="145">
        <v>12266.3639478</v>
      </c>
      <c r="I53" s="162">
        <f t="shared" si="1"/>
        <v>-0.14352882961760727</v>
      </c>
      <c r="J53" s="172">
        <f t="shared" si="4"/>
        <v>1.9049726886420884E-2</v>
      </c>
    </row>
    <row r="54" spans="3:10" x14ac:dyDescent="0.25">
      <c r="C54" s="89" t="s">
        <v>98</v>
      </c>
      <c r="D54" s="130">
        <v>1532.7738724000003</v>
      </c>
      <c r="E54" s="142">
        <v>1689.2784294999999</v>
      </c>
      <c r="F54" s="165">
        <f t="shared" si="0"/>
        <v>0.10210544420028933</v>
      </c>
      <c r="G54" s="141">
        <v>8014.4791535270006</v>
      </c>
      <c r="H54" s="145">
        <v>8720.8078997599987</v>
      </c>
      <c r="I54" s="162">
        <f t="shared" si="1"/>
        <v>8.8131584436420773E-2</v>
      </c>
      <c r="J54" s="172">
        <f t="shared" si="4"/>
        <v>1.3543459938604323E-2</v>
      </c>
    </row>
    <row r="55" spans="3:10" x14ac:dyDescent="0.25">
      <c r="C55" s="89" t="s">
        <v>100</v>
      </c>
      <c r="D55" s="151">
        <v>899.19403119999993</v>
      </c>
      <c r="E55" s="147">
        <v>0</v>
      </c>
      <c r="F55" s="165" t="s">
        <v>43</v>
      </c>
      <c r="G55" s="141">
        <v>2493.3261962999995</v>
      </c>
      <c r="H55" s="145">
        <v>1488.1025092</v>
      </c>
      <c r="I55" s="162">
        <f t="shared" si="1"/>
        <v>-0.40316573442805559</v>
      </c>
      <c r="J55" s="172">
        <f t="shared" si="4"/>
        <v>2.3110309216238349E-3</v>
      </c>
    </row>
    <row r="56" spans="3:10" x14ac:dyDescent="0.25">
      <c r="C56" s="89" t="s">
        <v>94</v>
      </c>
      <c r="D56" s="151">
        <v>2.7191999999999998</v>
      </c>
      <c r="E56" s="147">
        <v>1.1096999999999999</v>
      </c>
      <c r="F56" s="165">
        <f t="shared" si="0"/>
        <v>-0.59190203000882613</v>
      </c>
      <c r="G56" s="141">
        <v>7.3610499999999996</v>
      </c>
      <c r="H56" s="145">
        <v>16.4956</v>
      </c>
      <c r="I56" s="162">
        <f t="shared" si="1"/>
        <v>1.240930302062885</v>
      </c>
      <c r="J56" s="224">
        <f t="shared" si="4"/>
        <v>2.5617752429724977E-5</v>
      </c>
    </row>
    <row r="57" spans="3:10" x14ac:dyDescent="0.25">
      <c r="C57" s="89" t="s">
        <v>88</v>
      </c>
      <c r="D57" s="151">
        <v>12.080772999999999</v>
      </c>
      <c r="E57" s="147">
        <v>0</v>
      </c>
      <c r="F57" s="165" t="s">
        <v>43</v>
      </c>
      <c r="G57" s="157">
        <v>33.087618999999997</v>
      </c>
      <c r="H57" s="145">
        <v>9.4929547652000004</v>
      </c>
      <c r="I57" s="162">
        <f t="shared" si="1"/>
        <v>-0.71309646773918667</v>
      </c>
      <c r="J57" s="224">
        <f t="shared" si="4"/>
        <v>1.4742608028896894E-5</v>
      </c>
    </row>
    <row r="58" spans="3:10" x14ac:dyDescent="0.25">
      <c r="C58" s="86" t="s">
        <v>107</v>
      </c>
      <c r="D58" s="144">
        <f>+SUM(D59:D75)</f>
        <v>310533.40676929883</v>
      </c>
      <c r="E58" s="140">
        <f>+SUM(E59:E75)</f>
        <v>282494.02233459521</v>
      </c>
      <c r="F58" s="163">
        <f t="shared" si="0"/>
        <v>-9.0294260853984731E-2</v>
      </c>
      <c r="G58" s="144">
        <f>+SUM(G59:G75)</f>
        <v>1801358.8738404061</v>
      </c>
      <c r="H58" s="140">
        <f>+SUM(H59:H75)</f>
        <v>1748952.6406295055</v>
      </c>
      <c r="I58" s="163">
        <f t="shared" si="1"/>
        <v>-2.9092611123719636E-2</v>
      </c>
      <c r="J58" s="170">
        <f>SUM(J59:J75)</f>
        <v>1.0000000000000002</v>
      </c>
    </row>
    <row r="59" spans="3:10" x14ac:dyDescent="0.25">
      <c r="C59" s="90" t="s">
        <v>90</v>
      </c>
      <c r="D59" s="148">
        <v>58467.895002404795</v>
      </c>
      <c r="E59" s="149">
        <v>38840.598845204993</v>
      </c>
      <c r="F59" s="164">
        <f t="shared" si="0"/>
        <v>-0.33569356578328202</v>
      </c>
      <c r="G59" s="148">
        <v>330366.5764299446</v>
      </c>
      <c r="H59" s="149">
        <v>333705.05313499109</v>
      </c>
      <c r="I59" s="164">
        <f t="shared" si="1"/>
        <v>1.0105370649547085E-2</v>
      </c>
      <c r="J59" s="171">
        <f t="shared" ref="J59:J75" si="5">(H59/$H$58)</f>
        <v>0.1908027955604788</v>
      </c>
    </row>
    <row r="60" spans="3:10" x14ac:dyDescent="0.25">
      <c r="C60" s="87" t="s">
        <v>96</v>
      </c>
      <c r="D60" s="150">
        <v>57088.284630361486</v>
      </c>
      <c r="E60" s="141">
        <v>52737.544515995098</v>
      </c>
      <c r="F60" s="165">
        <f t="shared" si="0"/>
        <v>-7.6210734698665572E-2</v>
      </c>
      <c r="G60" s="150">
        <v>365667.88573570456</v>
      </c>
      <c r="H60" s="141">
        <v>317527.59450820845</v>
      </c>
      <c r="I60" s="165">
        <f t="shared" si="1"/>
        <v>-0.13165031195080301</v>
      </c>
      <c r="J60" s="172">
        <f t="shared" si="5"/>
        <v>0.1815529975665435</v>
      </c>
    </row>
    <row r="61" spans="3:10" ht="15" customHeight="1" x14ac:dyDescent="0.25">
      <c r="C61" s="87" t="s">
        <v>92</v>
      </c>
      <c r="D61" s="150">
        <v>46677.893308302206</v>
      </c>
      <c r="E61" s="141">
        <v>53912.940849615901</v>
      </c>
      <c r="F61" s="165">
        <f t="shared" si="0"/>
        <v>0.15499944467345661</v>
      </c>
      <c r="G61" s="150">
        <v>249842.2263558713</v>
      </c>
      <c r="H61" s="141">
        <v>266455.3935804069</v>
      </c>
      <c r="I61" s="165">
        <f t="shared" si="1"/>
        <v>6.6494633300585804E-2</v>
      </c>
      <c r="J61" s="172">
        <f t="shared" si="5"/>
        <v>0.15235140585882351</v>
      </c>
    </row>
    <row r="62" spans="3:10" x14ac:dyDescent="0.25">
      <c r="C62" s="87" t="s">
        <v>95</v>
      </c>
      <c r="D62" s="150">
        <v>40802.605781590595</v>
      </c>
      <c r="E62" s="141">
        <v>44921.384986055993</v>
      </c>
      <c r="F62" s="165">
        <f t="shared" si="0"/>
        <v>0.1009440236859509</v>
      </c>
      <c r="G62" s="150">
        <v>253869.98363337931</v>
      </c>
      <c r="H62" s="141">
        <v>248637.80827904248</v>
      </c>
      <c r="I62" s="165">
        <f t="shared" si="1"/>
        <v>-2.060966515006657E-2</v>
      </c>
      <c r="J62" s="172">
        <f t="shared" si="5"/>
        <v>0.14216383137141414</v>
      </c>
    </row>
    <row r="63" spans="3:10" x14ac:dyDescent="0.25">
      <c r="C63" s="89" t="s">
        <v>88</v>
      </c>
      <c r="D63" s="130">
        <v>11959.3413273852</v>
      </c>
      <c r="E63" s="142">
        <v>14581.2518164145</v>
      </c>
      <c r="F63" s="165">
        <f t="shared" si="0"/>
        <v>0.21923535897629209</v>
      </c>
      <c r="G63" s="150">
        <v>73681.743882366005</v>
      </c>
      <c r="H63" s="141">
        <v>87778.778780672394</v>
      </c>
      <c r="I63" s="165">
        <f t="shared" si="1"/>
        <v>0.19132330690778043</v>
      </c>
      <c r="J63" s="172">
        <f t="shared" si="5"/>
        <v>5.018934003214514E-2</v>
      </c>
    </row>
    <row r="64" spans="3:10" x14ac:dyDescent="0.25">
      <c r="C64" s="89" t="s">
        <v>101</v>
      </c>
      <c r="D64" s="130">
        <v>18833.662820880199</v>
      </c>
      <c r="E64" s="142">
        <v>13073.648264469301</v>
      </c>
      <c r="F64" s="165">
        <f t="shared" si="0"/>
        <v>-0.30583613029457979</v>
      </c>
      <c r="G64" s="150">
        <v>103557.0074755611</v>
      </c>
      <c r="H64" s="141">
        <v>84849.576244434706</v>
      </c>
      <c r="I64" s="165">
        <f t="shared" si="1"/>
        <v>-0.18064862713941643</v>
      </c>
      <c r="J64" s="172">
        <f t="shared" si="5"/>
        <v>4.8514507639208893E-2</v>
      </c>
    </row>
    <row r="65" spans="3:10" ht="15" customHeight="1" x14ac:dyDescent="0.25">
      <c r="C65" s="89" t="s">
        <v>93</v>
      </c>
      <c r="D65" s="130">
        <v>20965.601722685798</v>
      </c>
      <c r="E65" s="142">
        <v>13984.3943902356</v>
      </c>
      <c r="F65" s="165">
        <f t="shared" si="0"/>
        <v>-0.33298387638911375</v>
      </c>
      <c r="G65" s="150">
        <v>117256.07890423691</v>
      </c>
      <c r="H65" s="141">
        <v>83447.125367850094</v>
      </c>
      <c r="I65" s="165">
        <f t="shared" si="1"/>
        <v>-0.28833433500704564</v>
      </c>
      <c r="J65" s="172">
        <f t="shared" si="5"/>
        <v>4.7712627220034234E-2</v>
      </c>
    </row>
    <row r="66" spans="3:10" x14ac:dyDescent="0.25">
      <c r="C66" s="89" t="s">
        <v>98</v>
      </c>
      <c r="D66" s="130">
        <v>11979.614981667299</v>
      </c>
      <c r="E66" s="142">
        <v>10980.398090732997</v>
      </c>
      <c r="F66" s="165">
        <f t="shared" si="0"/>
        <v>-8.3409766713156364E-2</v>
      </c>
      <c r="G66" s="150">
        <v>68864.035227364409</v>
      </c>
      <c r="H66" s="141">
        <v>64338.8857345367</v>
      </c>
      <c r="I66" s="165">
        <f t="shared" si="1"/>
        <v>-6.5711361204542906E-2</v>
      </c>
      <c r="J66" s="172">
        <f t="shared" si="5"/>
        <v>3.6787094309986015E-2</v>
      </c>
    </row>
    <row r="67" spans="3:10" x14ac:dyDescent="0.25">
      <c r="C67" s="89" t="s">
        <v>89</v>
      </c>
      <c r="D67" s="130">
        <v>7408.819287815898</v>
      </c>
      <c r="E67" s="142">
        <v>9474.2171308449961</v>
      </c>
      <c r="F67" s="165">
        <f t="shared" si="0"/>
        <v>0.27877557310997281</v>
      </c>
      <c r="G67" s="150">
        <v>39399.571043175201</v>
      </c>
      <c r="H67" s="141">
        <v>56114.964630004601</v>
      </c>
      <c r="I67" s="165">
        <f t="shared" si="1"/>
        <v>0.4242531871352655</v>
      </c>
      <c r="J67" s="172">
        <f t="shared" si="5"/>
        <v>3.2084896598347561E-2</v>
      </c>
    </row>
    <row r="68" spans="3:10" x14ac:dyDescent="0.25">
      <c r="C68" s="89" t="s">
        <v>94</v>
      </c>
      <c r="D68" s="130">
        <v>7273.8993276426008</v>
      </c>
      <c r="E68" s="142">
        <v>10468.2338981224</v>
      </c>
      <c r="F68" s="165">
        <f>+E68/D68-1</f>
        <v>0.43915023106527529</v>
      </c>
      <c r="G68" s="150">
        <v>43512.270600184391</v>
      </c>
      <c r="H68" s="141">
        <v>53074.577216856705</v>
      </c>
      <c r="I68" s="165">
        <f t="shared" si="1"/>
        <v>0.21976114978085737</v>
      </c>
      <c r="J68" s="172">
        <f t="shared" si="5"/>
        <v>3.034649194260253E-2</v>
      </c>
    </row>
    <row r="69" spans="3:10" x14ac:dyDescent="0.25">
      <c r="C69" s="89" t="s">
        <v>91</v>
      </c>
      <c r="D69" s="130">
        <v>7824.9343537722998</v>
      </c>
      <c r="E69" s="142">
        <v>6240.0469174050004</v>
      </c>
      <c r="F69" s="165">
        <f t="shared" si="0"/>
        <v>-0.20254322460906593</v>
      </c>
      <c r="G69" s="150">
        <v>48390.497091171404</v>
      </c>
      <c r="H69" s="141">
        <v>45054.528160984606</v>
      </c>
      <c r="I69" s="165">
        <f t="shared" si="1"/>
        <v>-6.8938513359380837E-2</v>
      </c>
      <c r="J69" s="172">
        <f t="shared" si="5"/>
        <v>2.576086230943795E-2</v>
      </c>
    </row>
    <row r="70" spans="3:10" x14ac:dyDescent="0.25">
      <c r="C70" s="89" t="s">
        <v>87</v>
      </c>
      <c r="D70" s="130">
        <v>7655.3195768302003</v>
      </c>
      <c r="E70" s="142">
        <v>6611.0345568381999</v>
      </c>
      <c r="F70" s="165">
        <f t="shared" si="0"/>
        <v>-0.13641298831634174</v>
      </c>
      <c r="G70" s="150">
        <v>42844.077333046102</v>
      </c>
      <c r="H70" s="141">
        <v>39571.363683591408</v>
      </c>
      <c r="I70" s="165">
        <f t="shared" si="1"/>
        <v>-7.6386605878204228E-2</v>
      </c>
      <c r="J70" s="172">
        <f t="shared" si="5"/>
        <v>2.2625749127974312E-2</v>
      </c>
    </row>
    <row r="71" spans="3:10" x14ac:dyDescent="0.25">
      <c r="C71" s="89" t="s">
        <v>99</v>
      </c>
      <c r="D71" s="130">
        <v>4084.0388125539002</v>
      </c>
      <c r="E71" s="142">
        <v>2668.7405297787004</v>
      </c>
      <c r="F71" s="165">
        <f t="shared" si="0"/>
        <v>-0.34654378857143175</v>
      </c>
      <c r="G71" s="150">
        <v>25880.078194886202</v>
      </c>
      <c r="H71" s="141">
        <v>23462.355148733903</v>
      </c>
      <c r="I71" s="165">
        <f t="shared" si="1"/>
        <v>-9.342023729395188E-2</v>
      </c>
      <c r="J71" s="172">
        <f t="shared" si="5"/>
        <v>1.341508889588287E-2</v>
      </c>
    </row>
    <row r="72" spans="3:10" x14ac:dyDescent="0.25">
      <c r="C72" s="89" t="s">
        <v>100</v>
      </c>
      <c r="D72" s="130">
        <v>5226.8840910865001</v>
      </c>
      <c r="E72" s="142">
        <v>0</v>
      </c>
      <c r="F72" s="165" t="s">
        <v>43</v>
      </c>
      <c r="G72" s="150">
        <v>14513.036544705799</v>
      </c>
      <c r="H72" s="141">
        <v>19513.6310846669</v>
      </c>
      <c r="I72" s="165">
        <f t="shared" si="1"/>
        <v>0.34455880577144038</v>
      </c>
      <c r="J72" s="172">
        <f t="shared" si="5"/>
        <v>1.1157323892797522E-2</v>
      </c>
    </row>
    <row r="73" spans="3:10" x14ac:dyDescent="0.25">
      <c r="C73" s="89" t="s">
        <v>97</v>
      </c>
      <c r="D73" s="130">
        <v>2369.2327036127999</v>
      </c>
      <c r="E73" s="147">
        <v>2826.8159092630003</v>
      </c>
      <c r="F73" s="165">
        <f t="shared" si="0"/>
        <v>0.19313561093110021</v>
      </c>
      <c r="G73" s="150">
        <v>13207.023463442802</v>
      </c>
      <c r="H73" s="141">
        <v>16040.392965600298</v>
      </c>
      <c r="I73" s="165">
        <f t="shared" si="1"/>
        <v>0.21453505477599077</v>
      </c>
      <c r="J73" s="172">
        <f t="shared" si="5"/>
        <v>9.1714278551458285E-3</v>
      </c>
    </row>
    <row r="74" spans="3:10" x14ac:dyDescent="0.25">
      <c r="C74" s="89" t="s">
        <v>103</v>
      </c>
      <c r="D74" s="130">
        <v>1897.9797554827001</v>
      </c>
      <c r="E74" s="142">
        <v>1151.7029660551</v>
      </c>
      <c r="F74" s="165">
        <f t="shared" si="0"/>
        <v>-0.39319533692170738</v>
      </c>
      <c r="G74" s="150">
        <v>10445.636408280801</v>
      </c>
      <c r="H74" s="141">
        <v>9287.5580764414008</v>
      </c>
      <c r="I74" s="165">
        <f t="shared" si="1"/>
        <v>-0.11086718765372028</v>
      </c>
      <c r="J74" s="172">
        <f t="shared" si="5"/>
        <v>5.3103542432678475E-3</v>
      </c>
    </row>
    <row r="75" spans="3:10" x14ac:dyDescent="0.25">
      <c r="C75" s="89" t="s">
        <v>105</v>
      </c>
      <c r="D75" s="151">
        <v>17.399285224300002</v>
      </c>
      <c r="E75" s="147">
        <v>21.0686675635</v>
      </c>
      <c r="F75" s="165">
        <f t="shared" si="0"/>
        <v>0.2108927057575507</v>
      </c>
      <c r="G75" s="150">
        <v>61.1455170857</v>
      </c>
      <c r="H75" s="141">
        <v>93.054032483100002</v>
      </c>
      <c r="I75" s="165">
        <f t="shared" si="1"/>
        <v>0.52184554024913776</v>
      </c>
      <c r="J75" s="223">
        <f t="shared" si="5"/>
        <v>5.3205575909480772E-5</v>
      </c>
    </row>
    <row r="76" spans="3:10" x14ac:dyDescent="0.25">
      <c r="C76" s="86" t="s">
        <v>108</v>
      </c>
      <c r="D76" s="144">
        <f>+SUM(D77:D88)</f>
        <v>27653.635686538997</v>
      </c>
      <c r="E76" s="140">
        <f>+SUM(E77:E88)</f>
        <v>24196.878218021</v>
      </c>
      <c r="F76" s="163">
        <f t="shared" si="0"/>
        <v>-0.12500191684381845</v>
      </c>
      <c r="G76" s="144">
        <f>+SUM(G77:G88)</f>
        <v>153373.06664003609</v>
      </c>
      <c r="H76" s="140">
        <f>+SUM(H77:H88)</f>
        <v>139252.86096873504</v>
      </c>
      <c r="I76" s="163">
        <f t="shared" si="1"/>
        <v>-9.2064441173631439E-2</v>
      </c>
      <c r="J76" s="170">
        <f>SUM(J77:J88)</f>
        <v>0.99999999999999967</v>
      </c>
    </row>
    <row r="77" spans="3:10" x14ac:dyDescent="0.25">
      <c r="C77" s="90" t="s">
        <v>95</v>
      </c>
      <c r="D77" s="141">
        <v>7367.5188582500004</v>
      </c>
      <c r="E77" s="145">
        <v>8332.8997346889992</v>
      </c>
      <c r="F77" s="162">
        <f t="shared" si="0"/>
        <v>0.13103201973592293</v>
      </c>
      <c r="G77" s="148">
        <v>46381.894742386197</v>
      </c>
      <c r="H77" s="149">
        <v>42623.618803272999</v>
      </c>
      <c r="I77" s="164">
        <f t="shared" si="1"/>
        <v>-8.1028943728741032E-2</v>
      </c>
      <c r="J77" s="171">
        <f t="shared" ref="J77:J88" si="6">(H77/$H$76)</f>
        <v>0.30608792168975851</v>
      </c>
    </row>
    <row r="78" spans="3:10" x14ac:dyDescent="0.25">
      <c r="C78" s="87" t="s">
        <v>92</v>
      </c>
      <c r="D78" s="141">
        <v>3609.9847138290002</v>
      </c>
      <c r="E78" s="145">
        <v>4371.9944082220009</v>
      </c>
      <c r="F78" s="162">
        <f t="shared" ref="F78:F92" si="7">+E78/D78-1</f>
        <v>0.21108391165035156</v>
      </c>
      <c r="G78" s="150">
        <v>18133.522234625001</v>
      </c>
      <c r="H78" s="141">
        <v>23755.510646432005</v>
      </c>
      <c r="I78" s="165">
        <f t="shared" si="1"/>
        <v>0.3100328959297336</v>
      </c>
      <c r="J78" s="172">
        <f t="shared" si="6"/>
        <v>0.17059262180448542</v>
      </c>
    </row>
    <row r="79" spans="3:10" x14ac:dyDescent="0.25">
      <c r="C79" s="87" t="s">
        <v>96</v>
      </c>
      <c r="D79" s="141">
        <v>5684.5615186199984</v>
      </c>
      <c r="E79" s="145">
        <v>3562.3754021100003</v>
      </c>
      <c r="F79" s="162">
        <f t="shared" si="7"/>
        <v>-0.37332450525140704</v>
      </c>
      <c r="G79" s="150">
        <v>29414.514994779998</v>
      </c>
      <c r="H79" s="141">
        <v>22242.322122769998</v>
      </c>
      <c r="I79" s="165">
        <f t="shared" ref="I79:I93" si="8">+H79/G79-1</f>
        <v>-0.24383175698401971</v>
      </c>
      <c r="J79" s="172">
        <f t="shared" si="6"/>
        <v>0.1597261411222555</v>
      </c>
    </row>
    <row r="80" spans="3:10" x14ac:dyDescent="0.25">
      <c r="C80" s="87" t="s">
        <v>98</v>
      </c>
      <c r="D80" s="141">
        <v>2104.785492</v>
      </c>
      <c r="E80" s="145">
        <v>2250.1326963000001</v>
      </c>
      <c r="F80" s="162">
        <f t="shared" si="7"/>
        <v>6.9055590155122637E-2</v>
      </c>
      <c r="G80" s="150">
        <v>12781.517183524902</v>
      </c>
      <c r="H80" s="141">
        <v>12879.54886164</v>
      </c>
      <c r="I80" s="165">
        <f t="shared" si="8"/>
        <v>7.6697998138639534E-3</v>
      </c>
      <c r="J80" s="172">
        <f t="shared" si="6"/>
        <v>9.2490371630725113E-2</v>
      </c>
    </row>
    <row r="81" spans="3:10" x14ac:dyDescent="0.25">
      <c r="C81" s="89" t="s">
        <v>90</v>
      </c>
      <c r="D81" s="142">
        <v>3664.071226999999</v>
      </c>
      <c r="E81" s="146">
        <v>1580.0644536999998</v>
      </c>
      <c r="F81" s="162">
        <f t="shared" si="7"/>
        <v>-0.56876808451300331</v>
      </c>
      <c r="G81" s="150">
        <v>18011.1652909</v>
      </c>
      <c r="H81" s="141">
        <v>10265.851066200001</v>
      </c>
      <c r="I81" s="165">
        <f t="shared" si="8"/>
        <v>-0.43002849063926241</v>
      </c>
      <c r="J81" s="172">
        <f t="shared" si="6"/>
        <v>7.3720934670813573E-2</v>
      </c>
    </row>
    <row r="82" spans="3:10" x14ac:dyDescent="0.25">
      <c r="C82" s="89" t="s">
        <v>93</v>
      </c>
      <c r="D82" s="142">
        <v>1419.5941929999999</v>
      </c>
      <c r="E82" s="146">
        <v>1892.8930700000001</v>
      </c>
      <c r="F82" s="162">
        <f t="shared" si="7"/>
        <v>0.33340434846368816</v>
      </c>
      <c r="G82" s="150">
        <v>9567.3578339999985</v>
      </c>
      <c r="H82" s="141">
        <v>9499.8829459999979</v>
      </c>
      <c r="I82" s="165">
        <f t="shared" si="8"/>
        <v>-7.0526146477151164E-3</v>
      </c>
      <c r="J82" s="172">
        <f t="shared" si="6"/>
        <v>6.8220378956041022E-2</v>
      </c>
    </row>
    <row r="83" spans="3:10" x14ac:dyDescent="0.25">
      <c r="C83" s="89" t="s">
        <v>89</v>
      </c>
      <c r="D83" s="142">
        <v>1750.0182523000003</v>
      </c>
      <c r="E83" s="146">
        <v>1334.3789655999999</v>
      </c>
      <c r="F83" s="162">
        <f t="shared" si="7"/>
        <v>-0.23750568667140315</v>
      </c>
      <c r="G83" s="150">
        <v>9533.2061988000005</v>
      </c>
      <c r="H83" s="141">
        <v>8176.1635238000008</v>
      </c>
      <c r="I83" s="165">
        <f t="shared" si="8"/>
        <v>-0.14234903207808702</v>
      </c>
      <c r="J83" s="172">
        <f t="shared" si="6"/>
        <v>5.8714510186154867E-2</v>
      </c>
    </row>
    <row r="84" spans="3:10" x14ac:dyDescent="0.25">
      <c r="C84" s="89" t="s">
        <v>99</v>
      </c>
      <c r="D84" s="142">
        <v>536.67628409999998</v>
      </c>
      <c r="E84" s="146">
        <v>417.92546390000001</v>
      </c>
      <c r="F84" s="162">
        <f t="shared" si="7"/>
        <v>-0.22127085492354803</v>
      </c>
      <c r="G84" s="150">
        <v>3783.4365931000002</v>
      </c>
      <c r="H84" s="141">
        <v>5025.1918404999997</v>
      </c>
      <c r="I84" s="165">
        <f t="shared" si="8"/>
        <v>0.32820828811156422</v>
      </c>
      <c r="J84" s="172">
        <f t="shared" si="6"/>
        <v>3.6086812188571495E-2</v>
      </c>
    </row>
    <row r="85" spans="3:10" x14ac:dyDescent="0.25">
      <c r="C85" s="89" t="s">
        <v>101</v>
      </c>
      <c r="D85" s="142">
        <v>655.81285223999998</v>
      </c>
      <c r="E85" s="146">
        <v>443.5446685</v>
      </c>
      <c r="F85" s="162">
        <f t="shared" si="7"/>
        <v>-0.32367188751329734</v>
      </c>
      <c r="G85" s="150">
        <v>3198.7698706199999</v>
      </c>
      <c r="H85" s="141">
        <v>3091.9082268500001</v>
      </c>
      <c r="I85" s="165">
        <f t="shared" si="8"/>
        <v>-3.340710588514062E-2</v>
      </c>
      <c r="J85" s="172">
        <f t="shared" si="6"/>
        <v>2.2203552626069156E-2</v>
      </c>
    </row>
    <row r="86" spans="3:10" x14ac:dyDescent="0.25">
      <c r="C86" s="89" t="s">
        <v>100</v>
      </c>
      <c r="D86" s="147">
        <v>844.93145619999996</v>
      </c>
      <c r="E86" s="152">
        <v>0</v>
      </c>
      <c r="F86" s="162" t="s">
        <v>43</v>
      </c>
      <c r="G86" s="150">
        <v>2506.7997863000001</v>
      </c>
      <c r="H86" s="141">
        <v>1598.7629436000002</v>
      </c>
      <c r="I86" s="165">
        <f t="shared" si="8"/>
        <v>-0.36222950379306085</v>
      </c>
      <c r="J86" s="172">
        <f t="shared" si="6"/>
        <v>1.1481006081152999E-2</v>
      </c>
    </row>
    <row r="87" spans="3:10" x14ac:dyDescent="0.25">
      <c r="C87" s="89" t="s">
        <v>94</v>
      </c>
      <c r="D87" s="147">
        <v>9.7899999999999991</v>
      </c>
      <c r="E87" s="152">
        <v>10.669354999999999</v>
      </c>
      <c r="F87" s="162">
        <f t="shared" si="7"/>
        <v>8.982175689479055E-2</v>
      </c>
      <c r="G87" s="150">
        <v>46.139859999999999</v>
      </c>
      <c r="H87" s="141">
        <v>88.863542999999993</v>
      </c>
      <c r="I87" s="165">
        <f t="shared" si="8"/>
        <v>0.92596039519842477</v>
      </c>
      <c r="J87" s="172">
        <f t="shared" si="6"/>
        <v>6.3814518697717507E-4</v>
      </c>
    </row>
    <row r="88" spans="3:10" x14ac:dyDescent="0.25">
      <c r="C88" s="89" t="s">
        <v>88</v>
      </c>
      <c r="D88" s="142">
        <v>5.8908389999999997</v>
      </c>
      <c r="E88" s="146">
        <v>0</v>
      </c>
      <c r="F88" s="162" t="s">
        <v>43</v>
      </c>
      <c r="G88" s="150">
        <v>14.742050999999998</v>
      </c>
      <c r="H88" s="141">
        <v>5.23644467</v>
      </c>
      <c r="I88" s="165">
        <f t="shared" si="8"/>
        <v>-0.64479537684410393</v>
      </c>
      <c r="J88" s="224">
        <f t="shared" si="6"/>
        <v>3.7603856994907153E-5</v>
      </c>
    </row>
    <row r="89" spans="3:10" x14ac:dyDescent="0.25">
      <c r="C89" s="86" t="s">
        <v>109</v>
      </c>
      <c r="D89" s="144">
        <f>+D90</f>
        <v>17858.91534</v>
      </c>
      <c r="E89" s="140">
        <f>+E90</f>
        <v>1205876.703828</v>
      </c>
      <c r="F89" s="163" t="s">
        <v>145</v>
      </c>
      <c r="G89" s="144">
        <f>+G90</f>
        <v>5052014.1260639997</v>
      </c>
      <c r="H89" s="140">
        <f>+H90</f>
        <v>7129276.8974680007</v>
      </c>
      <c r="I89" s="163">
        <f t="shared" si="8"/>
        <v>0.41117517084663935</v>
      </c>
      <c r="J89" s="170">
        <f>SUM(J90)</f>
        <v>1</v>
      </c>
    </row>
    <row r="90" spans="3:10" x14ac:dyDescent="0.25">
      <c r="C90" s="91" t="s">
        <v>93</v>
      </c>
      <c r="D90" s="153">
        <v>17858.91534</v>
      </c>
      <c r="E90" s="154">
        <v>1205876.703828</v>
      </c>
      <c r="F90" s="166" t="s">
        <v>145</v>
      </c>
      <c r="G90" s="158">
        <v>5052014.1260639997</v>
      </c>
      <c r="H90" s="159">
        <v>7129276.8974680007</v>
      </c>
      <c r="I90" s="166">
        <f t="shared" si="8"/>
        <v>0.41117517084663935</v>
      </c>
      <c r="J90" s="173">
        <f>(H90/$H$89)</f>
        <v>1</v>
      </c>
    </row>
    <row r="91" spans="3:10" x14ac:dyDescent="0.25">
      <c r="C91" s="86" t="s">
        <v>110</v>
      </c>
      <c r="D91" s="144">
        <f>SUM(D92:D92)</f>
        <v>2794.1680000000001</v>
      </c>
      <c r="E91" s="140">
        <f>SUM(E92:E92)</f>
        <v>3155.2792760000002</v>
      </c>
      <c r="F91" s="163">
        <f t="shared" si="7"/>
        <v>0.12923749609901769</v>
      </c>
      <c r="G91" s="144">
        <f>SUM(G92:G92)</f>
        <v>16446.06494</v>
      </c>
      <c r="H91" s="140">
        <f>SUM(H92:H92)</f>
        <v>17514.360342</v>
      </c>
      <c r="I91" s="163">
        <f t="shared" si="8"/>
        <v>6.4957508431193078E-2</v>
      </c>
      <c r="J91" s="170">
        <f>SUM(J92:J92)</f>
        <v>1</v>
      </c>
    </row>
    <row r="92" spans="3:10" x14ac:dyDescent="0.25">
      <c r="C92" s="181" t="s">
        <v>100</v>
      </c>
      <c r="D92" s="182">
        <v>2794.1680000000001</v>
      </c>
      <c r="E92" s="183">
        <v>3155.2792760000002</v>
      </c>
      <c r="F92" s="164">
        <f t="shared" si="7"/>
        <v>0.12923749609901769</v>
      </c>
      <c r="G92" s="148">
        <v>16446.06494</v>
      </c>
      <c r="H92" s="149">
        <v>17514.360342</v>
      </c>
      <c r="I92" s="164">
        <f t="shared" si="8"/>
        <v>6.4957508431193078E-2</v>
      </c>
      <c r="J92" s="171">
        <f>(H92/$H$91)</f>
        <v>1</v>
      </c>
    </row>
    <row r="93" spans="3:10" x14ac:dyDescent="0.25">
      <c r="C93" s="86" t="s">
        <v>111</v>
      </c>
      <c r="D93" s="144">
        <f>SUM(D94:D98)</f>
        <v>2874.2517345399997</v>
      </c>
      <c r="E93" s="140">
        <f>SUM(E94:E98)</f>
        <v>3029.2893922533995</v>
      </c>
      <c r="F93" s="163">
        <f t="shared" ref="F93:F112" si="9">(E93-D93)/D93</f>
        <v>5.3940180621727021E-2</v>
      </c>
      <c r="G93" s="144">
        <f>SUM(G94:G98)</f>
        <v>19657.3702398149</v>
      </c>
      <c r="H93" s="140">
        <f>SUM(H94:H98)</f>
        <v>18777.245252193403</v>
      </c>
      <c r="I93" s="163">
        <f t="shared" si="8"/>
        <v>-4.4773282330453967E-2</v>
      </c>
      <c r="J93" s="170">
        <f>SUM(J94:J98)</f>
        <v>0.99999999999999978</v>
      </c>
    </row>
    <row r="94" spans="3:10" x14ac:dyDescent="0.25">
      <c r="C94" s="90" t="s">
        <v>89</v>
      </c>
      <c r="D94" s="98">
        <v>535.31823599999996</v>
      </c>
      <c r="E94" s="99">
        <v>942.68627879999997</v>
      </c>
      <c r="F94" s="164">
        <f t="shared" si="9"/>
        <v>0.76098293576533427</v>
      </c>
      <c r="G94" s="98">
        <v>4700.6299905000005</v>
      </c>
      <c r="H94" s="99">
        <v>5216.9591610999996</v>
      </c>
      <c r="I94" s="164">
        <f t="shared" ref="I94:I105" si="10">(H94-G94)/G94</f>
        <v>0.1098425469870003</v>
      </c>
      <c r="J94" s="171">
        <f>(H94/$H$93)</f>
        <v>0.27783410670905506</v>
      </c>
    </row>
    <row r="95" spans="3:10" x14ac:dyDescent="0.25">
      <c r="C95" s="87" t="s">
        <v>87</v>
      </c>
      <c r="D95" s="150">
        <v>762.71467970000003</v>
      </c>
      <c r="E95" s="141">
        <v>822.21461045339993</v>
      </c>
      <c r="F95" s="165">
        <f t="shared" si="9"/>
        <v>7.8010732370856053E-2</v>
      </c>
      <c r="G95" s="150">
        <v>4438.817755484899</v>
      </c>
      <c r="H95" s="141">
        <v>5086.7823618433995</v>
      </c>
      <c r="I95" s="165">
        <f t="shared" si="10"/>
        <v>0.14597684384717807</v>
      </c>
      <c r="J95" s="172">
        <f>(H95/$H$93)</f>
        <v>0.27090141783439736</v>
      </c>
    </row>
    <row r="96" spans="3:10" x14ac:dyDescent="0.25">
      <c r="C96" s="87" t="s">
        <v>91</v>
      </c>
      <c r="D96" s="150">
        <v>886.41252959999997</v>
      </c>
      <c r="E96" s="141">
        <v>722.10169370000006</v>
      </c>
      <c r="F96" s="165">
        <f t="shared" si="9"/>
        <v>-0.1853661025912465</v>
      </c>
      <c r="G96" s="150">
        <v>5142.6767772000003</v>
      </c>
      <c r="H96" s="141">
        <v>4707.2287858</v>
      </c>
      <c r="I96" s="165">
        <f t="shared" si="10"/>
        <v>-8.4673412361934569E-2</v>
      </c>
      <c r="J96" s="172">
        <f>(H96/$H$93)</f>
        <v>0.2506879322594</v>
      </c>
    </row>
    <row r="97" spans="3:10" x14ac:dyDescent="0.25">
      <c r="C97" s="87" t="s">
        <v>88</v>
      </c>
      <c r="D97" s="150">
        <v>211.33323300000001</v>
      </c>
      <c r="E97" s="141">
        <v>299.83502800000002</v>
      </c>
      <c r="F97" s="165">
        <f t="shared" si="9"/>
        <v>0.41877840859984389</v>
      </c>
      <c r="G97" s="150">
        <v>1383.0984679999999</v>
      </c>
      <c r="H97" s="141">
        <v>1646.5662560000001</v>
      </c>
      <c r="I97" s="165">
        <f t="shared" si="10"/>
        <v>0.19049098390007049</v>
      </c>
      <c r="J97" s="172">
        <f>(H97/$H$93)</f>
        <v>8.768944719447927E-2</v>
      </c>
    </row>
    <row r="98" spans="3:10" x14ac:dyDescent="0.25">
      <c r="C98" s="89" t="s">
        <v>118</v>
      </c>
      <c r="D98" s="130">
        <v>478.47305624000001</v>
      </c>
      <c r="E98" s="142">
        <v>242.45178129999999</v>
      </c>
      <c r="F98" s="165">
        <f t="shared" si="9"/>
        <v>-0.49328017923252249</v>
      </c>
      <c r="G98" s="150">
        <v>3992.1472486299999</v>
      </c>
      <c r="H98" s="141">
        <v>2119.7086874500001</v>
      </c>
      <c r="I98" s="165">
        <f t="shared" si="10"/>
        <v>-0.46903043514303527</v>
      </c>
      <c r="J98" s="185">
        <f t="shared" ref="J98" si="11">(H98/$H$93)</f>
        <v>0.11288709600266808</v>
      </c>
    </row>
    <row r="99" spans="3:10" x14ac:dyDescent="0.25">
      <c r="C99" s="86" t="s">
        <v>112</v>
      </c>
      <c r="D99" s="144">
        <f>SUM(D100:D105)</f>
        <v>2331.0077546999996</v>
      </c>
      <c r="E99" s="140">
        <f>SUM(E100:E105)</f>
        <v>3039.2595268999999</v>
      </c>
      <c r="F99" s="163">
        <f t="shared" si="9"/>
        <v>0.3038393033107486</v>
      </c>
      <c r="G99" s="144">
        <f>SUM(G100:G105)</f>
        <v>13685.874812</v>
      </c>
      <c r="H99" s="140">
        <f>SUM(H100:H105)</f>
        <v>12901.345295200001</v>
      </c>
      <c r="I99" s="163">
        <f t="shared" si="10"/>
        <v>-5.7324031351807407E-2</v>
      </c>
      <c r="J99" s="170">
        <f>SUM(J100:J105)</f>
        <v>0.99999999999999989</v>
      </c>
    </row>
    <row r="100" spans="3:10" x14ac:dyDescent="0.25">
      <c r="C100" s="77" t="s">
        <v>95</v>
      </c>
      <c r="D100" s="117">
        <v>1583.8667504</v>
      </c>
      <c r="E100" s="118">
        <v>1884.1436217999999</v>
      </c>
      <c r="F100" s="109">
        <f t="shared" si="9"/>
        <v>0.18958468022904454</v>
      </c>
      <c r="G100" s="98">
        <v>8813.5674445000004</v>
      </c>
      <c r="H100" s="99">
        <v>7974.3965820000003</v>
      </c>
      <c r="I100" s="133">
        <f t="shared" si="10"/>
        <v>-9.5213529343747688E-2</v>
      </c>
      <c r="J100" s="171">
        <f>(H100/$H$99)</f>
        <v>0.61810581761321493</v>
      </c>
    </row>
    <row r="101" spans="3:10" x14ac:dyDescent="0.25">
      <c r="C101" s="73" t="s">
        <v>92</v>
      </c>
      <c r="D101" s="102">
        <v>572.24346000000003</v>
      </c>
      <c r="E101" s="103">
        <v>1048.1296279999999</v>
      </c>
      <c r="F101" s="112">
        <f t="shared" si="9"/>
        <v>0.83161486546303187</v>
      </c>
      <c r="G101" s="100">
        <v>3800.2023880000002</v>
      </c>
      <c r="H101" s="101">
        <v>4220.5292709999994</v>
      </c>
      <c r="I101" s="110">
        <f t="shared" si="10"/>
        <v>0.11060644673222579</v>
      </c>
      <c r="J101" s="172">
        <f t="shared" ref="J101:J105" si="12">(H101/$H$99)</f>
        <v>0.32713869557233421</v>
      </c>
    </row>
    <row r="102" spans="3:10" x14ac:dyDescent="0.25">
      <c r="C102" s="73" t="s">
        <v>90</v>
      </c>
      <c r="D102" s="102">
        <v>106.95907800000001</v>
      </c>
      <c r="E102" s="103">
        <v>86.509502699999999</v>
      </c>
      <c r="F102" s="112">
        <f t="shared" si="9"/>
        <v>-0.19119064676305461</v>
      </c>
      <c r="G102" s="100">
        <v>710.73408899999993</v>
      </c>
      <c r="H102" s="101">
        <v>485.51141909999996</v>
      </c>
      <c r="I102" s="110">
        <f t="shared" si="10"/>
        <v>-0.31688738923003873</v>
      </c>
      <c r="J102" s="172">
        <f t="shared" si="12"/>
        <v>3.7632619543997207E-2</v>
      </c>
    </row>
    <row r="103" spans="3:10" x14ac:dyDescent="0.25">
      <c r="C103" s="73" t="s">
        <v>98</v>
      </c>
      <c r="D103" s="102">
        <v>64.508973299999994</v>
      </c>
      <c r="E103" s="103">
        <v>20.220274400000001</v>
      </c>
      <c r="F103" s="112">
        <f t="shared" si="9"/>
        <v>-0.68655098096251976</v>
      </c>
      <c r="G103" s="100">
        <v>344.34192150000001</v>
      </c>
      <c r="H103" s="101">
        <v>199.99256410000004</v>
      </c>
      <c r="I103" s="110">
        <f t="shared" si="10"/>
        <v>-0.41920355433690626</v>
      </c>
      <c r="J103" s="172">
        <f t="shared" si="12"/>
        <v>1.5501682927160171E-2</v>
      </c>
    </row>
    <row r="104" spans="3:10" x14ac:dyDescent="0.25">
      <c r="C104" s="73" t="s">
        <v>96</v>
      </c>
      <c r="D104" s="203">
        <v>2.985093</v>
      </c>
      <c r="E104" s="103">
        <v>0</v>
      </c>
      <c r="F104" s="112" t="s">
        <v>43</v>
      </c>
      <c r="G104" s="100">
        <v>12.215468999999999</v>
      </c>
      <c r="H104" s="101">
        <v>18.714458999999998</v>
      </c>
      <c r="I104" s="110">
        <f t="shared" si="10"/>
        <v>0.5320295111059592</v>
      </c>
      <c r="J104" s="172">
        <f t="shared" si="12"/>
        <v>1.4505819797694113E-3</v>
      </c>
    </row>
    <row r="105" spans="3:10" x14ac:dyDescent="0.25">
      <c r="C105" s="76" t="s">
        <v>94</v>
      </c>
      <c r="D105" s="218">
        <v>0.44440000000000002</v>
      </c>
      <c r="E105" s="219">
        <v>0.25650000000000001</v>
      </c>
      <c r="F105" s="114">
        <f t="shared" si="9"/>
        <v>-0.42281728172817284</v>
      </c>
      <c r="G105" s="124">
        <v>4.8135000000000003</v>
      </c>
      <c r="H105" s="125">
        <v>2.2010000000000001</v>
      </c>
      <c r="I105" s="110">
        <f t="shared" si="10"/>
        <v>-0.54274436480731281</v>
      </c>
      <c r="J105" s="225">
        <f t="shared" si="12"/>
        <v>1.7060236352397229E-4</v>
      </c>
    </row>
    <row r="106" spans="3:10" x14ac:dyDescent="0.25">
      <c r="C106" s="86" t="s">
        <v>113</v>
      </c>
      <c r="D106" s="144">
        <f>SUM(D107:D109)</f>
        <v>20.607745000000001</v>
      </c>
      <c r="E106" s="140">
        <f>SUM(E107:E109)</f>
        <v>27.428761000000002</v>
      </c>
      <c r="F106" s="163">
        <f t="shared" si="9"/>
        <v>0.33099283788692063</v>
      </c>
      <c r="G106" s="144">
        <f>SUM(G107:G109)</f>
        <v>127.33373279999999</v>
      </c>
      <c r="H106" s="140">
        <f>SUM(H107:H109)</f>
        <v>142.4936256</v>
      </c>
      <c r="I106" s="163">
        <f>(H106-G106)/G106</f>
        <v>0.11905637623779776</v>
      </c>
      <c r="J106" s="170">
        <f>SUM(J107:J109)</f>
        <v>1.0000000000000002</v>
      </c>
    </row>
    <row r="107" spans="3:10" x14ac:dyDescent="0.25">
      <c r="C107" s="77" t="s">
        <v>95</v>
      </c>
      <c r="D107" s="117">
        <v>16.110274</v>
      </c>
      <c r="E107" s="118">
        <v>21.375364000000001</v>
      </c>
      <c r="F107" s="109">
        <f t="shared" si="9"/>
        <v>0.3268156705466338</v>
      </c>
      <c r="G107" s="98">
        <v>98.503568000000001</v>
      </c>
      <c r="H107" s="99">
        <v>106.02462200000001</v>
      </c>
      <c r="I107" s="109">
        <f>(H107-G107)/G107</f>
        <v>7.635311240705521E-2</v>
      </c>
      <c r="J107" s="171">
        <f>(H107/$H$106)</f>
        <v>0.74406571910540265</v>
      </c>
    </row>
    <row r="108" spans="3:10" x14ac:dyDescent="0.25">
      <c r="C108" s="73" t="s">
        <v>90</v>
      </c>
      <c r="D108" s="102">
        <v>4.4446709999999996</v>
      </c>
      <c r="E108" s="103">
        <v>6.0317970000000001</v>
      </c>
      <c r="F108" s="112">
        <f t="shared" si="9"/>
        <v>0.35708514758460203</v>
      </c>
      <c r="G108" s="100">
        <v>28.225064799999998</v>
      </c>
      <c r="H108" s="101">
        <v>36.215103599999999</v>
      </c>
      <c r="I108" s="112">
        <f>(H108-G108)/G108</f>
        <v>0.2830830985372973</v>
      </c>
      <c r="J108" s="172">
        <f>(H108/$H$106)</f>
        <v>0.25415244680250454</v>
      </c>
    </row>
    <row r="109" spans="3:10" x14ac:dyDescent="0.25">
      <c r="C109" s="76" t="s">
        <v>94</v>
      </c>
      <c r="D109" s="218">
        <v>5.28E-2</v>
      </c>
      <c r="E109" s="226">
        <v>2.1600000000000001E-2</v>
      </c>
      <c r="F109" s="114">
        <f t="shared" si="9"/>
        <v>-0.59090909090909094</v>
      </c>
      <c r="G109" s="124">
        <v>0.60510000000000008</v>
      </c>
      <c r="H109" s="227">
        <v>0.25390000000000001</v>
      </c>
      <c r="I109" s="114">
        <f>(H109-G109)/G109</f>
        <v>-0.58039993389522393</v>
      </c>
      <c r="J109" s="184">
        <f>(H109/$H$106)</f>
        <v>1.7818340920928888E-3</v>
      </c>
    </row>
    <row r="110" spans="3:10" x14ac:dyDescent="0.25">
      <c r="C110" s="86" t="s">
        <v>114</v>
      </c>
      <c r="D110" s="228">
        <f>SUM(D111:D112)</f>
        <v>25.639189999999999</v>
      </c>
      <c r="E110" s="229">
        <f>SUM(E111:E112)</f>
        <v>26.299002999999999</v>
      </c>
      <c r="F110" s="163">
        <f t="shared" si="9"/>
        <v>2.5734549336386983E-2</v>
      </c>
      <c r="G110" s="144">
        <f>SUM(G111:G112)</f>
        <v>166.50628699999999</v>
      </c>
      <c r="H110" s="140">
        <f>SUM(H111:H112)</f>
        <v>141.717736</v>
      </c>
      <c r="I110" s="163">
        <f t="shared" ref="I110:I118" si="13">(H110-G110)/G110</f>
        <v>-0.148874564718388</v>
      </c>
      <c r="J110" s="170">
        <f>SUM(J111:J112)</f>
        <v>1</v>
      </c>
    </row>
    <row r="111" spans="3:10" x14ac:dyDescent="0.25">
      <c r="C111" s="77" t="s">
        <v>89</v>
      </c>
      <c r="D111" s="117">
        <v>13.694468000000001</v>
      </c>
      <c r="E111" s="118">
        <v>15.47044</v>
      </c>
      <c r="F111" s="109">
        <f t="shared" si="9"/>
        <v>0.12968535908076162</v>
      </c>
      <c r="G111" s="98">
        <v>94.351579999999998</v>
      </c>
      <c r="H111" s="99">
        <v>83.208669999999998</v>
      </c>
      <c r="I111" s="109">
        <f t="shared" si="13"/>
        <v>-0.11809987707678028</v>
      </c>
      <c r="J111" s="171">
        <f>(H111/$H$110)</f>
        <v>0.58714365857495776</v>
      </c>
    </row>
    <row r="112" spans="3:10" x14ac:dyDescent="0.25">
      <c r="C112" s="76" t="s">
        <v>90</v>
      </c>
      <c r="D112" s="104">
        <v>11.944721999999999</v>
      </c>
      <c r="E112" s="105">
        <v>10.828562999999999</v>
      </c>
      <c r="F112" s="114">
        <f t="shared" si="9"/>
        <v>-9.3443698396664221E-2</v>
      </c>
      <c r="G112" s="124">
        <v>72.154707000000002</v>
      </c>
      <c r="H112" s="125">
        <v>58.509066000000004</v>
      </c>
      <c r="I112" s="114">
        <f t="shared" si="13"/>
        <v>-0.18911643560551078</v>
      </c>
      <c r="J112" s="184">
        <f>(H112/$H$110)</f>
        <v>0.41285634142504224</v>
      </c>
    </row>
    <row r="113" spans="3:10" x14ac:dyDescent="0.25">
      <c r="C113" s="86" t="s">
        <v>115</v>
      </c>
      <c r="D113" s="144">
        <f>SUM(D114:D116)</f>
        <v>2300.5616680000003</v>
      </c>
      <c r="E113" s="140">
        <f>SUM(E114:E116)</f>
        <v>3319.0097820000001</v>
      </c>
      <c r="F113" s="163">
        <f>(E113-D113)/D113</f>
        <v>0.44269542006469687</v>
      </c>
      <c r="G113" s="144">
        <f>SUM(G114:G116)</f>
        <v>17223.7960618</v>
      </c>
      <c r="H113" s="140">
        <f>SUM(H114:H116)</f>
        <v>20423.372051300001</v>
      </c>
      <c r="I113" s="163">
        <f t="shared" si="13"/>
        <v>0.18576485566943157</v>
      </c>
      <c r="J113" s="170">
        <f>SUM(J114:J116)</f>
        <v>1</v>
      </c>
    </row>
    <row r="114" spans="3:10" x14ac:dyDescent="0.25">
      <c r="C114" s="77" t="s">
        <v>96</v>
      </c>
      <c r="D114" s="117">
        <v>2241.5011469999999</v>
      </c>
      <c r="E114" s="118">
        <v>3234.0587</v>
      </c>
      <c r="F114" s="109">
        <f>(E114-D114)/D114</f>
        <v>0.4428092996197785</v>
      </c>
      <c r="G114" s="98">
        <v>16690.900168799999</v>
      </c>
      <c r="H114" s="99">
        <v>19937.098728500001</v>
      </c>
      <c r="I114" s="109">
        <f t="shared" si="13"/>
        <v>0.19448912442529989</v>
      </c>
      <c r="J114" s="171">
        <f>(H114/$H$113)</f>
        <v>0.97619035085985972</v>
      </c>
    </row>
    <row r="115" spans="3:10" x14ac:dyDescent="0.25">
      <c r="C115" s="73" t="s">
        <v>89</v>
      </c>
      <c r="D115" s="102">
        <v>47.115798999999996</v>
      </c>
      <c r="E115" s="103">
        <v>74.122518999999997</v>
      </c>
      <c r="F115" s="112">
        <f>(E115-D115)/D115</f>
        <v>0.57319881171918585</v>
      </c>
      <c r="G115" s="100">
        <v>460.19239799999997</v>
      </c>
      <c r="H115" s="101">
        <v>401.65726199999995</v>
      </c>
      <c r="I115" s="112">
        <f t="shared" si="13"/>
        <v>-0.12719709463779544</v>
      </c>
      <c r="J115" s="172">
        <f>(H115/$H$113)</f>
        <v>1.9666549725045696E-2</v>
      </c>
    </row>
    <row r="116" spans="3:10" x14ac:dyDescent="0.25">
      <c r="C116" s="76" t="s">
        <v>90</v>
      </c>
      <c r="D116" s="104">
        <v>11.944721999999999</v>
      </c>
      <c r="E116" s="105">
        <v>10.828562999999999</v>
      </c>
      <c r="F116" s="114">
        <f>(E116-D116)/D116</f>
        <v>-9.3443698396664221E-2</v>
      </c>
      <c r="G116" s="124">
        <v>72.703495000000004</v>
      </c>
      <c r="H116" s="125">
        <v>84.6160608</v>
      </c>
      <c r="I116" s="114">
        <f t="shared" si="13"/>
        <v>0.16385134992478689</v>
      </c>
      <c r="J116" s="184">
        <f>(H116/$H$113)</f>
        <v>4.1430994150945784E-3</v>
      </c>
    </row>
    <row r="117" spans="3:10" x14ac:dyDescent="0.25">
      <c r="C117" s="86" t="s">
        <v>116</v>
      </c>
      <c r="D117" s="144">
        <f>SUM(D118)</f>
        <v>3.5141680000000002</v>
      </c>
      <c r="E117" s="140">
        <f>SUM(E118)</f>
        <v>5.3677859999999997</v>
      </c>
      <c r="F117" s="163">
        <f t="shared" ref="F117:F118" si="14">(E117-D117)/D117</f>
        <v>0.5274699445217188</v>
      </c>
      <c r="G117" s="179">
        <f>SUM(G118)</f>
        <v>17.498118000000002</v>
      </c>
      <c r="H117" s="179">
        <f>SUM(H118)</f>
        <v>27.143613000000002</v>
      </c>
      <c r="I117" s="169">
        <f t="shared" si="13"/>
        <v>0.55123042375185716</v>
      </c>
      <c r="J117" s="170">
        <f>SUM(J118)</f>
        <v>1</v>
      </c>
    </row>
    <row r="118" spans="3:10" x14ac:dyDescent="0.25">
      <c r="C118" s="92" t="s">
        <v>90</v>
      </c>
      <c r="D118" s="204">
        <v>3.5141680000000002</v>
      </c>
      <c r="E118" s="205">
        <v>5.3677859999999997</v>
      </c>
      <c r="F118" s="167">
        <f t="shared" si="14"/>
        <v>0.5274699445217188</v>
      </c>
      <c r="G118" s="180">
        <v>17.498118000000002</v>
      </c>
      <c r="H118" s="126">
        <v>27.143613000000002</v>
      </c>
      <c r="I118" s="127">
        <f t="shared" si="13"/>
        <v>0.55123042375185716</v>
      </c>
      <c r="J118" s="173">
        <f>(H118/$H$117)</f>
        <v>1</v>
      </c>
    </row>
    <row r="119" spans="3:10" ht="185.25" customHeight="1" x14ac:dyDescent="0.25">
      <c r="C119" s="249" t="s">
        <v>129</v>
      </c>
      <c r="D119" s="250"/>
      <c r="E119" s="250"/>
      <c r="F119" s="250"/>
      <c r="G119" s="250"/>
      <c r="H119" s="250"/>
      <c r="I119" s="250"/>
      <c r="J119" s="251"/>
    </row>
    <row r="120" spans="3:10" x14ac:dyDescent="0.25">
      <c r="D120" s="93"/>
      <c r="E120" s="93"/>
      <c r="F120" s="168"/>
    </row>
    <row r="121" spans="3:10" x14ac:dyDescent="0.25">
      <c r="F121" s="63"/>
    </row>
    <row r="122" spans="3:10" x14ac:dyDescent="0.25">
      <c r="F122" s="63"/>
    </row>
    <row r="123" spans="3:10" x14ac:dyDescent="0.25">
      <c r="F123" s="63"/>
    </row>
    <row r="124" spans="3:10" x14ac:dyDescent="0.25">
      <c r="F124" s="63"/>
    </row>
  </sheetData>
  <mergeCells count="5">
    <mergeCell ref="C3:J3"/>
    <mergeCell ref="C4:J4"/>
    <mergeCell ref="D8:F8"/>
    <mergeCell ref="G8:J8"/>
    <mergeCell ref="C119:J119"/>
  </mergeCells>
  <printOptions horizontalCentered="1"/>
  <pageMargins left="0" right="0" top="0" bottom="0" header="0.31496062992125984" footer="0.31496062992125984"/>
  <pageSetup paperSize="9" scale="43" fitToHeight="0"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3</vt:i4>
      </vt:variant>
      <vt:variant>
        <vt:lpstr>Rangos con nombre</vt:lpstr>
      </vt:variant>
      <vt:variant>
        <vt:i4>3</vt:i4>
      </vt:variant>
    </vt:vector>
  </HeadingPairs>
  <TitlesOfParts>
    <vt:vector size="6" baseType="lpstr">
      <vt:lpstr>S01.C01</vt:lpstr>
      <vt:lpstr>S01.C02</vt:lpstr>
      <vt:lpstr>S01.C03</vt:lpstr>
      <vt:lpstr>'S01.C01'!Área_de_impresión</vt:lpstr>
      <vt:lpstr>'S01.C02'!Área_de_impresión</vt:lpstr>
      <vt:lpstr>'S01.C03'!Área_de_impresión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Victor Carranza</dc:creator>
  <cp:lastModifiedBy>DEIVID JHONATAN RALIREZ RAMIREZ</cp:lastModifiedBy>
  <dcterms:created xsi:type="dcterms:W3CDTF">2025-08-15T20:36:18Z</dcterms:created>
  <dcterms:modified xsi:type="dcterms:W3CDTF">2026-07-31T20:54:02Z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A44787D4-0540-4523-9961-78E4036D8C6D}">
    <vt:lpwstr>{650ED805-88E6-4860-94ED-AF4ABE06F984}</vt:lpwstr>
  </property>
</Properties>
</file>