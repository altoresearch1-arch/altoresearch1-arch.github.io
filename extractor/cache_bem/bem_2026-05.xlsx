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1. MINEM\1. BEM\1. SECCION PROD METALICA\2026\5. MAYO\2. ANEXOS Y CUADRO ESTADISTICO\"/>
    </mc:Choice>
  </mc:AlternateContent>
  <xr:revisionPtr revIDLastSave="0" documentId="13_ncr:1_{E69FC16C-C8E7-436D-8638-73B28B5666A9}" xr6:coauthVersionLast="47" xr6:coauthVersionMax="47" xr10:uidLastSave="{00000000-0000-0000-0000-000000000000}"/>
  <bookViews>
    <workbookView xWindow="-120" yWindow="-120" windowWidth="29040" windowHeight="15720" xr2:uid="{C2E09711-F6FF-4B8A-8D2D-18AB30956760}"/>
  </bookViews>
  <sheets>
    <sheet name="S01.C01" sheetId="1" r:id="rId1"/>
    <sheet name="S01.C02" sheetId="2" r:id="rId2"/>
    <sheet name="S01.C03" sheetId="3" r:id="rId3"/>
  </sheets>
  <definedNames>
    <definedName name="_xlnm._FilterDatabase" localSheetId="1" hidden="1">'S01.C02'!$C$9:$G$107</definedName>
    <definedName name="_xlnm._FilterDatabase" localSheetId="2" hidden="1">'S01.C03'!$C$11:$G$118</definedName>
    <definedName name="_xlnm.Print_Area" localSheetId="0">'S01.C01'!$B$2:$Q$72</definedName>
    <definedName name="_xlnm.Print_Area" localSheetId="1">'S01.C02'!$B$2:$K$108</definedName>
    <definedName name="_xlnm.Print_Area" localSheetId="2">'S01.C03'!$B$2:$K$119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6" i="3" l="1"/>
  <c r="I86" i="3"/>
  <c r="F86" i="3"/>
  <c r="F55" i="3"/>
  <c r="J55" i="3"/>
  <c r="I55" i="3"/>
  <c r="F25" i="3"/>
  <c r="F72" i="3"/>
  <c r="E37" i="1"/>
  <c r="F37" i="1"/>
  <c r="G37" i="1"/>
  <c r="H37" i="1"/>
  <c r="I37" i="1"/>
  <c r="J37" i="1"/>
  <c r="K37" i="1"/>
  <c r="L37" i="1"/>
  <c r="M37" i="1"/>
  <c r="N37" i="1"/>
  <c r="O37" i="1"/>
  <c r="P37" i="1"/>
  <c r="D35" i="2" l="1"/>
  <c r="E35" i="2"/>
  <c r="I103" i="3"/>
  <c r="I104" i="3"/>
  <c r="F103" i="3"/>
  <c r="I74" i="3"/>
  <c r="I26" i="3"/>
  <c r="I87" i="2" l="1"/>
  <c r="F87" i="2"/>
  <c r="Q32" i="1" l="1"/>
  <c r="Q33" i="1"/>
  <c r="Q34" i="1"/>
  <c r="Q35" i="1"/>
  <c r="Q36" i="1"/>
  <c r="F67" i="3"/>
  <c r="I43" i="3"/>
  <c r="F43" i="3"/>
  <c r="D98" i="3" l="1"/>
  <c r="E98" i="3"/>
  <c r="F93" i="2" l="1"/>
  <c r="D37" i="1"/>
  <c r="H74" i="2" l="1"/>
  <c r="G74" i="2"/>
  <c r="E74" i="2"/>
  <c r="D74" i="2"/>
  <c r="F48" i="2"/>
  <c r="F49" i="2"/>
  <c r="F50" i="2"/>
  <c r="F51" i="2"/>
  <c r="F52" i="2"/>
  <c r="F53" i="2"/>
  <c r="F54" i="2"/>
  <c r="F55" i="2"/>
  <c r="F56" i="2"/>
  <c r="F57" i="2"/>
  <c r="F58" i="2"/>
  <c r="D90" i="3" l="1"/>
  <c r="E90" i="3"/>
  <c r="G90" i="3"/>
  <c r="H90" i="3"/>
  <c r="F96" i="3"/>
  <c r="D105" i="2" l="1"/>
  <c r="E105" i="2"/>
  <c r="F106" i="2"/>
  <c r="F92" i="2"/>
  <c r="F80" i="2"/>
  <c r="F105" i="2" l="1"/>
  <c r="L57" i="1" l="1"/>
  <c r="I69" i="2"/>
  <c r="H105" i="2" l="1"/>
  <c r="J106" i="2" s="1"/>
  <c r="G105" i="2"/>
  <c r="I57" i="1"/>
  <c r="F25" i="2" l="1"/>
  <c r="F73" i="3"/>
  <c r="I73" i="3"/>
  <c r="D44" i="3"/>
  <c r="E44" i="3"/>
  <c r="F44" i="3" s="1"/>
  <c r="I95" i="2"/>
  <c r="I94" i="2"/>
  <c r="I93" i="2"/>
  <c r="I92" i="2"/>
  <c r="I91" i="2"/>
  <c r="F95" i="2"/>
  <c r="F91" i="2"/>
  <c r="Q37" i="1"/>
  <c r="I117" i="3"/>
  <c r="F117" i="3"/>
  <c r="H116" i="3"/>
  <c r="J117" i="3" s="1"/>
  <c r="J116" i="3" s="1"/>
  <c r="G116" i="3"/>
  <c r="E116" i="3"/>
  <c r="D116" i="3"/>
  <c r="I115" i="3"/>
  <c r="F115" i="3"/>
  <c r="I114" i="3"/>
  <c r="F114" i="3"/>
  <c r="I113" i="3"/>
  <c r="F113" i="3"/>
  <c r="H112" i="3"/>
  <c r="J115" i="3" s="1"/>
  <c r="G112" i="3"/>
  <c r="E112" i="3"/>
  <c r="D112" i="3"/>
  <c r="I111" i="3"/>
  <c r="F111" i="3"/>
  <c r="I110" i="3"/>
  <c r="F110" i="3"/>
  <c r="H109" i="3"/>
  <c r="J111" i="3" s="1"/>
  <c r="G109" i="3"/>
  <c r="E109" i="3"/>
  <c r="D109" i="3"/>
  <c r="I108" i="3"/>
  <c r="F108" i="3"/>
  <c r="I107" i="3"/>
  <c r="F107" i="3"/>
  <c r="I106" i="3"/>
  <c r="F106" i="3"/>
  <c r="H105" i="3"/>
  <c r="J108" i="3" s="1"/>
  <c r="G105" i="3"/>
  <c r="E105" i="3"/>
  <c r="D105" i="3"/>
  <c r="F104" i="3"/>
  <c r="I102" i="3"/>
  <c r="F102" i="3"/>
  <c r="I101" i="3"/>
  <c r="F101" i="3"/>
  <c r="I100" i="3"/>
  <c r="F100" i="3"/>
  <c r="I99" i="3"/>
  <c r="F99" i="3"/>
  <c r="H98" i="3"/>
  <c r="J103" i="3" s="1"/>
  <c r="G98" i="3"/>
  <c r="I97" i="3"/>
  <c r="F97" i="3"/>
  <c r="I96" i="3"/>
  <c r="I95" i="3"/>
  <c r="F95" i="3"/>
  <c r="I94" i="3"/>
  <c r="F94" i="3"/>
  <c r="I93" i="3"/>
  <c r="F93" i="3"/>
  <c r="H92" i="3"/>
  <c r="J96" i="3" s="1"/>
  <c r="G92" i="3"/>
  <c r="E92" i="3"/>
  <c r="D92" i="3"/>
  <c r="I91" i="3"/>
  <c r="F91" i="3"/>
  <c r="J91" i="3"/>
  <c r="J90" i="3" s="1"/>
  <c r="I89" i="3"/>
  <c r="F89" i="3"/>
  <c r="H88" i="3"/>
  <c r="G88" i="3"/>
  <c r="E88" i="3"/>
  <c r="D88" i="3"/>
  <c r="I85" i="3"/>
  <c r="I84" i="3"/>
  <c r="F84" i="3"/>
  <c r="I83" i="3"/>
  <c r="F83" i="3"/>
  <c r="I82" i="3"/>
  <c r="F82" i="3"/>
  <c r="I81" i="3"/>
  <c r="F81" i="3"/>
  <c r="I80" i="3"/>
  <c r="F80" i="3"/>
  <c r="I79" i="3"/>
  <c r="F79" i="3"/>
  <c r="I78" i="3"/>
  <c r="F78" i="3"/>
  <c r="I77" i="3"/>
  <c r="F77" i="3"/>
  <c r="I76" i="3"/>
  <c r="F76" i="3"/>
  <c r="H75" i="3"/>
  <c r="J83" i="3" s="1"/>
  <c r="G75" i="3"/>
  <c r="E75" i="3"/>
  <c r="D75" i="3"/>
  <c r="I72" i="3"/>
  <c r="I71" i="3"/>
  <c r="I70" i="3"/>
  <c r="F70" i="3"/>
  <c r="I69" i="3"/>
  <c r="F69" i="3"/>
  <c r="I68" i="3"/>
  <c r="F68" i="3"/>
  <c r="I67" i="3"/>
  <c r="I66" i="3"/>
  <c r="F66" i="3"/>
  <c r="I65" i="3"/>
  <c r="F65" i="3"/>
  <c r="I64" i="3"/>
  <c r="F64" i="3"/>
  <c r="I63" i="3"/>
  <c r="F63" i="3"/>
  <c r="I62" i="3"/>
  <c r="F62" i="3"/>
  <c r="I61" i="3"/>
  <c r="F61" i="3"/>
  <c r="I60" i="3"/>
  <c r="F60" i="3"/>
  <c r="I59" i="3"/>
  <c r="F59" i="3"/>
  <c r="I58" i="3"/>
  <c r="F58" i="3"/>
  <c r="H57" i="3"/>
  <c r="G57" i="3"/>
  <c r="E57" i="3"/>
  <c r="D57" i="3"/>
  <c r="I54" i="3"/>
  <c r="I53" i="3"/>
  <c r="F53" i="3"/>
  <c r="I52" i="3"/>
  <c r="F52" i="3"/>
  <c r="I51" i="3"/>
  <c r="F51" i="3"/>
  <c r="I50" i="3"/>
  <c r="F50" i="3"/>
  <c r="I49" i="3"/>
  <c r="F49" i="3"/>
  <c r="I48" i="3"/>
  <c r="F48" i="3"/>
  <c r="I47" i="3"/>
  <c r="F47" i="3"/>
  <c r="I46" i="3"/>
  <c r="F46" i="3"/>
  <c r="I45" i="3"/>
  <c r="F45" i="3"/>
  <c r="H44" i="3"/>
  <c r="G44"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G11" i="3"/>
  <c r="E11" i="3"/>
  <c r="D11" i="3"/>
  <c r="I106" i="2"/>
  <c r="I104" i="2"/>
  <c r="F104" i="2"/>
  <c r="I103" i="2"/>
  <c r="F103" i="2"/>
  <c r="I102" i="2"/>
  <c r="F102" i="2"/>
  <c r="I101" i="2"/>
  <c r="F101" i="2"/>
  <c r="H100" i="2"/>
  <c r="J104" i="2" s="1"/>
  <c r="G100" i="2"/>
  <c r="E100" i="2"/>
  <c r="D100" i="2"/>
  <c r="I99" i="2"/>
  <c r="F99" i="2"/>
  <c r="I98" i="2"/>
  <c r="F98" i="2"/>
  <c r="I97" i="2"/>
  <c r="F97" i="2"/>
  <c r="H96" i="2"/>
  <c r="J99" i="2" s="1"/>
  <c r="G96" i="2"/>
  <c r="E96" i="2"/>
  <c r="D96" i="2"/>
  <c r="H90" i="2"/>
  <c r="J95" i="2" s="1"/>
  <c r="G90" i="2"/>
  <c r="E90" i="2"/>
  <c r="D90"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57" i="1"/>
  <c r="O57" i="1"/>
  <c r="N57" i="1"/>
  <c r="M57" i="1"/>
  <c r="K57" i="1"/>
  <c r="J57" i="1"/>
  <c r="H57" i="1"/>
  <c r="G57" i="1"/>
  <c r="F57" i="1"/>
  <c r="E57" i="1"/>
  <c r="D57" i="1"/>
  <c r="P52" i="1"/>
  <c r="O52" i="1"/>
  <c r="N52" i="1"/>
  <c r="M52" i="1"/>
  <c r="L52" i="1"/>
  <c r="K52" i="1"/>
  <c r="J52" i="1"/>
  <c r="I52" i="1"/>
  <c r="H52" i="1"/>
  <c r="G52" i="1"/>
  <c r="F52" i="1"/>
  <c r="E52" i="1"/>
  <c r="D52" i="1"/>
  <c r="P47" i="1"/>
  <c r="O47" i="1"/>
  <c r="N47" i="1"/>
  <c r="M47" i="1"/>
  <c r="L47" i="1"/>
  <c r="K47" i="1"/>
  <c r="J47" i="1"/>
  <c r="I47" i="1"/>
  <c r="H47" i="1"/>
  <c r="G47" i="1"/>
  <c r="F47" i="1"/>
  <c r="E47" i="1"/>
  <c r="D47" i="1"/>
  <c r="Q31" i="1"/>
  <c r="Q30" i="1"/>
  <c r="Q29" i="1"/>
  <c r="Q28" i="1"/>
  <c r="Q27" i="1"/>
  <c r="Q26" i="1"/>
  <c r="Q25" i="1"/>
  <c r="Q24" i="1"/>
  <c r="Q23" i="1"/>
  <c r="Q22" i="1"/>
  <c r="J67" i="3" l="1"/>
  <c r="J74" i="3"/>
  <c r="J21" i="3"/>
  <c r="J26" i="3"/>
  <c r="I90" i="2"/>
  <c r="I11" i="2"/>
  <c r="I44" i="3"/>
  <c r="I96" i="2"/>
  <c r="J43" i="2"/>
  <c r="J101" i="2"/>
  <c r="J64" i="3"/>
  <c r="I57" i="3"/>
  <c r="J73" i="3"/>
  <c r="J43" i="3"/>
  <c r="J39" i="2"/>
  <c r="J62" i="2"/>
  <c r="J53" i="2"/>
  <c r="J18" i="2"/>
  <c r="F98" i="3"/>
  <c r="I90" i="3"/>
  <c r="F88" i="3"/>
  <c r="F57" i="3"/>
  <c r="J49" i="3"/>
  <c r="F109" i="3"/>
  <c r="J50" i="3"/>
  <c r="J85" i="3"/>
  <c r="J51" i="3"/>
  <c r="I116" i="3"/>
  <c r="J45" i="3"/>
  <c r="J68" i="3"/>
  <c r="I27" i="3"/>
  <c r="J78" i="3"/>
  <c r="I88" i="3"/>
  <c r="F75" i="3"/>
  <c r="F92" i="3"/>
  <c r="J52" i="3"/>
  <c r="J69" i="3"/>
  <c r="J58" i="3"/>
  <c r="F116" i="3"/>
  <c r="J46" i="3"/>
  <c r="J53" i="3"/>
  <c r="J62" i="3"/>
  <c r="J89" i="3"/>
  <c r="J88" i="3" s="1"/>
  <c r="J47" i="3"/>
  <c r="J54" i="3"/>
  <c r="F112" i="3"/>
  <c r="F90" i="3"/>
  <c r="F105" i="3"/>
  <c r="J63" i="3"/>
  <c r="J48" i="3"/>
  <c r="I100" i="2"/>
  <c r="F100" i="2"/>
  <c r="J97" i="2"/>
  <c r="F96" i="2"/>
  <c r="F82" i="2"/>
  <c r="J79" i="2"/>
  <c r="J80" i="2"/>
  <c r="F74" i="2"/>
  <c r="J72" i="2"/>
  <c r="J71" i="2" s="1"/>
  <c r="J58" i="2"/>
  <c r="J38" i="2"/>
  <c r="F35" i="2"/>
  <c r="J30" i="2"/>
  <c r="F23" i="2"/>
  <c r="J15" i="2"/>
  <c r="J16" i="2"/>
  <c r="J13" i="3"/>
  <c r="I23" i="2"/>
  <c r="I47" i="2"/>
  <c r="J63" i="2"/>
  <c r="I105" i="2"/>
  <c r="J16" i="3"/>
  <c r="J23" i="3"/>
  <c r="J54" i="2"/>
  <c r="F76" i="2"/>
  <c r="J22" i="3"/>
  <c r="F71" i="2"/>
  <c r="J91" i="2"/>
  <c r="I92" i="3"/>
  <c r="I98" i="3"/>
  <c r="I112" i="3"/>
  <c r="F11" i="2"/>
  <c r="J24" i="2"/>
  <c r="J48" i="2"/>
  <c r="I71" i="2"/>
  <c r="J92" i="2"/>
  <c r="J79" i="3"/>
  <c r="J99" i="3"/>
  <c r="J49" i="2"/>
  <c r="J93" i="2"/>
  <c r="F11" i="3"/>
  <c r="J100" i="3"/>
  <c r="F47" i="2"/>
  <c r="J34" i="2"/>
  <c r="J17" i="3"/>
  <c r="J24" i="3"/>
  <c r="J19" i="2"/>
  <c r="J32" i="3"/>
  <c r="J18" i="3"/>
  <c r="I11" i="3"/>
  <c r="J101" i="3"/>
  <c r="J13" i="2"/>
  <c r="J20" i="2"/>
  <c r="F59" i="2"/>
  <c r="J44" i="2"/>
  <c r="J67" i="2"/>
  <c r="J19" i="3"/>
  <c r="J97" i="3"/>
  <c r="J25" i="3"/>
  <c r="J12" i="3"/>
  <c r="J14" i="2"/>
  <c r="J29" i="2"/>
  <c r="J52" i="2"/>
  <c r="F27" i="3"/>
  <c r="J68" i="2"/>
  <c r="I74" i="2"/>
  <c r="F90" i="2"/>
  <c r="J20" i="3"/>
  <c r="J84" i="3"/>
  <c r="J104" i="3"/>
  <c r="I105" i="3"/>
  <c r="J25" i="2"/>
  <c r="I76" i="2"/>
  <c r="J39" i="3"/>
  <c r="I75" i="3"/>
  <c r="J113" i="3"/>
  <c r="J21" i="2"/>
  <c r="I35" i="2"/>
  <c r="J40" i="2"/>
  <c r="I59" i="2"/>
  <c r="J64" i="2"/>
  <c r="J94" i="2"/>
  <c r="J98" i="2"/>
  <c r="J102" i="2"/>
  <c r="J105" i="2"/>
  <c r="J14" i="3"/>
  <c r="J34" i="3"/>
  <c r="J59" i="3"/>
  <c r="J81" i="2"/>
  <c r="J28" i="3"/>
  <c r="J45" i="2"/>
  <c r="J93" i="3"/>
  <c r="J29" i="3"/>
  <c r="J70" i="3"/>
  <c r="J26" i="2"/>
  <c r="J46" i="2"/>
  <c r="J50" i="2"/>
  <c r="J70" i="2"/>
  <c r="J84" i="2"/>
  <c r="J40" i="3"/>
  <c r="J65" i="3"/>
  <c r="J81" i="3"/>
  <c r="J94" i="3"/>
  <c r="J106" i="3"/>
  <c r="J110" i="3"/>
  <c r="J109" i="3" s="1"/>
  <c r="J114" i="3"/>
  <c r="I109" i="3"/>
  <c r="J80" i="3"/>
  <c r="J55" i="2"/>
  <c r="J22" i="2"/>
  <c r="J41" i="2"/>
  <c r="J65" i="2"/>
  <c r="J77" i="2"/>
  <c r="J103" i="2"/>
  <c r="J15" i="3"/>
  <c r="J35" i="3"/>
  <c r="J60" i="3"/>
  <c r="J76" i="3"/>
  <c r="J83" i="2"/>
  <c r="J31" i="2"/>
  <c r="J17" i="2"/>
  <c r="J32" i="2"/>
  <c r="J36" i="2"/>
  <c r="J56" i="2"/>
  <c r="J60" i="2"/>
  <c r="J30" i="3"/>
  <c r="J71" i="3"/>
  <c r="J102" i="3"/>
  <c r="J69" i="2"/>
  <c r="J27" i="2"/>
  <c r="J51" i="2"/>
  <c r="J85" i="2"/>
  <c r="J41" i="3"/>
  <c r="J66" i="3"/>
  <c r="J82" i="3"/>
  <c r="J95" i="3"/>
  <c r="J107" i="3"/>
  <c r="J88" i="2"/>
  <c r="J42" i="2"/>
  <c r="J66" i="2"/>
  <c r="J36" i="3"/>
  <c r="J61" i="3"/>
  <c r="J72" i="3"/>
  <c r="J77" i="3"/>
  <c r="I82" i="2"/>
  <c r="J33" i="3"/>
  <c r="J33" i="2"/>
  <c r="J31" i="3"/>
  <c r="J38" i="3"/>
  <c r="J86" i="2"/>
  <c r="J42" i="3"/>
  <c r="J96" i="2" l="1"/>
  <c r="J98" i="3"/>
  <c r="J44" i="3"/>
  <c r="J11" i="2"/>
  <c r="J11" i="3"/>
  <c r="J35" i="2"/>
  <c r="J90" i="2"/>
  <c r="J92" i="3"/>
  <c r="J82" i="2"/>
  <c r="J57" i="3"/>
  <c r="J27" i="3"/>
  <c r="J23" i="2"/>
  <c r="J105" i="3"/>
  <c r="J76" i="2"/>
  <c r="J112" i="3"/>
  <c r="J75" i="3"/>
  <c r="J47" i="2"/>
  <c r="J100" i="2"/>
  <c r="J59" i="2"/>
</calcChain>
</file>

<file path=xl/sharedStrings.xml><?xml version="1.0" encoding="utf-8"?>
<sst xmlns="http://schemas.openxmlformats.org/spreadsheetml/2006/main" count="383" uniqueCount="144">
  <si>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</si>
  <si>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</si>
  <si>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</si>
  <si>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</si>
  <si>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</si>
  <si>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</si>
  <si>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</si>
  <si>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</si>
  <si>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</si>
  <si>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</si>
  <si>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</si>
  <si>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</si>
  <si>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</si>
  <si>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</si>
  <si>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</si>
  <si>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</si>
  <si>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</si>
  <si>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</si>
  <si>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</si>
  <si>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</si>
  <si>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</si>
  <si>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</si>
  <si>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</si>
  <si>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</si>
  <si>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</si>
  <si>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</si>
  <si>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</si>
  <si>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</si>
  <si>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</si>
  <si>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</si>
  <si>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</si>
  <si>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</si>
  <si>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</si>
  <si>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</si>
  <si>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</si>
  <si>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</si>
  <si>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</si>
  <si>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</si>
  <si>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</si>
  <si>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</si>
  <si>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</si>
  <si>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</si>
  <si>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</si>
  <si>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</si>
  <si>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</si>
  <si>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</si>
  <si>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</si>
  <si>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</si>
  <si>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</si>
  <si>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</si>
  <si>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</si>
  <si>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</si>
  <si>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</si>
  <si>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</si>
  <si>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</si>
  <si>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</si>
  <si>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</si>
  <si>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</si>
  <si>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</si>
  <si>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</si>
  <si>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</si>
  <si>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</si>
  <si>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</si>
  <si>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</si>
  <si>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</si>
  <si>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</si>
  <si>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</si>
  <si>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</si>
  <si>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</si>
  <si>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</si>
  <si>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</si>
  <si>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</si>
  <si>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</si>
  <si>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</si>
  <si>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</si>
  <si>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SOCIEDAD MINERA ANDEREAL S.A.C.</t>
  </si>
  <si>
    <t>GLORE PERU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</si>
  <si>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</si>
  <si>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</si>
  <si>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</si>
  <si>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</si>
  <si>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</si>
  <si>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</si>
  <si>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</si>
  <si>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</si>
  <si>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</si>
  <si>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</si>
  <si>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</si>
  <si>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</si>
  <si>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</si>
  <si>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</si>
  <si>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</si>
  <si>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</si>
  <si>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</si>
  <si>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</si>
  <si>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</si>
  <si>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</si>
  <si>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</si>
  <si>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</si>
  <si>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</si>
  <si>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</si>
  <si>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</si>
  <si>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</si>
  <si>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</si>
  <si>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</si>
  <si>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</si>
  <si>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</si>
  <si>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</si>
  <si>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</si>
  <si>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</si>
  <si>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</si>
  <si>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</si>
  <si>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</si>
  <si>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</si>
  <si>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</si>
  <si>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</si>
  <si>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</si>
  <si>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(2025: 3 titulares mineros, 2026: 3 titulares mineros)</t>
  </si>
  <si>
    <t>OTROS** (2025: 3 departamentos, 2026: 3 departamentos)</t>
  </si>
  <si>
    <t>EMPRESA MINERA LOS QUENUALES S.A.C.</t>
  </si>
  <si>
    <t>SOBREANDES S.A.C.</t>
  </si>
  <si>
    <r>
      <t>Mar. /</t>
    </r>
    <r>
      <rPr>
        <i/>
        <sz val="10"/>
        <color rgb="FF000000"/>
        <rFont val="Calibri Light"/>
        <family val="2"/>
        <scheme val="major"/>
      </rPr>
      <t>Mar.</t>
    </r>
  </si>
  <si>
    <r>
      <t>Abr. /</t>
    </r>
    <r>
      <rPr>
        <i/>
        <sz val="10"/>
        <color rgb="FF000000"/>
        <rFont val="Calibri Light"/>
        <family val="2"/>
        <scheme val="major"/>
      </rPr>
      <t>Apr.</t>
    </r>
  </si>
  <si>
    <r>
      <t xml:space="preserve">Abr. 2026
</t>
    </r>
    <r>
      <rPr>
        <i/>
        <sz val="8"/>
        <color rgb="FF000000"/>
        <rFont val="Calibri Light"/>
        <family val="2"/>
        <scheme val="major"/>
      </rPr>
      <t>(Apr. 2026)</t>
    </r>
  </si>
  <si>
    <t>OTROS (2025: 44 titulares mineros, 2026: 43 titulares mineros)</t>
  </si>
  <si>
    <t>SUMMA GOLD CORPORATION S.A.C.</t>
  </si>
  <si>
    <r>
      <t>May. /</t>
    </r>
    <r>
      <rPr>
        <i/>
        <sz val="10"/>
        <color rgb="FF000000"/>
        <rFont val="Calibri Light"/>
        <family val="2"/>
        <scheme val="major"/>
      </rPr>
      <t>May.</t>
    </r>
  </si>
  <si>
    <r>
      <t xml:space="preserve">2026
(Ene-May)
</t>
    </r>
    <r>
      <rPr>
        <i/>
        <sz val="10"/>
        <color rgb="FF000000"/>
        <rFont val="Calibri Light"/>
        <family val="2"/>
        <scheme val="major"/>
      </rPr>
      <t>(Jan-May)</t>
    </r>
  </si>
  <si>
    <r>
      <t xml:space="preserve">VARIACIÓN INTERANUAL, MAYO / </t>
    </r>
    <r>
      <rPr>
        <i/>
        <sz val="8"/>
        <color rgb="FF000000"/>
        <rFont val="Calibri Light"/>
        <family val="2"/>
        <scheme val="major"/>
      </rPr>
      <t>YEAR-OVER-YEAR VARIATION, MAY</t>
    </r>
  </si>
  <si>
    <r>
      <t xml:space="preserve">VARIACIÓN INTERANUAL ACUMULADA ENERO-MAYO / </t>
    </r>
    <r>
      <rPr>
        <i/>
        <sz val="8"/>
        <color rgb="FF000000"/>
        <rFont val="Calibri Light"/>
        <family val="2"/>
        <scheme val="major"/>
      </rPr>
      <t>CUMULATIVE YEAR-OVER-YEAR VARIATION, JANUARY–MAY</t>
    </r>
  </si>
  <si>
    <r>
      <t xml:space="preserve">MAYO
</t>
    </r>
    <r>
      <rPr>
        <i/>
        <sz val="8"/>
        <color theme="1"/>
        <rFont val="Calibri Light"/>
        <family val="2"/>
        <scheme val="major"/>
      </rPr>
      <t>May</t>
    </r>
  </si>
  <si>
    <r>
      <t xml:space="preserve">ENERO - MAYO
</t>
    </r>
    <r>
      <rPr>
        <i/>
        <sz val="8"/>
        <color theme="1"/>
        <rFont val="Calibri Light"/>
        <family val="2"/>
        <scheme val="major"/>
      </rPr>
      <t>January - May</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</si>
  <si>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30 de junio de 2026. / </t>
    </r>
    <r>
      <rPr>
        <i/>
        <u/>
        <sz val="10"/>
        <color theme="1"/>
        <rFont val="Calibri Light"/>
        <family val="2"/>
        <scheme val="major"/>
      </rPr>
      <t>Date of consultation</t>
    </r>
    <r>
      <rPr>
        <i/>
        <sz val="10"/>
        <color theme="1"/>
        <rFont val="Calibri Light"/>
        <family val="2"/>
        <scheme val="major"/>
      </rPr>
      <t>: June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</si>
  <si>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May. 2025
</t>
    </r>
    <r>
      <rPr>
        <i/>
        <sz val="8"/>
        <color rgb="FF000000"/>
        <rFont val="Calibri Light"/>
        <family val="2"/>
        <scheme val="major"/>
      </rPr>
      <t>(May. 2025)</t>
    </r>
  </si>
  <si>
    <r>
      <t xml:space="preserve">May. 2026
</t>
    </r>
    <r>
      <rPr>
        <i/>
        <sz val="8"/>
        <color rgb="FF000000"/>
        <rFont val="Calibri Light"/>
        <family val="2"/>
        <scheme val="major"/>
      </rPr>
      <t>(May. 2026)</t>
    </r>
  </si>
  <si>
    <r>
      <t xml:space="preserve">Ene-May 2025
</t>
    </r>
    <r>
      <rPr>
        <i/>
        <sz val="8"/>
        <color theme="1"/>
        <rFont val="Calibri Light"/>
        <family val="2"/>
        <scheme val="major"/>
      </rPr>
      <t>(Jan-May. 2025)</t>
    </r>
  </si>
  <si>
    <r>
      <t xml:space="preserve">Ene-May 2026
</t>
    </r>
    <r>
      <rPr>
        <i/>
        <sz val="8"/>
        <color theme="1"/>
        <rFont val="Calibri Light"/>
        <family val="2"/>
        <scheme val="major"/>
      </rPr>
      <t>(Jan-May. 2026)</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</si>
  <si>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30 de junio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June 30,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</si>
  <si>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30 de junio de 2026. / </t>
    </r>
    <r>
      <rPr>
        <i/>
        <u/>
        <sz val="10"/>
        <color theme="1"/>
        <rFont val="Calibri Light"/>
        <family val="2"/>
        <scheme val="major"/>
      </rPr>
      <t>Date of consultation</t>
    </r>
    <r>
      <rPr>
        <i/>
        <sz val="10"/>
        <color theme="1"/>
        <rFont val="Calibri Light"/>
        <family val="2"/>
        <scheme val="major"/>
      </rPr>
      <t>: June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</si>
  <si>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30 de junio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June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</si>
  <si>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t>CONSORCIO MINERO HORIZONTE S.R.L.</t>
  </si>
  <si>
    <t>OTROS (2025: 258 titulares mineros, 2026: 271 titulares mineros)</t>
  </si>
  <si>
    <t>OTROS (2025: 30 titulares mineros, 2026: 29 titulares mineros)</t>
  </si>
  <si>
    <t>OTROS (2025: 79 titulares mineros, 2026: 75 titulares mineros)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</si>
</sst>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58">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7" fillId="3" borderId="0" xfId="5" applyNumberFormat="1" applyFont="1" applyFill="1" applyAlignment="1">
      <alignment horizontal="center" vertical="center"/>
    </xf>
    <xf numFmtId="10" fontId="27"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8"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8" fillId="9" borderId="12" xfId="0" applyFont="1" applyFill="1" applyBorder="1" applyAlignment="1">
      <alignment vertical="center"/>
    </xf>
    <xf numFmtId="0" fontId="5" fillId="2" borderId="0" xfId="3" applyFont="1" applyFill="1" applyAlignment="1">
      <alignment vertical="center"/>
    </xf>
    <xf numFmtId="0" fontId="29" fillId="3" borderId="0" xfId="0" applyFont="1" applyFill="1" applyAlignment="1">
      <alignment horizontal="left" vertical="center"/>
    </xf>
    <xf numFmtId="166" fontId="15" fillId="3" borderId="0" xfId="2" applyNumberFormat="1" applyFont="1" applyFill="1" applyAlignment="1">
      <alignment horizontal="center" vertical="center"/>
    </xf>
    <xf numFmtId="0" fontId="30"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2" fillId="0" borderId="0" xfId="0" applyNumberFormat="1" applyFont="1" applyAlignment="1">
      <alignment vertical="center"/>
    </xf>
    <xf numFmtId="166" fontId="22"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2"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166" fontId="11" fillId="4" borderId="6" xfId="2" applyNumberFormat="1" applyFont="1" applyFill="1" applyBorder="1" applyAlignment="1">
      <alignment horizontal="center" vertical="center"/>
    </xf>
    <xf numFmtId="0" fontId="28" fillId="4" borderId="11" xfId="0" applyFont="1" applyFill="1" applyBorder="1" applyAlignment="1">
      <alignment vertical="center"/>
    </xf>
    <xf numFmtId="3" fontId="11" fillId="4" borderId="2" xfId="5"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4" fontId="7" fillId="0" borderId="6" xfId="3" applyNumberFormat="1" applyFont="1" applyBorder="1" applyAlignment="1">
      <alignment horizontal="center" vertical="center"/>
    </xf>
    <xf numFmtId="2" fontId="7" fillId="0" borderId="4" xfId="3" applyNumberFormat="1" applyFont="1" applyBorder="1" applyAlignment="1">
      <alignment horizontal="center" vertical="center"/>
    </xf>
    <xf numFmtId="3" fontId="7" fillId="0" borderId="5" xfId="3" applyNumberFormat="1" applyFont="1" applyBorder="1" applyAlignment="1">
      <alignment horizontal="center" vertical="center"/>
    </xf>
    <xf numFmtId="164" fontId="7" fillId="0" borderId="5" xfId="3" applyNumberFormat="1" applyFont="1" applyBorder="1" applyAlignment="1">
      <alignment horizontal="center" vertical="center"/>
    </xf>
    <xf numFmtId="164" fontId="4" fillId="3" borderId="0"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0" fontId="4" fillId="0" borderId="13" xfId="4" applyFont="1" applyFill="1" applyBorder="1" applyAlignment="1">
      <alignment horizontal="left" vertical="center" indent="1"/>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0" fontId="4" fillId="3" borderId="8" xfId="4" applyFont="1" applyBorder="1" applyAlignment="1">
      <alignment horizontal="left" vertical="center" indent="1"/>
    </xf>
    <xf numFmtId="0" fontId="22" fillId="0" borderId="0" xfId="0" applyFont="1" applyAlignment="1">
      <alignment horizontal="right"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43" fontId="4" fillId="0" borderId="0" xfId="1" applyFont="1" applyFill="1" applyAlignment="1">
      <alignment vertical="center"/>
    </xf>
    <xf numFmtId="0" fontId="6" fillId="0" borderId="0" xfId="3" applyFont="1" applyAlignment="1">
      <alignment vertical="center"/>
    </xf>
    <xf numFmtId="169" fontId="15" fillId="3" borderId="8" xfId="2" applyNumberFormat="1" applyFont="1" applyFill="1" applyBorder="1" applyAlignment="1">
      <alignment horizontal="center" vertical="center"/>
    </xf>
    <xf numFmtId="164" fontId="15" fillId="0" borderId="7" xfId="1" applyNumberFormat="1" applyFont="1" applyFill="1" applyBorder="1" applyAlignment="1">
      <alignment horizontal="center" vertical="center"/>
    </xf>
    <xf numFmtId="164" fontId="15" fillId="0" borderId="0" xfId="1" applyNumberFormat="1" applyFont="1" applyFill="1" applyBorder="1" applyAlignment="1">
      <alignment horizontal="center" vertical="center"/>
    </xf>
    <xf numFmtId="164" fontId="11" fillId="4" borderId="9" xfId="5" applyNumberFormat="1" applyFont="1" applyFill="1" applyBorder="1" applyAlignment="1">
      <alignment horizontal="center" vertical="center"/>
    </xf>
    <xf numFmtId="164" fontId="11" fillId="4" borderId="10" xfId="5" applyNumberFormat="1" applyFont="1" applyFill="1" applyBorder="1" applyAlignment="1">
      <alignment horizontal="center" vertical="center"/>
    </xf>
    <xf numFmtId="164" fontId="4" fillId="0" borderId="1" xfId="5" applyNumberFormat="1" applyFont="1" applyFill="1" applyBorder="1" applyAlignment="1">
      <alignment horizontal="center" vertical="center"/>
    </xf>
    <xf numFmtId="164" fontId="4" fillId="0" borderId="2" xfId="5"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164" fontId="7" fillId="0" borderId="8" xfId="3" applyNumberFormat="1" applyFont="1" applyBorder="1" applyAlignment="1">
      <alignment horizontal="center" vertical="center"/>
    </xf>
    <xf numFmtId="164" fontId="7" fillId="0" borderId="6" xfId="3" applyNumberFormat="1" applyFont="1" applyBorder="1" applyAlignment="1">
      <alignment horizontal="center" vertical="center"/>
    </xf>
    <xf numFmtId="164" fontId="7" fillId="0" borderId="3" xfId="3" applyNumberFormat="1" applyFont="1" applyBorder="1" applyAlignment="1">
      <alignment horizontal="center" vertical="center"/>
    </xf>
    <xf numFmtId="4" fontId="4" fillId="0" borderId="4" xfId="5"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0" fontId="14" fillId="2" borderId="0" xfId="3" applyFont="1" applyFill="1" applyAlignment="1">
      <alignment horizontal="center" vertical="center"/>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10" fontId="15" fillId="3" borderId="13" xfId="2" applyNumberFormat="1" applyFont="1" applyFill="1" applyBorder="1" applyAlignment="1">
      <alignment horizontal="center" vertical="center"/>
    </xf>
    <xf numFmtId="164" fontId="16" fillId="4" borderId="9" xfId="5" applyNumberFormat="1" applyFont="1" applyFill="1" applyBorder="1" applyAlignment="1">
      <alignment horizontal="center" vertical="center"/>
    </xf>
    <xf numFmtId="164" fontId="16" fillId="4" borderId="10" xfId="5" applyNumberFormat="1" applyFont="1" applyFill="1" applyBorder="1" applyAlignment="1">
      <alignment horizontal="center" vertical="center"/>
    </xf>
    <xf numFmtId="164" fontId="4" fillId="0" borderId="9" xfId="5" applyNumberFormat="1" applyFont="1" applyFill="1" applyBorder="1" applyAlignment="1">
      <alignment horizontal="center" vertical="center"/>
    </xf>
    <xf numFmtId="164" fontId="4" fillId="0" borderId="10" xfId="5"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FAFE7"/>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045B-4CAF-9900-496C0291835D}"/>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045B-4CAF-9900-496C0291835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(Ene-May)
(Jan-May)</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2769.8655786898944</c:v>
                </c:pt>
                <c:pt idx="10">
                  <c:v>1144.3796294050367</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62</xdr:row>
      <xdr:rowOff>19050</xdr:rowOff>
    </xdr:from>
    <xdr:to>
      <xdr:col>15</xdr:col>
      <xdr:colOff>542924</xdr:colOff>
      <xdr:row>69</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1"/>
  <sheetViews>
    <sheetView showGridLines="0" tabSelected="1" view="pageBreakPreview" zoomScaleNormal="100" zoomScaleSheetLayoutView="100" workbookViewId="0">
      <pane ySplit="9" topLeftCell="A10" activePane="bottomLeft" state="frozen"/>
      <selection activeCell="H9" sqref="H9"/>
      <selection pane="bottomLeft"/>
    </sheetView>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34" t="s">
        <v>0</v>
      </c>
      <c r="D3" s="234"/>
      <c r="E3" s="234"/>
      <c r="F3" s="234"/>
      <c r="G3" s="234"/>
      <c r="H3" s="234"/>
      <c r="I3" s="234"/>
      <c r="J3" s="234"/>
      <c r="K3" s="234"/>
      <c r="L3" s="234"/>
      <c r="M3" s="234"/>
      <c r="N3" s="234"/>
      <c r="O3" s="234"/>
      <c r="P3" s="234"/>
      <c r="Q3" s="1"/>
    </row>
    <row r="4" spans="3:17" ht="14.25" customHeight="1" x14ac:dyDescent="0.25">
      <c r="C4" s="235" t="s">
        <v>1</v>
      </c>
      <c r="D4" s="235"/>
      <c r="E4" s="235"/>
      <c r="F4" s="235"/>
      <c r="G4" s="235"/>
      <c r="H4" s="235"/>
      <c r="I4" s="235"/>
      <c r="J4" s="235"/>
      <c r="K4" s="235"/>
      <c r="L4" s="235"/>
      <c r="M4" s="235"/>
      <c r="N4" s="235"/>
      <c r="O4" s="235"/>
      <c r="P4" s="235"/>
      <c r="Q4" s="3"/>
    </row>
    <row r="5" spans="3:17" ht="9" customHeight="1" x14ac:dyDescent="0.25">
      <c r="C5" s="217"/>
      <c r="D5" s="5"/>
      <c r="E5" s="5"/>
      <c r="F5" s="5"/>
      <c r="G5" s="5"/>
      <c r="H5" s="6"/>
      <c r="I5" s="7"/>
      <c r="J5" s="6"/>
      <c r="K5" s="5"/>
      <c r="L5" s="5"/>
      <c r="M5" s="5"/>
      <c r="N5" s="5"/>
      <c r="O5" s="5"/>
      <c r="P5" s="5"/>
    </row>
    <row r="6" spans="3:17" ht="14.45" customHeight="1" x14ac:dyDescent="0.25">
      <c r="C6" s="236" t="s">
        <v>2</v>
      </c>
      <c r="D6" s="236"/>
      <c r="E6" s="236"/>
      <c r="F6" s="236"/>
      <c r="G6" s="236"/>
      <c r="H6" s="236"/>
      <c r="I6" s="236"/>
      <c r="J6" s="236"/>
      <c r="K6" s="236"/>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215" customFormat="1" x14ac:dyDescent="0.25">
      <c r="C36" s="213">
        <v>2025</v>
      </c>
      <c r="D36" s="20">
        <v>2769865.5786898942</v>
      </c>
      <c r="E36" s="20">
        <v>109675602.05294405</v>
      </c>
      <c r="F36" s="20">
        <v>1510087.4171173284</v>
      </c>
      <c r="G36" s="20">
        <v>3761821.382447273</v>
      </c>
      <c r="H36" s="20">
        <v>316288.88028115389</v>
      </c>
      <c r="I36" s="20">
        <v>11892474.643507</v>
      </c>
      <c r="J36" s="20">
        <v>33816.185040000004</v>
      </c>
      <c r="K36" s="20">
        <v>38009.426725496101</v>
      </c>
      <c r="L36" s="20">
        <v>28040.647535969998</v>
      </c>
      <c r="M36" s="20">
        <v>283.76478187999999</v>
      </c>
      <c r="N36" s="20">
        <v>311.762111</v>
      </c>
      <c r="O36" s="20">
        <v>39204.828694800002</v>
      </c>
      <c r="P36" s="193">
        <v>35.532075999999996</v>
      </c>
      <c r="Q36" s="22">
        <f t="shared" si="0"/>
        <v>2769.8655786898944</v>
      </c>
      <c r="R36" s="214"/>
      <c r="AB36" s="216"/>
      <c r="AC36" s="216"/>
      <c r="AD36" s="216"/>
      <c r="AE36" s="216"/>
      <c r="AF36" s="216"/>
      <c r="AG36" s="216"/>
      <c r="AH36" s="216"/>
      <c r="AI36" s="216"/>
    </row>
    <row r="37" spans="3:35" ht="38.25" x14ac:dyDescent="0.25">
      <c r="C37" s="25" t="s">
        <v>127</v>
      </c>
      <c r="D37" s="26">
        <f t="shared" ref="D37:P37" si="1">SUM(D38:D42)</f>
        <v>1144379.6294050366</v>
      </c>
      <c r="E37" s="26">
        <f t="shared" si="1"/>
        <v>41631195.035801291</v>
      </c>
      <c r="F37" s="26">
        <f t="shared" si="1"/>
        <v>542544.26986000186</v>
      </c>
      <c r="G37" s="26">
        <f t="shared" si="1"/>
        <v>1463945.1797084627</v>
      </c>
      <c r="H37" s="26">
        <f t="shared" si="1"/>
        <v>114861.42685171599</v>
      </c>
      <c r="I37" s="26">
        <f t="shared" si="1"/>
        <v>5923400.1936400002</v>
      </c>
      <c r="J37" s="26">
        <f t="shared" si="1"/>
        <v>14359.081065999999</v>
      </c>
      <c r="K37" s="26">
        <f t="shared" si="1"/>
        <v>15747.955855511998</v>
      </c>
      <c r="L37" s="26">
        <f t="shared" si="1"/>
        <v>9890.4476340000001</v>
      </c>
      <c r="M37" s="26">
        <f t="shared" si="1"/>
        <v>115.06486459999999</v>
      </c>
      <c r="N37" s="26">
        <f t="shared" si="1"/>
        <v>115.418733</v>
      </c>
      <c r="O37" s="26">
        <f t="shared" si="1"/>
        <v>17104.362267700002</v>
      </c>
      <c r="P37" s="26">
        <f t="shared" si="1"/>
        <v>21.775827000000003</v>
      </c>
      <c r="Q37" s="22">
        <f t="shared" si="0"/>
        <v>1144.3796294050367</v>
      </c>
      <c r="R37" s="24"/>
      <c r="AB37" s="23"/>
      <c r="AC37" s="23"/>
      <c r="AD37" s="23"/>
      <c r="AE37" s="23"/>
      <c r="AF37" s="23"/>
      <c r="AG37" s="23"/>
      <c r="AH37" s="23"/>
      <c r="AI37" s="23"/>
    </row>
    <row r="38" spans="3:35" x14ac:dyDescent="0.25">
      <c r="C38" s="27" t="s">
        <v>22</v>
      </c>
      <c r="D38" s="20">
        <v>226465.13532835097</v>
      </c>
      <c r="E38" s="20">
        <v>8831175.3873815574</v>
      </c>
      <c r="F38" s="20">
        <v>107008.63932558298</v>
      </c>
      <c r="G38" s="20">
        <v>288278.05314713245</v>
      </c>
      <c r="H38" s="20">
        <v>22782.986056036996</v>
      </c>
      <c r="I38" s="20">
        <v>1175604.6615900001</v>
      </c>
      <c r="J38" s="20">
        <v>2638.101392</v>
      </c>
      <c r="K38" s="20">
        <v>3100.2304261199997</v>
      </c>
      <c r="L38" s="20">
        <v>1688.6074727999996</v>
      </c>
      <c r="M38" s="195">
        <v>17.800156399999999</v>
      </c>
      <c r="N38" s="195">
        <v>26.551486000000001</v>
      </c>
      <c r="O38" s="20">
        <v>3476.3602592999996</v>
      </c>
      <c r="P38" s="196">
        <v>3.9908700000000001</v>
      </c>
      <c r="Q38" s="28">
        <v>11138766.849174995</v>
      </c>
      <c r="T38" s="29"/>
      <c r="U38" s="29"/>
      <c r="V38" s="29"/>
      <c r="W38" s="29"/>
      <c r="X38" s="29"/>
      <c r="Y38" s="29"/>
      <c r="Z38" s="29"/>
      <c r="AA38" s="29"/>
      <c r="AB38" s="23"/>
      <c r="AC38" s="23"/>
      <c r="AD38" s="23"/>
      <c r="AE38" s="23"/>
      <c r="AF38" s="23"/>
      <c r="AG38" s="23"/>
      <c r="AH38" s="23"/>
      <c r="AI38" s="23"/>
    </row>
    <row r="39" spans="3:35" x14ac:dyDescent="0.25">
      <c r="C39" s="30" t="s">
        <v>23</v>
      </c>
      <c r="D39" s="20">
        <v>223285.27726754191</v>
      </c>
      <c r="E39" s="20">
        <v>7422557.0840030387</v>
      </c>
      <c r="F39" s="20">
        <v>108417.09502581699</v>
      </c>
      <c r="G39" s="20">
        <v>289673.50099068927</v>
      </c>
      <c r="H39" s="20">
        <v>21536.775960890009</v>
      </c>
      <c r="I39" s="20">
        <v>1138826.6746080001</v>
      </c>
      <c r="J39" s="20">
        <v>2611.0019500000003</v>
      </c>
      <c r="K39" s="20">
        <v>3116.1079425219996</v>
      </c>
      <c r="L39" s="20">
        <v>2087.2887541999999</v>
      </c>
      <c r="M39" s="195">
        <v>18.494443</v>
      </c>
      <c r="N39" s="195">
        <v>22.429242000000002</v>
      </c>
      <c r="O39" s="20">
        <v>3321.9614590000001</v>
      </c>
      <c r="P39" s="196">
        <v>4.047072</v>
      </c>
      <c r="Q39" s="28"/>
      <c r="T39" s="29"/>
      <c r="U39" s="29"/>
      <c r="V39" s="29"/>
      <c r="W39" s="29"/>
      <c r="X39" s="29"/>
      <c r="Y39" s="29"/>
      <c r="Z39" s="29"/>
      <c r="AA39" s="29"/>
      <c r="AB39" s="23"/>
      <c r="AC39" s="23"/>
      <c r="AD39" s="23"/>
      <c r="AE39" s="23"/>
      <c r="AF39" s="23"/>
      <c r="AG39" s="23"/>
      <c r="AH39" s="23"/>
      <c r="AI39" s="23"/>
    </row>
    <row r="40" spans="3:35" x14ac:dyDescent="0.25">
      <c r="C40" s="30" t="s">
        <v>121</v>
      </c>
      <c r="D40" s="20">
        <v>238463.97373834343</v>
      </c>
      <c r="E40" s="20">
        <v>8498965.2241655998</v>
      </c>
      <c r="F40" s="20">
        <v>112421.366223602</v>
      </c>
      <c r="G40" s="20">
        <v>301672.26708662132</v>
      </c>
      <c r="H40" s="20">
        <v>23605.320676989013</v>
      </c>
      <c r="I40" s="20">
        <v>1254443.352592</v>
      </c>
      <c r="J40" s="20">
        <v>2743.6943419999998</v>
      </c>
      <c r="K40" s="20">
        <v>3507.1413508700002</v>
      </c>
      <c r="L40" s="20">
        <v>1923.9981766000001</v>
      </c>
      <c r="M40" s="195">
        <v>24.4855892</v>
      </c>
      <c r="N40" s="195">
        <v>22.518574000000001</v>
      </c>
      <c r="O40" s="20">
        <v>3189.6974124000003</v>
      </c>
      <c r="P40" s="196">
        <v>5.5070579999999998</v>
      </c>
      <c r="Q40" s="28"/>
      <c r="T40" s="29"/>
      <c r="U40" s="29"/>
      <c r="V40" s="29"/>
      <c r="W40" s="29"/>
      <c r="X40" s="29"/>
      <c r="Y40" s="29"/>
      <c r="Z40" s="29"/>
      <c r="AA40" s="29"/>
      <c r="AB40" s="23"/>
      <c r="AC40" s="23"/>
      <c r="AD40" s="23"/>
      <c r="AE40" s="23"/>
      <c r="AF40" s="23"/>
      <c r="AG40" s="23"/>
      <c r="AH40" s="23"/>
      <c r="AI40" s="23"/>
    </row>
    <row r="41" spans="3:35" x14ac:dyDescent="0.25">
      <c r="C41" s="30" t="s">
        <v>122</v>
      </c>
      <c r="D41" s="20">
        <v>230069.71287500003</v>
      </c>
      <c r="E41" s="20">
        <v>8490035.788110001</v>
      </c>
      <c r="F41" s="20">
        <v>109969.57995599994</v>
      </c>
      <c r="G41" s="20">
        <v>305459.82966600015</v>
      </c>
      <c r="H41" s="20">
        <v>23631.853857999995</v>
      </c>
      <c r="I41" s="20">
        <v>1114153.7374539999</v>
      </c>
      <c r="J41" s="20">
        <v>3064.913102</v>
      </c>
      <c r="K41" s="20">
        <v>3178.8406869999999</v>
      </c>
      <c r="L41" s="20">
        <v>2173.9089790000003</v>
      </c>
      <c r="M41" s="195">
        <v>25.714176999999999</v>
      </c>
      <c r="N41" s="195">
        <v>22.187384000000002</v>
      </c>
      <c r="O41" s="20">
        <v>4010.9459770000003</v>
      </c>
      <c r="P41" s="196">
        <v>4.3102679999999998</v>
      </c>
      <c r="Q41" s="28"/>
      <c r="T41" s="29"/>
      <c r="U41" s="29"/>
      <c r="V41" s="29"/>
      <c r="W41" s="29"/>
      <c r="X41" s="29"/>
      <c r="Y41" s="29"/>
      <c r="Z41" s="29"/>
      <c r="AA41" s="29"/>
      <c r="AB41" s="23"/>
      <c r="AC41" s="23"/>
      <c r="AD41" s="23"/>
      <c r="AE41" s="23"/>
      <c r="AF41" s="23"/>
      <c r="AG41" s="23"/>
      <c r="AH41" s="23"/>
      <c r="AI41" s="23"/>
    </row>
    <row r="42" spans="3:35" x14ac:dyDescent="0.25">
      <c r="C42" s="198" t="s">
        <v>126</v>
      </c>
      <c r="D42" s="199">
        <v>226095.53019580003</v>
      </c>
      <c r="E42" s="199">
        <v>8388461.5521410946</v>
      </c>
      <c r="F42" s="199">
        <v>104727.58932899999</v>
      </c>
      <c r="G42" s="199">
        <v>278861.52881801955</v>
      </c>
      <c r="H42" s="199">
        <v>23304.490299799992</v>
      </c>
      <c r="I42" s="199">
        <v>1240371.767396</v>
      </c>
      <c r="J42" s="199">
        <v>3301.3702800000001</v>
      </c>
      <c r="K42" s="199">
        <v>2845.6354490000003</v>
      </c>
      <c r="L42" s="199">
        <v>2016.6442514</v>
      </c>
      <c r="M42" s="200">
        <v>28.570499000000005</v>
      </c>
      <c r="N42" s="200">
        <v>21.732047000000001</v>
      </c>
      <c r="O42" s="199">
        <v>3105.3971600000009</v>
      </c>
      <c r="P42" s="197">
        <v>3.9205589999999999</v>
      </c>
      <c r="Q42" s="28"/>
      <c r="T42" s="29"/>
      <c r="U42" s="29"/>
      <c r="V42" s="29"/>
      <c r="W42" s="29"/>
      <c r="X42" s="29"/>
      <c r="Y42" s="29"/>
      <c r="Z42" s="29"/>
      <c r="AA42" s="29"/>
      <c r="AB42" s="23"/>
      <c r="AC42" s="23"/>
      <c r="AD42" s="23"/>
      <c r="AE42" s="23"/>
      <c r="AF42" s="23"/>
      <c r="AG42" s="23"/>
      <c r="AH42" s="23"/>
      <c r="AI42" s="23"/>
    </row>
    <row r="43" spans="3:35" x14ac:dyDescent="0.25">
      <c r="C43" s="30"/>
      <c r="D43" s="20"/>
      <c r="E43" s="20"/>
      <c r="F43" s="20"/>
      <c r="G43" s="20"/>
      <c r="H43" s="20"/>
      <c r="I43" s="20"/>
      <c r="J43" s="20"/>
      <c r="K43" s="20"/>
      <c r="L43" s="20"/>
      <c r="M43" s="195"/>
      <c r="N43" s="20"/>
      <c r="O43" s="20"/>
      <c r="P43" s="196"/>
      <c r="Q43" s="28"/>
      <c r="T43" s="29"/>
      <c r="U43" s="29"/>
      <c r="V43" s="29"/>
      <c r="W43" s="29"/>
      <c r="X43" s="29"/>
      <c r="Y43" s="29"/>
      <c r="Z43" s="29"/>
      <c r="AA43" s="29"/>
      <c r="AB43" s="23"/>
      <c r="AC43" s="23"/>
      <c r="AD43" s="23"/>
      <c r="AE43" s="23"/>
      <c r="AF43" s="23"/>
      <c r="AG43" s="23"/>
      <c r="AH43" s="23"/>
      <c r="AI43" s="23"/>
    </row>
    <row r="44" spans="3:35" x14ac:dyDescent="0.25">
      <c r="C44" s="34" t="s">
        <v>128</v>
      </c>
      <c r="D44" s="35"/>
      <c r="E44" s="35"/>
      <c r="F44" s="36"/>
      <c r="G44" s="35"/>
      <c r="H44" s="35"/>
      <c r="I44" s="35"/>
      <c r="J44" s="35"/>
      <c r="K44" s="35"/>
      <c r="L44" s="35"/>
      <c r="M44" s="35"/>
      <c r="N44" s="35"/>
      <c r="O44" s="35"/>
      <c r="P44" s="37"/>
      <c r="R44" s="24"/>
      <c r="S44" s="38"/>
    </row>
    <row r="45" spans="3:35" ht="24" x14ac:dyDescent="0.25">
      <c r="C45" s="39" t="s">
        <v>133</v>
      </c>
      <c r="D45" s="20">
        <v>220911.28287911674</v>
      </c>
      <c r="E45" s="20">
        <v>8890323.5848510806</v>
      </c>
      <c r="F45" s="20">
        <v>121150.67033030897</v>
      </c>
      <c r="G45" s="20">
        <v>314384.44364568911</v>
      </c>
      <c r="H45" s="20">
        <v>26212.334371921996</v>
      </c>
      <c r="I45" s="20">
        <v>441193.98143799999</v>
      </c>
      <c r="J45" s="20">
        <v>2871.1295</v>
      </c>
      <c r="K45" s="20">
        <v>2855.7800881120002</v>
      </c>
      <c r="L45" s="20">
        <v>2487.8129531</v>
      </c>
      <c r="M45" s="20">
        <v>22.439415</v>
      </c>
      <c r="N45" s="20">
        <v>27.668381</v>
      </c>
      <c r="O45" s="20">
        <v>3840.2648920000006</v>
      </c>
      <c r="P45" s="227">
        <v>3.6912739999999999</v>
      </c>
      <c r="R45" s="24"/>
      <c r="S45" s="38"/>
    </row>
    <row r="46" spans="3:35" ht="24" x14ac:dyDescent="0.25">
      <c r="C46" s="40" t="s">
        <v>134</v>
      </c>
      <c r="D46" s="20">
        <v>226095.53019580003</v>
      </c>
      <c r="E46" s="20">
        <v>8388461.5521410946</v>
      </c>
      <c r="F46" s="20">
        <v>104727.58932899999</v>
      </c>
      <c r="G46" s="20">
        <v>278861.52881801955</v>
      </c>
      <c r="H46" s="20">
        <v>23304.490299799992</v>
      </c>
      <c r="I46" s="20">
        <v>1240371.767396</v>
      </c>
      <c r="J46" s="20">
        <v>3301.3702800000001</v>
      </c>
      <c r="K46" s="20">
        <v>2845.6354490000003</v>
      </c>
      <c r="L46" s="20">
        <v>2016.6442514</v>
      </c>
      <c r="M46" s="20">
        <v>28.570499000000005</v>
      </c>
      <c r="N46" s="20">
        <v>21.732047000000001</v>
      </c>
      <c r="O46" s="20">
        <v>3105.3971600000009</v>
      </c>
      <c r="P46" s="228">
        <v>3.9205589999999999</v>
      </c>
      <c r="Q46" s="41"/>
      <c r="R46" s="24"/>
      <c r="S46" s="23"/>
      <c r="T46" s="23"/>
      <c r="U46" s="23"/>
      <c r="V46" s="23"/>
      <c r="W46" s="23"/>
      <c r="X46" s="23"/>
      <c r="Y46" s="23"/>
      <c r="Z46" s="23"/>
    </row>
    <row r="47" spans="3:35" x14ac:dyDescent="0.25">
      <c r="C47" s="42" t="s">
        <v>24</v>
      </c>
      <c r="D47" s="43">
        <f t="shared" ref="D47:P47" si="2">+D46/D45-1</f>
        <v>2.3467553350455805E-2</v>
      </c>
      <c r="E47" s="43">
        <f>+E46/E45-1</f>
        <v>-5.6450367404528246E-2</v>
      </c>
      <c r="F47" s="44">
        <f>+F46/F45-1</f>
        <v>-0.13555914264884028</v>
      </c>
      <c r="G47" s="44">
        <f>+G46/G45-1</f>
        <v>-0.1129919611025787</v>
      </c>
      <c r="H47" s="44">
        <f t="shared" si="2"/>
        <v>-0.11093418964000445</v>
      </c>
      <c r="I47" s="43">
        <f t="shared" si="2"/>
        <v>1.8113977515133142</v>
      </c>
      <c r="J47" s="43">
        <f t="shared" si="2"/>
        <v>0.14985070509707077</v>
      </c>
      <c r="K47" s="43">
        <f t="shared" si="2"/>
        <v>-3.5523180353521644E-3</v>
      </c>
      <c r="L47" s="43">
        <f t="shared" si="2"/>
        <v>-0.18939072614478059</v>
      </c>
      <c r="M47" s="43">
        <f t="shared" si="2"/>
        <v>0.27322833505240696</v>
      </c>
      <c r="N47" s="43">
        <f t="shared" si="2"/>
        <v>-0.21455299462588717</v>
      </c>
      <c r="O47" s="43">
        <f t="shared" si="2"/>
        <v>-0.1913586048532403</v>
      </c>
      <c r="P47" s="45">
        <f t="shared" si="2"/>
        <v>6.2115410560148021E-2</v>
      </c>
      <c r="R47" s="24"/>
      <c r="S47" s="23"/>
      <c r="T47" s="23"/>
      <c r="U47" s="23"/>
      <c r="V47" s="23"/>
      <c r="W47" s="23"/>
      <c r="X47" s="23"/>
      <c r="Y47" s="23"/>
      <c r="Z47" s="23"/>
    </row>
    <row r="48" spans="3:35" x14ac:dyDescent="0.25">
      <c r="C48" s="33"/>
      <c r="D48" s="31"/>
      <c r="E48" s="31"/>
      <c r="F48" s="31"/>
      <c r="G48" s="31"/>
      <c r="H48" s="31"/>
      <c r="I48" s="31"/>
      <c r="J48" s="31"/>
      <c r="K48" s="31"/>
      <c r="L48" s="31"/>
      <c r="M48" s="31"/>
      <c r="N48" s="31"/>
      <c r="O48" s="31"/>
      <c r="P48" s="32"/>
      <c r="Q48" s="28"/>
      <c r="T48" s="29"/>
      <c r="U48" s="29"/>
      <c r="V48" s="29"/>
      <c r="W48" s="29"/>
      <c r="X48" s="29"/>
      <c r="Y48" s="29"/>
      <c r="Z48" s="29"/>
      <c r="AA48" s="29"/>
      <c r="AB48" s="23"/>
      <c r="AC48" s="23"/>
      <c r="AD48" s="23"/>
      <c r="AE48" s="23"/>
      <c r="AF48" s="23"/>
      <c r="AG48" s="23"/>
      <c r="AH48" s="23"/>
      <c r="AI48" s="23"/>
    </row>
    <row r="49" spans="3:35" x14ac:dyDescent="0.25">
      <c r="C49" s="34" t="s">
        <v>129</v>
      </c>
      <c r="D49" s="35"/>
      <c r="E49" s="35"/>
      <c r="F49" s="36"/>
      <c r="G49" s="35"/>
      <c r="H49" s="35"/>
      <c r="I49" s="35"/>
      <c r="J49" s="35"/>
      <c r="K49" s="35"/>
      <c r="L49" s="35"/>
      <c r="M49" s="35"/>
      <c r="N49" s="35"/>
      <c r="O49" s="35"/>
      <c r="P49" s="37"/>
      <c r="R49" s="24"/>
      <c r="S49" s="23"/>
      <c r="T49" s="23"/>
      <c r="U49" s="23"/>
      <c r="V49" s="23"/>
      <c r="W49" s="23"/>
      <c r="X49" s="23"/>
      <c r="Y49" s="23"/>
      <c r="Z49" s="23"/>
    </row>
    <row r="50" spans="3:35" ht="24" x14ac:dyDescent="0.25">
      <c r="C50" s="46" t="s">
        <v>135</v>
      </c>
      <c r="D50" s="20">
        <v>1107684.9226329206</v>
      </c>
      <c r="E50" s="20">
        <v>43546265.040167823</v>
      </c>
      <c r="F50" s="20">
        <v>580291.63455970702</v>
      </c>
      <c r="G50" s="20">
        <v>1491657.5026488262</v>
      </c>
      <c r="H50" s="20">
        <v>125692.44026631188</v>
      </c>
      <c r="I50" s="20">
        <v>5034155.2107239999</v>
      </c>
      <c r="J50" s="20">
        <v>13651.896939999999</v>
      </c>
      <c r="K50" s="20">
        <v>16783.118282436102</v>
      </c>
      <c r="L50" s="20">
        <v>11354.8670573</v>
      </c>
      <c r="M50" s="20">
        <v>106.7259878</v>
      </c>
      <c r="N50" s="20">
        <v>140.86709700000003</v>
      </c>
      <c r="O50" s="20">
        <v>14923.234393800003</v>
      </c>
      <c r="P50" s="194">
        <v>13.98395</v>
      </c>
      <c r="R50" s="24"/>
      <c r="S50" s="23"/>
      <c r="T50" s="23"/>
      <c r="U50" s="23"/>
      <c r="V50" s="23"/>
      <c r="W50" s="23"/>
      <c r="X50" s="23"/>
      <c r="Y50" s="23"/>
      <c r="Z50" s="23"/>
    </row>
    <row r="51" spans="3:35" ht="24" x14ac:dyDescent="0.25">
      <c r="C51" s="46" t="s">
        <v>136</v>
      </c>
      <c r="D51" s="20">
        <v>1144379.6294050366</v>
      </c>
      <c r="E51" s="20">
        <v>41631195.035801291</v>
      </c>
      <c r="F51" s="20">
        <v>542544.26986000186</v>
      </c>
      <c r="G51" s="20">
        <v>1463945.1797084627</v>
      </c>
      <c r="H51" s="20">
        <v>114861.42685171599</v>
      </c>
      <c r="I51" s="20">
        <v>5923400.1936400002</v>
      </c>
      <c r="J51" s="20">
        <v>14359.081065999999</v>
      </c>
      <c r="K51" s="20">
        <v>15747.955855511998</v>
      </c>
      <c r="L51" s="20">
        <v>9890.4476340000001</v>
      </c>
      <c r="M51" s="20">
        <v>115.06486459999999</v>
      </c>
      <c r="N51" s="20">
        <v>115.418733</v>
      </c>
      <c r="O51" s="20">
        <v>17104.362267700002</v>
      </c>
      <c r="P51" s="193">
        <v>21.775827000000003</v>
      </c>
      <c r="R51" s="24"/>
      <c r="S51" s="23"/>
      <c r="T51" s="23"/>
      <c r="U51" s="23"/>
      <c r="V51" s="23"/>
      <c r="W51" s="23"/>
      <c r="X51" s="23"/>
      <c r="Y51" s="23"/>
      <c r="Z51" s="23"/>
    </row>
    <row r="52" spans="3:35" x14ac:dyDescent="0.25">
      <c r="C52" s="47" t="s">
        <v>24</v>
      </c>
      <c r="D52" s="48">
        <f t="shared" ref="D52:P52" si="3">+D51/D50-1</f>
        <v>3.3127386698461381E-2</v>
      </c>
      <c r="E52" s="49">
        <f t="shared" si="3"/>
        <v>-4.3977824564289003E-2</v>
      </c>
      <c r="F52" s="48">
        <f t="shared" si="3"/>
        <v>-6.5048955476233572E-2</v>
      </c>
      <c r="G52" s="48">
        <f t="shared" si="3"/>
        <v>-1.8578207726071883E-2</v>
      </c>
      <c r="H52" s="48">
        <f t="shared" si="3"/>
        <v>-8.6170762471057039E-2</v>
      </c>
      <c r="I52" s="49">
        <f t="shared" si="3"/>
        <v>0.17664234527804945</v>
      </c>
      <c r="J52" s="49">
        <f t="shared" si="3"/>
        <v>5.1801162073525031E-2</v>
      </c>
      <c r="K52" s="49">
        <f t="shared" si="3"/>
        <v>-6.1678789930678324E-2</v>
      </c>
      <c r="L52" s="49">
        <f t="shared" si="3"/>
        <v>-0.12896843405652469</v>
      </c>
      <c r="M52" s="49">
        <f>+M51/M50-1</f>
        <v>7.8133517167596533E-2</v>
      </c>
      <c r="N52" s="48">
        <f>+N51/N50-1</f>
        <v>-0.18065513197876171</v>
      </c>
      <c r="O52" s="48">
        <f>+O51/O50-1</f>
        <v>0.14615651113850814</v>
      </c>
      <c r="P52" s="50">
        <f t="shared" si="3"/>
        <v>0.5572014345016969</v>
      </c>
      <c r="R52" s="24"/>
      <c r="S52" s="23"/>
      <c r="T52" s="23"/>
      <c r="U52" s="23"/>
      <c r="V52" s="23"/>
      <c r="W52" s="23"/>
      <c r="X52" s="23"/>
      <c r="Y52" s="23"/>
      <c r="Z52" s="23"/>
    </row>
    <row r="53" spans="3:35" x14ac:dyDescent="0.25">
      <c r="C53" s="33"/>
      <c r="D53" s="31"/>
      <c r="E53" s="31"/>
      <c r="F53" s="31"/>
      <c r="G53" s="31"/>
      <c r="H53" s="31"/>
      <c r="I53" s="31"/>
      <c r="J53" s="31"/>
      <c r="K53" s="31"/>
      <c r="L53" s="31"/>
      <c r="M53" s="31"/>
      <c r="N53" s="31"/>
      <c r="O53" s="31"/>
      <c r="P53" s="32"/>
      <c r="Q53" s="28"/>
      <c r="T53" s="29"/>
      <c r="U53" s="29"/>
      <c r="V53" s="29"/>
      <c r="W53" s="29"/>
      <c r="X53" s="29"/>
      <c r="Y53" s="29"/>
      <c r="Z53" s="29"/>
      <c r="AA53" s="29"/>
      <c r="AB53" s="23"/>
      <c r="AC53" s="23"/>
      <c r="AD53" s="23"/>
      <c r="AE53" s="23"/>
      <c r="AF53" s="23"/>
      <c r="AG53" s="23"/>
      <c r="AH53" s="23"/>
      <c r="AI53" s="23"/>
    </row>
    <row r="54" spans="3:35" x14ac:dyDescent="0.25">
      <c r="C54" s="34" t="s">
        <v>25</v>
      </c>
      <c r="D54" s="35"/>
      <c r="E54" s="35"/>
      <c r="F54" s="36"/>
      <c r="G54" s="35"/>
      <c r="H54" s="35"/>
      <c r="I54" s="35"/>
      <c r="J54" s="35"/>
      <c r="K54" s="35"/>
      <c r="L54" s="35"/>
      <c r="M54" s="35"/>
      <c r="N54" s="35"/>
      <c r="O54" s="35"/>
      <c r="P54" s="37"/>
      <c r="Q54" s="28"/>
      <c r="T54" s="29"/>
      <c r="U54" s="29"/>
      <c r="V54" s="29"/>
      <c r="W54" s="29"/>
      <c r="X54" s="29"/>
      <c r="Y54" s="29"/>
      <c r="Z54" s="29"/>
      <c r="AA54" s="29"/>
      <c r="AB54" s="23"/>
      <c r="AC54" s="23"/>
      <c r="AD54" s="23"/>
      <c r="AE54" s="23"/>
      <c r="AF54" s="23"/>
      <c r="AG54" s="23"/>
      <c r="AH54" s="23"/>
      <c r="AI54" s="23"/>
    </row>
    <row r="55" spans="3:35" ht="24" x14ac:dyDescent="0.25">
      <c r="C55" s="51" t="s">
        <v>123</v>
      </c>
      <c r="D55" s="20">
        <v>230069.71287500003</v>
      </c>
      <c r="E55" s="20">
        <v>8490035.788110001</v>
      </c>
      <c r="F55" s="20">
        <v>109969.57995599994</v>
      </c>
      <c r="G55" s="20">
        <v>305459.82966600015</v>
      </c>
      <c r="H55" s="20">
        <v>23631.853857999995</v>
      </c>
      <c r="I55" s="20">
        <v>1114153.7374539999</v>
      </c>
      <c r="J55" s="20">
        <v>3064.913102</v>
      </c>
      <c r="K55" s="20">
        <v>3178.8406869999999</v>
      </c>
      <c r="L55" s="20">
        <v>2173.9089790000003</v>
      </c>
      <c r="M55" s="20">
        <v>25.714176999999999</v>
      </c>
      <c r="N55" s="195">
        <v>22.187384000000002</v>
      </c>
      <c r="O55" s="20">
        <v>4010.9459770000003</v>
      </c>
      <c r="P55" s="229">
        <v>4.3102679999999998</v>
      </c>
      <c r="Q55" s="28"/>
      <c r="T55" s="29"/>
      <c r="U55" s="29"/>
      <c r="V55" s="29"/>
      <c r="W55" s="29"/>
      <c r="X55" s="29"/>
      <c r="Y55" s="29"/>
      <c r="Z55" s="29"/>
      <c r="AA55" s="29"/>
      <c r="AB55" s="23"/>
      <c r="AC55" s="23"/>
      <c r="AD55" s="23"/>
      <c r="AE55" s="23"/>
      <c r="AF55" s="23"/>
      <c r="AG55" s="23"/>
      <c r="AH55" s="23"/>
      <c r="AI55" s="23"/>
    </row>
    <row r="56" spans="3:35" ht="24" x14ac:dyDescent="0.25">
      <c r="C56" s="53" t="s">
        <v>134</v>
      </c>
      <c r="D56" s="20">
        <v>226095.53019580003</v>
      </c>
      <c r="E56" s="20">
        <v>8388461.5521410946</v>
      </c>
      <c r="F56" s="20">
        <v>104727.58932899999</v>
      </c>
      <c r="G56" s="20">
        <v>278861.52881801955</v>
      </c>
      <c r="H56" s="20">
        <v>23304.490299799992</v>
      </c>
      <c r="I56" s="20">
        <v>1240371.767396</v>
      </c>
      <c r="J56" s="20">
        <v>3301.3702800000001</v>
      </c>
      <c r="K56" s="20">
        <v>2845.6354490000003</v>
      </c>
      <c r="L56" s="20">
        <v>2016.6442514</v>
      </c>
      <c r="M56" s="20">
        <v>28.570499000000005</v>
      </c>
      <c r="N56" s="195">
        <v>21.732047000000001</v>
      </c>
      <c r="O56" s="20">
        <v>3105.3971600000009</v>
      </c>
      <c r="P56" s="228">
        <v>3.9205589999999999</v>
      </c>
      <c r="Q56" s="28"/>
      <c r="T56" s="29"/>
      <c r="U56" s="29"/>
      <c r="V56" s="29"/>
      <c r="W56" s="29"/>
      <c r="X56" s="29"/>
      <c r="Y56" s="29"/>
      <c r="Z56" s="29"/>
      <c r="AA56" s="29"/>
      <c r="AB56" s="23"/>
      <c r="AC56" s="23"/>
      <c r="AD56" s="23"/>
      <c r="AE56" s="23"/>
      <c r="AF56" s="23"/>
      <c r="AG56" s="23"/>
      <c r="AH56" s="23"/>
      <c r="AI56" s="23"/>
    </row>
    <row r="57" spans="3:35" x14ac:dyDescent="0.25">
      <c r="C57" s="54" t="s">
        <v>24</v>
      </c>
      <c r="D57" s="49">
        <f t="shared" ref="D57:M57" si="4">+D56/D55-1</f>
        <v>-1.7273819441671612E-2</v>
      </c>
      <c r="E57" s="49">
        <f t="shared" si="4"/>
        <v>-1.1963934959044242E-2</v>
      </c>
      <c r="F57" s="49">
        <f t="shared" si="4"/>
        <v>-4.7667642534392929E-2</v>
      </c>
      <c r="G57" s="49">
        <f t="shared" si="4"/>
        <v>-8.7076264257280767E-2</v>
      </c>
      <c r="H57" s="49">
        <f t="shared" si="4"/>
        <v>-1.385263975340556E-2</v>
      </c>
      <c r="I57" s="49">
        <f t="shared" si="4"/>
        <v>0.11328600865301253</v>
      </c>
      <c r="J57" s="49">
        <f t="shared" si="4"/>
        <v>7.7149716853538441E-2</v>
      </c>
      <c r="K57" s="49">
        <f t="shared" si="4"/>
        <v>-0.10481973486832985</v>
      </c>
      <c r="L57" s="49">
        <f t="shared" si="4"/>
        <v>-7.2341909950775496E-2</v>
      </c>
      <c r="M57" s="49">
        <f t="shared" si="4"/>
        <v>0.11107965850900103</v>
      </c>
      <c r="N57" s="49">
        <f>+N56/N55-1</f>
        <v>-2.0522338280168584E-2</v>
      </c>
      <c r="O57" s="49">
        <f>+O56/O55-1</f>
        <v>-0.2257693876189546</v>
      </c>
      <c r="P57" s="50">
        <f>+P56/P55-1</f>
        <v>-9.0414099540910176E-2</v>
      </c>
      <c r="Q57" s="28"/>
      <c r="T57" s="29"/>
      <c r="U57" s="29"/>
      <c r="V57" s="29"/>
      <c r="W57" s="29"/>
      <c r="X57" s="29"/>
      <c r="Y57" s="29"/>
      <c r="Z57" s="29"/>
      <c r="AA57" s="29"/>
      <c r="AB57" s="23"/>
      <c r="AC57" s="23"/>
      <c r="AD57" s="23"/>
      <c r="AE57" s="23"/>
      <c r="AF57" s="23"/>
      <c r="AG57" s="23"/>
      <c r="AH57" s="23"/>
      <c r="AI57" s="23"/>
    </row>
    <row r="58" spans="3:35" x14ac:dyDescent="0.25">
      <c r="C58" s="55"/>
      <c r="D58" s="56"/>
      <c r="E58" s="57"/>
      <c r="F58" s="56"/>
      <c r="G58" s="56"/>
      <c r="H58" s="56"/>
      <c r="I58" s="56"/>
      <c r="J58" s="56"/>
      <c r="K58" s="56"/>
      <c r="L58" s="56"/>
      <c r="M58" s="56"/>
      <c r="N58" s="56"/>
      <c r="O58" s="56"/>
      <c r="P58" s="58"/>
      <c r="R58" s="24"/>
      <c r="S58" s="23"/>
      <c r="T58" s="23"/>
      <c r="U58" s="23"/>
      <c r="V58" s="23"/>
      <c r="W58" s="23"/>
      <c r="X58" s="23"/>
      <c r="Y58" s="23"/>
      <c r="Z58" s="23"/>
    </row>
    <row r="59" spans="3:35" s="60" customFormat="1" ht="77.25" customHeight="1" x14ac:dyDescent="0.25">
      <c r="C59" s="237" t="s">
        <v>137</v>
      </c>
      <c r="D59" s="238"/>
      <c r="E59" s="238"/>
      <c r="F59" s="238"/>
      <c r="G59" s="238"/>
      <c r="H59" s="238"/>
      <c r="I59" s="238"/>
      <c r="J59" s="238"/>
      <c r="K59" s="238"/>
      <c r="L59" s="238"/>
      <c r="M59" s="238"/>
      <c r="N59" s="238"/>
      <c r="O59" s="238"/>
      <c r="P59" s="239"/>
      <c r="Q59" s="59"/>
    </row>
    <row r="60" spans="3:35" s="60" customFormat="1" ht="41.25" customHeight="1" x14ac:dyDescent="0.25">
      <c r="C60" s="240"/>
      <c r="D60" s="241"/>
      <c r="E60" s="241"/>
      <c r="F60" s="241"/>
      <c r="G60" s="241"/>
      <c r="H60" s="241"/>
      <c r="I60" s="241"/>
      <c r="J60" s="241"/>
      <c r="K60" s="241"/>
      <c r="L60" s="241"/>
      <c r="M60" s="241"/>
      <c r="N60" s="241"/>
      <c r="O60" s="241"/>
      <c r="P60" s="242"/>
      <c r="Q60" s="59"/>
    </row>
    <row r="61" spans="3:35" s="60" customFormat="1" ht="15" x14ac:dyDescent="0.25">
      <c r="Q61" s="59"/>
    </row>
    <row r="62" spans="3:35" ht="36.6" customHeight="1" x14ac:dyDescent="0.25">
      <c r="C62" s="243" t="s">
        <v>26</v>
      </c>
      <c r="D62" s="243"/>
      <c r="E62" s="243"/>
      <c r="F62" s="243"/>
      <c r="G62" s="243"/>
      <c r="H62" s="243"/>
      <c r="I62" s="243"/>
      <c r="J62" s="243"/>
      <c r="K62" s="243"/>
      <c r="L62" s="243"/>
      <c r="M62" s="243"/>
      <c r="N62" s="243"/>
      <c r="O62" s="243"/>
      <c r="P62" s="243"/>
    </row>
    <row r="63" spans="3:35" ht="36.75" customHeight="1" x14ac:dyDescent="0.25"/>
    <row r="64" spans="3:35" ht="36.75" customHeight="1" x14ac:dyDescent="0.25"/>
    <row r="65" spans="3:36" ht="36.75" customHeight="1" x14ac:dyDescent="0.25"/>
    <row r="66" spans="3:36" s="8" customFormat="1" ht="36.75" customHeight="1" x14ac:dyDescent="0.25">
      <c r="C66" s="38"/>
      <c r="D66" s="2"/>
      <c r="E66" s="2"/>
      <c r="F66" s="2"/>
      <c r="G66" s="2"/>
      <c r="H66" s="2"/>
      <c r="I66" s="2"/>
      <c r="J66" s="2"/>
      <c r="K66" s="2"/>
      <c r="L66" s="2"/>
      <c r="M66" s="2"/>
      <c r="N66" s="2"/>
      <c r="O66" s="2"/>
      <c r="P66" s="2"/>
      <c r="R66" s="2"/>
      <c r="S66" s="2"/>
      <c r="T66" s="2"/>
      <c r="U66" s="2"/>
      <c r="V66" s="2"/>
      <c r="W66" s="2"/>
      <c r="X66" s="2"/>
      <c r="Y66" s="2"/>
      <c r="Z66" s="2"/>
      <c r="AA66" s="2"/>
      <c r="AB66" s="2"/>
      <c r="AC66" s="2"/>
      <c r="AD66" s="2"/>
      <c r="AE66" s="2"/>
      <c r="AF66" s="2"/>
      <c r="AG66" s="2"/>
      <c r="AH66" s="2"/>
      <c r="AI66" s="2"/>
      <c r="AJ66" s="2"/>
    </row>
    <row r="67" spans="3:36" s="8" customFormat="1" ht="36.75" customHeight="1" x14ac:dyDescent="0.25">
      <c r="C67" s="38"/>
      <c r="D67" s="2"/>
      <c r="E67" s="2"/>
      <c r="F67" s="2"/>
      <c r="G67" s="2"/>
      <c r="H67" s="2"/>
      <c r="I67" s="2"/>
      <c r="J67" s="2"/>
      <c r="K67" s="2"/>
      <c r="L67" s="2"/>
      <c r="M67" s="2"/>
      <c r="N67" s="2"/>
      <c r="O67" s="2"/>
      <c r="P67" s="2"/>
      <c r="R67" s="2"/>
      <c r="S67" s="2"/>
      <c r="T67" s="2"/>
      <c r="U67" s="2"/>
      <c r="V67" s="2"/>
      <c r="W67" s="2"/>
      <c r="X67" s="2"/>
      <c r="Y67" s="2"/>
      <c r="Z67" s="2"/>
      <c r="AA67" s="2"/>
      <c r="AB67" s="2"/>
      <c r="AC67" s="2"/>
      <c r="AD67" s="2"/>
      <c r="AE67" s="2"/>
      <c r="AF67" s="2"/>
      <c r="AG67" s="2"/>
      <c r="AH67" s="2"/>
      <c r="AI67" s="2"/>
      <c r="AJ67" s="2"/>
    </row>
    <row r="68" spans="3:36" ht="36.75" customHeight="1" x14ac:dyDescent="0.25"/>
    <row r="69" spans="3:36" s="8" customFormat="1" ht="36.75" customHeight="1" x14ac:dyDescent="0.25">
      <c r="C69" s="2"/>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s="8" customFormat="1" x14ac:dyDescent="0.25">
      <c r="C70" s="38"/>
      <c r="D70" s="2"/>
      <c r="E70" s="2"/>
      <c r="F70" s="2"/>
      <c r="G70" s="2"/>
      <c r="H70" s="2"/>
      <c r="I70" s="2"/>
      <c r="J70" s="2"/>
      <c r="K70" s="61"/>
      <c r="L70" s="61"/>
      <c r="M70" s="61"/>
      <c r="N70" s="61"/>
      <c r="O70" s="61"/>
      <c r="P70" s="61"/>
      <c r="R70" s="2"/>
      <c r="S70" s="2"/>
      <c r="T70" s="2"/>
      <c r="U70" s="2"/>
      <c r="V70" s="2"/>
      <c r="W70" s="2"/>
      <c r="X70" s="2"/>
      <c r="Y70" s="2"/>
      <c r="Z70" s="2"/>
      <c r="AA70" s="2"/>
      <c r="AB70" s="2"/>
      <c r="AC70" s="2"/>
      <c r="AD70" s="2"/>
      <c r="AE70" s="2"/>
      <c r="AF70" s="2"/>
      <c r="AG70" s="2"/>
      <c r="AH70" s="2"/>
      <c r="AI70" s="2"/>
      <c r="AJ70" s="2"/>
    </row>
    <row r="71" spans="3:36" s="8" customFormat="1" ht="67.5" customHeight="1" x14ac:dyDescent="0.25">
      <c r="C71" s="231" t="s">
        <v>132</v>
      </c>
      <c r="D71" s="232"/>
      <c r="E71" s="232"/>
      <c r="F71" s="232"/>
      <c r="G71" s="232"/>
      <c r="H71" s="232"/>
      <c r="I71" s="232"/>
      <c r="J71" s="232"/>
      <c r="K71" s="232"/>
      <c r="L71" s="232"/>
      <c r="M71" s="232"/>
      <c r="N71" s="232"/>
      <c r="O71" s="232"/>
      <c r="P71" s="233"/>
      <c r="R71" s="2"/>
      <c r="S71" s="2"/>
      <c r="T71" s="2"/>
      <c r="U71" s="2"/>
      <c r="V71" s="2"/>
      <c r="W71" s="2"/>
      <c r="X71" s="2"/>
      <c r="Y71" s="2"/>
      <c r="Z71" s="2"/>
      <c r="AA71" s="2"/>
      <c r="AB71" s="2"/>
      <c r="AC71" s="2"/>
      <c r="AD71" s="2"/>
      <c r="AE71" s="2"/>
      <c r="AF71" s="2"/>
      <c r="AG71" s="2"/>
      <c r="AH71" s="2"/>
      <c r="AI71" s="2"/>
      <c r="AJ71" s="2"/>
    </row>
  </sheetData>
  <mergeCells count="7">
    <mergeCell ref="C71:P71"/>
    <mergeCell ref="C3:P3"/>
    <mergeCell ref="C4:P4"/>
    <mergeCell ref="C6:K6"/>
    <mergeCell ref="C59:P59"/>
    <mergeCell ref="C60:P60"/>
    <mergeCell ref="C62:P62"/>
  </mergeCells>
  <conditionalFormatting sqref="D52 O52 D58:P58">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7"/>
  <sheetViews>
    <sheetView showGridLines="0" view="pageBreakPreview" zoomScaleNormal="100" zoomScaleSheetLayoutView="100" workbookViewId="0"/>
  </sheetViews>
  <sheetFormatPr baseColWidth="10" defaultColWidth="11.5703125" defaultRowHeight="15" x14ac:dyDescent="0.25"/>
  <cols>
    <col min="1" max="2" width="3.7109375" style="60" customWidth="1"/>
    <col min="3" max="3" width="51.7109375" style="60" customWidth="1"/>
    <col min="4" max="4" width="14.42578125" style="60" customWidth="1"/>
    <col min="5" max="5" width="13.140625" style="60" customWidth="1"/>
    <col min="6" max="6" width="14" style="62" customWidth="1"/>
    <col min="7" max="8" width="12.42578125" style="60" customWidth="1"/>
    <col min="9" max="9" width="12" style="60" customWidth="1"/>
    <col min="10" max="10" width="10.85546875" style="63" customWidth="1"/>
    <col min="11" max="11" width="3.7109375" style="60" customWidth="1"/>
    <col min="12" max="16384" width="11.5703125" style="60"/>
  </cols>
  <sheetData>
    <row r="1" spans="2:17" ht="10.5" customHeight="1" x14ac:dyDescent="0.25"/>
    <row r="2" spans="2:17" ht="10.5" customHeight="1" x14ac:dyDescent="0.25"/>
    <row r="3" spans="2:17" ht="15.75" x14ac:dyDescent="0.25">
      <c r="C3" s="234" t="s">
        <v>0</v>
      </c>
      <c r="D3" s="234"/>
      <c r="E3" s="234"/>
      <c r="F3" s="234"/>
      <c r="G3" s="234"/>
      <c r="H3" s="234"/>
      <c r="I3" s="234"/>
      <c r="J3" s="234"/>
      <c r="K3" s="4"/>
      <c r="L3" s="4"/>
      <c r="M3" s="4"/>
      <c r="N3" s="4"/>
      <c r="O3" s="4"/>
      <c r="P3" s="4"/>
      <c r="Q3" s="4"/>
    </row>
    <row r="4" spans="2:17" x14ac:dyDescent="0.25">
      <c r="B4" s="235" t="s">
        <v>1</v>
      </c>
      <c r="C4" s="244"/>
      <c r="D4" s="244"/>
      <c r="E4" s="244"/>
      <c r="F4" s="244"/>
      <c r="G4" s="244"/>
      <c r="H4" s="244"/>
      <c r="I4" s="244"/>
      <c r="J4" s="244"/>
      <c r="K4" s="244"/>
      <c r="L4" s="4"/>
      <c r="M4" s="4"/>
      <c r="N4" s="4"/>
      <c r="O4" s="4"/>
      <c r="P4" s="4"/>
      <c r="Q4" s="4"/>
    </row>
    <row r="5" spans="2:17" x14ac:dyDescent="0.25">
      <c r="C5" s="217"/>
      <c r="D5" s="4"/>
      <c r="E5" s="4"/>
      <c r="F5" s="3"/>
      <c r="G5" s="4"/>
      <c r="H5" s="4"/>
      <c r="I5" s="4"/>
      <c r="J5" s="3"/>
      <c r="K5" s="4"/>
      <c r="L5" s="4"/>
      <c r="M5" s="4"/>
      <c r="N5" s="4"/>
      <c r="O5" s="4"/>
      <c r="P5" s="4"/>
      <c r="Q5" s="4"/>
    </row>
    <row r="6" spans="2:17" ht="15.75" x14ac:dyDescent="0.25">
      <c r="C6" s="64" t="s">
        <v>27</v>
      </c>
      <c r="D6" s="65"/>
      <c r="E6" s="65"/>
      <c r="F6" s="66"/>
    </row>
    <row r="7" spans="2:17" x14ac:dyDescent="0.25">
      <c r="C7" s="67" t="s">
        <v>28</v>
      </c>
      <c r="D7" s="68"/>
      <c r="E7" s="68"/>
      <c r="F7" s="69"/>
    </row>
    <row r="8" spans="2:17" ht="27" customHeight="1" x14ac:dyDescent="0.25">
      <c r="C8" s="70"/>
      <c r="D8" s="245" t="s">
        <v>130</v>
      </c>
      <c r="E8" s="246"/>
      <c r="F8" s="246"/>
      <c r="G8" s="247" t="s">
        <v>131</v>
      </c>
      <c r="H8" s="248"/>
      <c r="I8" s="248"/>
      <c r="J8" s="249"/>
    </row>
    <row r="9" spans="2:17" ht="25.5" customHeight="1" x14ac:dyDescent="0.25">
      <c r="C9" s="71" t="s">
        <v>29</v>
      </c>
      <c r="D9" s="96">
        <v>2025</v>
      </c>
      <c r="E9" s="95">
        <v>2026</v>
      </c>
      <c r="F9" s="137" t="s">
        <v>24</v>
      </c>
      <c r="G9" s="96">
        <v>2025</v>
      </c>
      <c r="H9" s="95">
        <v>2026</v>
      </c>
      <c r="I9" s="137" t="s">
        <v>24</v>
      </c>
      <c r="J9" s="138" t="s">
        <v>30</v>
      </c>
    </row>
    <row r="10" spans="2:17" ht="6.75" customHeight="1" x14ac:dyDescent="0.25">
      <c r="D10" s="63"/>
      <c r="E10" s="63"/>
      <c r="F10" s="63"/>
      <c r="G10" s="63"/>
      <c r="H10" s="63"/>
      <c r="I10" s="63"/>
    </row>
    <row r="11" spans="2:17" x14ac:dyDescent="0.25">
      <c r="C11" s="72" t="s">
        <v>31</v>
      </c>
      <c r="D11" s="106">
        <f>SUM(D12:D22)</f>
        <v>220911.28287911674</v>
      </c>
      <c r="E11" s="97">
        <f>SUM(E12:E22)</f>
        <v>226095.53019580003</v>
      </c>
      <c r="F11" s="107">
        <f t="shared" ref="F11:F74" si="0">(E11-D11)/D11</f>
        <v>2.3467553350455746E-2</v>
      </c>
      <c r="G11" s="106">
        <f>SUM(G12:G22)</f>
        <v>1107684.9226329206</v>
      </c>
      <c r="H11" s="97">
        <f>SUM(H12:H22)</f>
        <v>1144379.6294050363</v>
      </c>
      <c r="I11" s="107">
        <f t="shared" ref="I11:I74" si="1">(H11-G11)/G11</f>
        <v>3.3127386698461152E-2</v>
      </c>
      <c r="J11" s="108">
        <f>SUM(J12:J22)</f>
        <v>1.0000000000000002</v>
      </c>
    </row>
    <row r="12" spans="2:17" x14ac:dyDescent="0.25">
      <c r="B12" s="179"/>
      <c r="C12" s="204" t="s">
        <v>34</v>
      </c>
      <c r="D12" s="101">
        <v>22869.7837683</v>
      </c>
      <c r="E12" s="101">
        <v>38909.348321999998</v>
      </c>
      <c r="F12" s="109">
        <f t="shared" si="0"/>
        <v>0.70134307854421318</v>
      </c>
      <c r="G12" s="101">
        <v>141382.68205400999</v>
      </c>
      <c r="H12" s="101">
        <v>219393.09179470001</v>
      </c>
      <c r="I12" s="110">
        <f t="shared" si="1"/>
        <v>0.55176778801585513</v>
      </c>
      <c r="J12" s="111">
        <f>(H12/$H$11)</f>
        <v>0.19171355916983826</v>
      </c>
    </row>
    <row r="13" spans="2:17" x14ac:dyDescent="0.25">
      <c r="B13" s="179"/>
      <c r="C13" s="205" t="s">
        <v>33</v>
      </c>
      <c r="D13" s="101">
        <v>37606.23126</v>
      </c>
      <c r="E13" s="101">
        <v>35682.581969999999</v>
      </c>
      <c r="F13" s="112">
        <f t="shared" si="0"/>
        <v>-5.1152408139501539E-2</v>
      </c>
      <c r="G13" s="101">
        <v>172927.26968599999</v>
      </c>
      <c r="H13" s="101">
        <v>175044.75194399999</v>
      </c>
      <c r="I13" s="110">
        <f t="shared" si="1"/>
        <v>1.2244929685438923E-2</v>
      </c>
      <c r="J13" s="113">
        <f t="shared" ref="J13:J22" si="2">(H13/$H$11)</f>
        <v>0.15296038783476587</v>
      </c>
    </row>
    <row r="14" spans="2:17" x14ac:dyDescent="0.25">
      <c r="B14" s="179"/>
      <c r="C14" s="205" t="s">
        <v>72</v>
      </c>
      <c r="D14" s="101">
        <v>29366.061096899997</v>
      </c>
      <c r="E14" s="101">
        <v>30185.460516000003</v>
      </c>
      <c r="F14" s="112">
        <f t="shared" si="0"/>
        <v>2.7902939260264114E-2</v>
      </c>
      <c r="G14" s="101">
        <v>165032.41489009999</v>
      </c>
      <c r="H14" s="101">
        <v>159807.4526624</v>
      </c>
      <c r="I14" s="110">
        <f t="shared" si="1"/>
        <v>-3.1660217970993429E-2</v>
      </c>
      <c r="J14" s="113">
        <f t="shared" si="2"/>
        <v>0.13964548874876775</v>
      </c>
    </row>
    <row r="15" spans="2:17" x14ac:dyDescent="0.25">
      <c r="B15" s="179"/>
      <c r="C15" s="205" t="s">
        <v>32</v>
      </c>
      <c r="D15" s="101">
        <v>35899.974004992</v>
      </c>
      <c r="E15" s="101">
        <v>32284.818085999999</v>
      </c>
      <c r="F15" s="112">
        <f t="shared" si="0"/>
        <v>-0.10070079489442813</v>
      </c>
      <c r="G15" s="101">
        <v>175958.34487035201</v>
      </c>
      <c r="H15" s="101">
        <v>158477.756634032</v>
      </c>
      <c r="I15" s="110">
        <f t="shared" si="1"/>
        <v>-9.9345036742644346E-2</v>
      </c>
      <c r="J15" s="113">
        <f t="shared" si="2"/>
        <v>0.13848355262704623</v>
      </c>
    </row>
    <row r="16" spans="2:17" x14ac:dyDescent="0.25">
      <c r="B16" s="179"/>
      <c r="C16" s="205" t="s">
        <v>35</v>
      </c>
      <c r="D16" s="101">
        <v>26307.495842955799</v>
      </c>
      <c r="E16" s="101">
        <v>25134.648789999999</v>
      </c>
      <c r="F16" s="112">
        <f t="shared" si="0"/>
        <v>-4.4582238459988051E-2</v>
      </c>
      <c r="G16" s="101">
        <v>128626.2040777287</v>
      </c>
      <c r="H16" s="101">
        <v>123446.94089664699</v>
      </c>
      <c r="I16" s="110">
        <f t="shared" si="1"/>
        <v>-4.0266003480534079E-2</v>
      </c>
      <c r="J16" s="113">
        <f t="shared" si="2"/>
        <v>0.10787236833359846</v>
      </c>
    </row>
    <row r="17" spans="2:10" x14ac:dyDescent="0.25">
      <c r="B17" s="179"/>
      <c r="C17" s="205" t="s">
        <v>36</v>
      </c>
      <c r="D17" s="101">
        <v>20883.517599999999</v>
      </c>
      <c r="E17" s="101">
        <v>20029.431537</v>
      </c>
      <c r="F17" s="112">
        <f t="shared" si="0"/>
        <v>-4.089761501673448E-2</v>
      </c>
      <c r="G17" s="101">
        <v>100497.76383799998</v>
      </c>
      <c r="H17" s="101">
        <v>93624.825577000011</v>
      </c>
      <c r="I17" s="110">
        <f t="shared" si="1"/>
        <v>-6.8388967062779499E-2</v>
      </c>
      <c r="J17" s="113">
        <f t="shared" si="2"/>
        <v>8.1812733442027108E-2</v>
      </c>
    </row>
    <row r="18" spans="2:10" x14ac:dyDescent="0.25">
      <c r="B18" s="179"/>
      <c r="C18" s="205" t="s">
        <v>61</v>
      </c>
      <c r="D18" s="101">
        <v>11749.937243920001</v>
      </c>
      <c r="E18" s="101">
        <v>9575.3601820000003</v>
      </c>
      <c r="F18" s="112">
        <f t="shared" si="0"/>
        <v>-0.1850713767041807</v>
      </c>
      <c r="G18" s="101">
        <v>56880.222755979994</v>
      </c>
      <c r="H18" s="101">
        <v>44198.722900649998</v>
      </c>
      <c r="I18" s="110">
        <f t="shared" si="1"/>
        <v>-0.22295095273685001</v>
      </c>
      <c r="J18" s="113">
        <f t="shared" si="2"/>
        <v>3.8622430673315063E-2</v>
      </c>
    </row>
    <row r="19" spans="2:10" x14ac:dyDescent="0.25">
      <c r="B19" s="179"/>
      <c r="C19" s="205" t="s">
        <v>37</v>
      </c>
      <c r="D19" s="101">
        <v>9311.0890099999997</v>
      </c>
      <c r="E19" s="101">
        <v>8452.1153849999992</v>
      </c>
      <c r="F19" s="112">
        <f t="shared" si="0"/>
        <v>-9.2252756264865801E-2</v>
      </c>
      <c r="G19" s="101">
        <v>37061.141774000003</v>
      </c>
      <c r="H19" s="101">
        <v>39843.366721400002</v>
      </c>
      <c r="I19" s="110">
        <f t="shared" si="1"/>
        <v>7.5071215138650949E-2</v>
      </c>
      <c r="J19" s="113">
        <f t="shared" si="2"/>
        <v>3.4816564099550244E-2</v>
      </c>
    </row>
    <row r="20" spans="2:10" x14ac:dyDescent="0.25">
      <c r="B20" s="179"/>
      <c r="C20" s="205" t="s">
        <v>38</v>
      </c>
      <c r="D20" s="101">
        <v>7747.9244146800002</v>
      </c>
      <c r="E20" s="101">
        <v>6074.4427489999998</v>
      </c>
      <c r="F20" s="112">
        <f t="shared" si="0"/>
        <v>-0.21599096430384027</v>
      </c>
      <c r="G20" s="101">
        <v>35751.250195430002</v>
      </c>
      <c r="H20" s="101">
        <v>33919.021018940002</v>
      </c>
      <c r="I20" s="110">
        <f t="shared" si="1"/>
        <v>-5.1249373559647142E-2</v>
      </c>
      <c r="J20" s="113">
        <f t="shared" si="2"/>
        <v>2.963965815834604E-2</v>
      </c>
    </row>
    <row r="21" spans="2:10" x14ac:dyDescent="0.25">
      <c r="B21" s="179"/>
      <c r="C21" s="205" t="s">
        <v>39</v>
      </c>
      <c r="D21" s="101">
        <v>4374.5448704</v>
      </c>
      <c r="E21" s="101">
        <v>4414.9516720000001</v>
      </c>
      <c r="F21" s="112">
        <f t="shared" si="0"/>
        <v>9.2368012666664886E-3</v>
      </c>
      <c r="G21" s="101">
        <v>20645.160939600002</v>
      </c>
      <c r="H21" s="101">
        <v>19501.7417996</v>
      </c>
      <c r="I21" s="110">
        <f t="shared" si="1"/>
        <v>-5.5384365534626605E-2</v>
      </c>
      <c r="J21" s="113">
        <f t="shared" si="2"/>
        <v>1.7041322039032598E-2</v>
      </c>
    </row>
    <row r="22" spans="2:10" x14ac:dyDescent="0.2">
      <c r="B22" s="179"/>
      <c r="C22" s="206" t="s">
        <v>124</v>
      </c>
      <c r="D22" s="101">
        <v>14794.723766969002</v>
      </c>
      <c r="E22" s="101">
        <v>15352.370986799999</v>
      </c>
      <c r="F22" s="114">
        <f t="shared" si="0"/>
        <v>3.7692303595151334E-2</v>
      </c>
      <c r="G22" s="101">
        <v>72922.467551719994</v>
      </c>
      <c r="H22" s="101">
        <v>77121.957455667478</v>
      </c>
      <c r="I22" s="110">
        <f t="shared" si="1"/>
        <v>5.7588422950293212E-2</v>
      </c>
      <c r="J22" s="123">
        <f t="shared" si="2"/>
        <v>6.739193487371252E-2</v>
      </c>
    </row>
    <row r="23" spans="2:10" x14ac:dyDescent="0.25">
      <c r="B23" s="179"/>
      <c r="C23" s="178" t="s">
        <v>40</v>
      </c>
      <c r="D23" s="106">
        <f>SUM(D24:D34)</f>
        <v>8890323.5848510824</v>
      </c>
      <c r="E23" s="97">
        <f>SUM(E24:E34)</f>
        <v>8388461.5521410983</v>
      </c>
      <c r="F23" s="107">
        <f t="shared" si="0"/>
        <v>-5.6450367404528003E-2</v>
      </c>
      <c r="G23" s="106">
        <f>SUM(G24:G34)</f>
        <v>43546265.040167823</v>
      </c>
      <c r="H23" s="97">
        <f>SUM(H24:H34)</f>
        <v>41631195.035801291</v>
      </c>
      <c r="I23" s="107">
        <f t="shared" si="1"/>
        <v>-4.3977824564289003E-2</v>
      </c>
      <c r="J23" s="108">
        <f>SUM(J24:J34)</f>
        <v>0.99999999999999978</v>
      </c>
    </row>
    <row r="24" spans="2:10" x14ac:dyDescent="0.25">
      <c r="B24" s="179"/>
      <c r="C24" s="207" t="s">
        <v>41</v>
      </c>
      <c r="D24" s="101">
        <v>1376759.8884000001</v>
      </c>
      <c r="E24" s="101">
        <v>1311322.1984999999</v>
      </c>
      <c r="F24" s="109">
        <f t="shared" si="0"/>
        <v>-4.7530212385871039E-2</v>
      </c>
      <c r="G24" s="101">
        <v>5837177.7465000004</v>
      </c>
      <c r="H24" s="101">
        <v>7110575.9670000002</v>
      </c>
      <c r="I24" s="109">
        <f t="shared" si="1"/>
        <v>0.21815306571117102</v>
      </c>
      <c r="J24" s="111">
        <f>(H24/$H$23)</f>
        <v>0.1707992278599057</v>
      </c>
    </row>
    <row r="25" spans="2:10" x14ac:dyDescent="0.25">
      <c r="B25" s="179"/>
      <c r="C25" s="208" t="s">
        <v>42</v>
      </c>
      <c r="D25" s="101">
        <v>703094.9375</v>
      </c>
      <c r="E25" s="101">
        <v>676237.08086999995</v>
      </c>
      <c r="F25" s="112">
        <f t="shared" si="0"/>
        <v>-3.8199473780167921E-2</v>
      </c>
      <c r="G25" s="101">
        <v>3626617.09815</v>
      </c>
      <c r="H25" s="101">
        <v>3284997.4596800003</v>
      </c>
      <c r="I25" s="112">
        <f t="shared" si="1"/>
        <v>-9.4197878966672755E-2</v>
      </c>
      <c r="J25" s="113">
        <f t="shared" ref="J25:J34" si="3">(H25/$H$23)</f>
        <v>7.8907114168954878E-2</v>
      </c>
    </row>
    <row r="26" spans="2:10" x14ac:dyDescent="0.25">
      <c r="B26" s="179"/>
      <c r="C26" s="208" t="s">
        <v>44</v>
      </c>
      <c r="D26" s="101">
        <v>465360.174</v>
      </c>
      <c r="E26" s="101">
        <v>449160.39</v>
      </c>
      <c r="F26" s="112">
        <f t="shared" si="0"/>
        <v>-3.481128146561159E-2</v>
      </c>
      <c r="G26" s="101">
        <v>2243516.2379999999</v>
      </c>
      <c r="H26" s="101">
        <v>2065781.1510000001</v>
      </c>
      <c r="I26" s="112">
        <f t="shared" si="1"/>
        <v>-7.922166284762136E-2</v>
      </c>
      <c r="J26" s="113">
        <f t="shared" si="3"/>
        <v>4.9620990923356978E-2</v>
      </c>
    </row>
    <row r="27" spans="2:10" x14ac:dyDescent="0.25">
      <c r="B27" s="179"/>
      <c r="C27" s="208" t="s">
        <v>45</v>
      </c>
      <c r="D27" s="101">
        <v>440429.76</v>
      </c>
      <c r="E27" s="101">
        <v>436935.89199999999</v>
      </c>
      <c r="F27" s="112">
        <f t="shared" si="0"/>
        <v>-7.9328608493668025E-3</v>
      </c>
      <c r="G27" s="101">
        <v>2139697.537</v>
      </c>
      <c r="H27" s="101">
        <v>1906408.1570000001</v>
      </c>
      <c r="I27" s="112">
        <f t="shared" si="1"/>
        <v>-0.10902913891609527</v>
      </c>
      <c r="J27" s="113">
        <f t="shared" si="3"/>
        <v>4.5792780038155512E-2</v>
      </c>
    </row>
    <row r="28" spans="2:10" x14ac:dyDescent="0.25">
      <c r="B28" s="179"/>
      <c r="C28" s="208" t="s">
        <v>49</v>
      </c>
      <c r="D28" s="101">
        <v>199456.50149512</v>
      </c>
      <c r="E28" s="101">
        <v>330992.65424300003</v>
      </c>
      <c r="F28" s="112">
        <f t="shared" si="0"/>
        <v>0.65947287635092833</v>
      </c>
      <c r="G28" s="101">
        <v>1305083.518383415</v>
      </c>
      <c r="H28" s="101">
        <v>1665032.554303572</v>
      </c>
      <c r="I28" s="112">
        <f t="shared" si="1"/>
        <v>0.27580536482908002</v>
      </c>
      <c r="J28" s="113">
        <f t="shared" si="3"/>
        <v>3.9994829667313311E-2</v>
      </c>
    </row>
    <row r="29" spans="2:10" x14ac:dyDescent="0.25">
      <c r="B29" s="179"/>
      <c r="C29" s="208" t="s">
        <v>47</v>
      </c>
      <c r="D29" s="101">
        <v>271087.10904687498</v>
      </c>
      <c r="E29" s="101">
        <v>282968.05254399998</v>
      </c>
      <c r="F29" s="112">
        <f t="shared" si="0"/>
        <v>4.3827032347268903E-2</v>
      </c>
      <c r="G29" s="101">
        <v>1593948.142581823</v>
      </c>
      <c r="H29" s="101">
        <v>1639415.0293573383</v>
      </c>
      <c r="I29" s="112">
        <f t="shared" si="1"/>
        <v>2.8524696356726862E-2</v>
      </c>
      <c r="J29" s="113">
        <f t="shared" si="3"/>
        <v>3.9379485214092506E-2</v>
      </c>
    </row>
    <row r="30" spans="2:10" x14ac:dyDescent="0.25">
      <c r="B30" s="179"/>
      <c r="C30" s="208" t="s">
        <v>46</v>
      </c>
      <c r="D30" s="101">
        <v>344302.92</v>
      </c>
      <c r="E30" s="101">
        <v>295008.84000000003</v>
      </c>
      <c r="F30" s="112">
        <f t="shared" si="0"/>
        <v>-0.14317067075701814</v>
      </c>
      <c r="G30" s="101">
        <v>1833315.8299999998</v>
      </c>
      <c r="H30" s="101">
        <v>1602144.84</v>
      </c>
      <c r="I30" s="112">
        <f t="shared" si="1"/>
        <v>-0.12609447113103245</v>
      </c>
      <c r="J30" s="113">
        <f t="shared" si="3"/>
        <v>3.8484238528877557E-2</v>
      </c>
    </row>
    <row r="31" spans="2:10" x14ac:dyDescent="0.25">
      <c r="B31" s="179"/>
      <c r="C31" s="208" t="s">
        <v>48</v>
      </c>
      <c r="D31" s="101">
        <v>371979.10943800001</v>
      </c>
      <c r="E31" s="101">
        <v>223529.1189</v>
      </c>
      <c r="F31" s="112">
        <f t="shared" si="0"/>
        <v>-0.39908152574020572</v>
      </c>
      <c r="G31" s="101">
        <v>1592851.255539</v>
      </c>
      <c r="H31" s="101">
        <v>1291412.3183050002</v>
      </c>
      <c r="I31" s="112">
        <f t="shared" si="1"/>
        <v>-0.18924487530506848</v>
      </c>
      <c r="J31" s="189">
        <f t="shared" si="3"/>
        <v>3.1020303817712494E-2</v>
      </c>
    </row>
    <row r="32" spans="2:10" x14ac:dyDescent="0.25">
      <c r="B32" s="179"/>
      <c r="C32" s="208" t="s">
        <v>140</v>
      </c>
      <c r="D32" s="101">
        <v>482739.60361999995</v>
      </c>
      <c r="E32" s="101">
        <v>303978.18748999998</v>
      </c>
      <c r="F32" s="112">
        <f t="shared" si="0"/>
        <v>-0.37030609212397725</v>
      </c>
      <c r="G32" s="101">
        <v>2469446.3604800003</v>
      </c>
      <c r="H32" s="101">
        <v>1272838.53412</v>
      </c>
      <c r="I32" s="112">
        <f t="shared" si="1"/>
        <v>-0.48456522300302518</v>
      </c>
      <c r="J32" s="189">
        <f t="shared" si="3"/>
        <v>3.0574153180695528E-2</v>
      </c>
    </row>
    <row r="33" spans="2:10" x14ac:dyDescent="0.25">
      <c r="B33" s="179"/>
      <c r="C33" s="208" t="s">
        <v>125</v>
      </c>
      <c r="D33" s="101">
        <v>236407.11415199999</v>
      </c>
      <c r="E33" s="101">
        <v>274843.10704199999</v>
      </c>
      <c r="F33" s="112">
        <f t="shared" si="0"/>
        <v>0.16258390965885755</v>
      </c>
      <c r="G33" s="101">
        <v>1109630.8194479998</v>
      </c>
      <c r="H33" s="101">
        <v>1253253.1989179999</v>
      </c>
      <c r="I33" s="112">
        <f t="shared" si="1"/>
        <v>0.12943257969479149</v>
      </c>
      <c r="J33" s="113">
        <f t="shared" si="3"/>
        <v>3.0103704633994973E-2</v>
      </c>
    </row>
    <row r="34" spans="2:10" x14ac:dyDescent="0.2">
      <c r="B34" s="179"/>
      <c r="C34" s="209" t="s">
        <v>141</v>
      </c>
      <c r="D34" s="101">
        <v>3998706.4671990867</v>
      </c>
      <c r="E34" s="101">
        <v>3803486.0305520981</v>
      </c>
      <c r="F34" s="116">
        <f t="shared" si="0"/>
        <v>-4.8820897019663391E-2</v>
      </c>
      <c r="G34" s="101">
        <v>19794980.494085588</v>
      </c>
      <c r="H34" s="101">
        <v>18539335.826117374</v>
      </c>
      <c r="I34" s="116">
        <f t="shared" si="1"/>
        <v>-6.3432478165026701E-2</v>
      </c>
      <c r="J34" s="123">
        <f t="shared" si="3"/>
        <v>0.44532317196694038</v>
      </c>
    </row>
    <row r="35" spans="2:10" x14ac:dyDescent="0.25">
      <c r="C35" s="75" t="s">
        <v>50</v>
      </c>
      <c r="D35" s="106">
        <f>SUM(D36:D46)</f>
        <v>121150.670330309</v>
      </c>
      <c r="E35" s="97">
        <f>SUM(E36:E46)</f>
        <v>104727.58932899999</v>
      </c>
      <c r="F35" s="107">
        <f t="shared" si="0"/>
        <v>-0.1355591426488405</v>
      </c>
      <c r="G35" s="106">
        <f>SUM(G36:G46)</f>
        <v>580291.63455970702</v>
      </c>
      <c r="H35" s="97">
        <f>SUM(H36:H46)</f>
        <v>542544.26986000186</v>
      </c>
      <c r="I35" s="107">
        <f t="shared" si="1"/>
        <v>-6.5048955476233516E-2</v>
      </c>
      <c r="J35" s="108">
        <f>SUM(J36:J46)</f>
        <v>1</v>
      </c>
    </row>
    <row r="36" spans="2:10" x14ac:dyDescent="0.25">
      <c r="B36" s="179"/>
      <c r="C36" s="207" t="s">
        <v>34</v>
      </c>
      <c r="D36" s="101">
        <v>44762.265304799999</v>
      </c>
      <c r="E36" s="101">
        <v>23806.758841999999</v>
      </c>
      <c r="F36" s="109">
        <f t="shared" si="0"/>
        <v>-0.46815116080715591</v>
      </c>
      <c r="G36" s="101">
        <v>200904.46960215003</v>
      </c>
      <c r="H36" s="101">
        <v>136388.79612509999</v>
      </c>
      <c r="I36" s="119">
        <f t="shared" si="1"/>
        <v>-0.32112612330034296</v>
      </c>
      <c r="J36" s="120">
        <f>(H36/$H$35)</f>
        <v>0.25138740505045565</v>
      </c>
    </row>
    <row r="37" spans="2:10" x14ac:dyDescent="0.25">
      <c r="B37" s="179"/>
      <c r="C37" s="208" t="s">
        <v>51</v>
      </c>
      <c r="D37" s="101">
        <v>12236.205595854</v>
      </c>
      <c r="E37" s="101">
        <v>12003.039167999999</v>
      </c>
      <c r="F37" s="112">
        <f t="shared" si="0"/>
        <v>-1.9055451955874703E-2</v>
      </c>
      <c r="G37" s="101">
        <v>66794.963716993996</v>
      </c>
      <c r="H37" s="101">
        <v>59797.464952530005</v>
      </c>
      <c r="I37" s="121">
        <f t="shared" si="1"/>
        <v>-0.10476087380048513</v>
      </c>
      <c r="J37" s="122">
        <f t="shared" ref="J37:J46" si="4">(H37/$H$35)</f>
        <v>0.11021674778347608</v>
      </c>
    </row>
    <row r="38" spans="2:10" x14ac:dyDescent="0.25">
      <c r="B38" s="179"/>
      <c r="C38" s="208" t="s">
        <v>52</v>
      </c>
      <c r="D38" s="101">
        <v>7744.1549999999997</v>
      </c>
      <c r="E38" s="101">
        <v>8302.2541000000001</v>
      </c>
      <c r="F38" s="112">
        <f t="shared" si="0"/>
        <v>7.2067139668562985E-2</v>
      </c>
      <c r="G38" s="101">
        <v>35012.745900000002</v>
      </c>
      <c r="H38" s="101">
        <v>38622.537599999996</v>
      </c>
      <c r="I38" s="121">
        <f t="shared" si="1"/>
        <v>0.10309936016757812</v>
      </c>
      <c r="J38" s="122">
        <f t="shared" si="4"/>
        <v>7.1187808526604029E-2</v>
      </c>
    </row>
    <row r="39" spans="2:10" x14ac:dyDescent="0.25">
      <c r="B39" s="179"/>
      <c r="C39" s="208" t="s">
        <v>54</v>
      </c>
      <c r="D39" s="101">
        <v>4428.0023440000004</v>
      </c>
      <c r="E39" s="101">
        <v>4234.2587960000001</v>
      </c>
      <c r="F39" s="112">
        <f t="shared" si="0"/>
        <v>-4.3754165636909689E-2</v>
      </c>
      <c r="G39" s="101">
        <v>22653.612092000003</v>
      </c>
      <c r="H39" s="101">
        <v>28046.706709999999</v>
      </c>
      <c r="I39" s="121">
        <f t="shared" si="1"/>
        <v>0.23806775696951821</v>
      </c>
      <c r="J39" s="122">
        <f t="shared" si="4"/>
        <v>5.1694780072485458E-2</v>
      </c>
    </row>
    <row r="40" spans="2:10" x14ac:dyDescent="0.25">
      <c r="B40" s="179"/>
      <c r="C40" s="208" t="s">
        <v>36</v>
      </c>
      <c r="D40" s="101">
        <v>4593.2453599999999</v>
      </c>
      <c r="E40" s="101">
        <v>4528.3672829999996</v>
      </c>
      <c r="F40" s="121">
        <f t="shared" si="0"/>
        <v>-1.4124670448695626E-2</v>
      </c>
      <c r="G40" s="101">
        <v>20538.220680999999</v>
      </c>
      <c r="H40" s="101">
        <v>25748.687620000001</v>
      </c>
      <c r="I40" s="121">
        <f t="shared" si="1"/>
        <v>0.25369612197322566</v>
      </c>
      <c r="J40" s="122">
        <f t="shared" si="4"/>
        <v>4.7459145825361294E-2</v>
      </c>
    </row>
    <row r="41" spans="2:10" x14ac:dyDescent="0.25">
      <c r="B41" s="179"/>
      <c r="C41" s="208" t="s">
        <v>56</v>
      </c>
      <c r="D41" s="101">
        <v>4299.7074195999994</v>
      </c>
      <c r="E41" s="101">
        <v>4760.8057909999998</v>
      </c>
      <c r="F41" s="121">
        <f t="shared" si="0"/>
        <v>0.10723947617879921</v>
      </c>
      <c r="G41" s="101">
        <v>20324.581449700003</v>
      </c>
      <c r="H41" s="101">
        <v>24301.878294099999</v>
      </c>
      <c r="I41" s="121">
        <f t="shared" si="1"/>
        <v>0.19568899139414761</v>
      </c>
      <c r="J41" s="122">
        <f t="shared" si="4"/>
        <v>4.4792433805209766E-2</v>
      </c>
    </row>
    <row r="42" spans="2:10" x14ac:dyDescent="0.25">
      <c r="B42" s="179"/>
      <c r="C42" s="208" t="s">
        <v>119</v>
      </c>
      <c r="D42" s="101">
        <v>1929.8565226000001</v>
      </c>
      <c r="E42" s="101">
        <v>4059.6079329999998</v>
      </c>
      <c r="F42" s="121">
        <f t="shared" si="0"/>
        <v>1.1035801809404417</v>
      </c>
      <c r="G42" s="101">
        <v>14750.837446400001</v>
      </c>
      <c r="H42" s="101">
        <v>23918.640478499998</v>
      </c>
      <c r="I42" s="121">
        <f t="shared" si="1"/>
        <v>0.62151068137066579</v>
      </c>
      <c r="J42" s="122">
        <f t="shared" si="4"/>
        <v>4.4086062294367179E-2</v>
      </c>
    </row>
    <row r="43" spans="2:10" x14ac:dyDescent="0.25">
      <c r="B43" s="179"/>
      <c r="C43" s="208" t="s">
        <v>57</v>
      </c>
      <c r="D43" s="101">
        <v>3603.3656768800001</v>
      </c>
      <c r="E43" s="101">
        <v>5200.3459249999996</v>
      </c>
      <c r="F43" s="121">
        <f t="shared" si="0"/>
        <v>0.44319128040947436</v>
      </c>
      <c r="G43" s="101">
        <v>16920.69288405</v>
      </c>
      <c r="H43" s="101">
        <v>22343.9263661</v>
      </c>
      <c r="I43" s="121">
        <f t="shared" si="1"/>
        <v>0.32050894837540123</v>
      </c>
      <c r="J43" s="122">
        <f t="shared" si="4"/>
        <v>4.1183600320515094E-2</v>
      </c>
    </row>
    <row r="44" spans="2:10" x14ac:dyDescent="0.25">
      <c r="B44" s="179"/>
      <c r="C44" s="208" t="s">
        <v>53</v>
      </c>
      <c r="D44" s="101">
        <v>5458.0419779999993</v>
      </c>
      <c r="E44" s="101">
        <v>5099.0879879999993</v>
      </c>
      <c r="F44" s="121">
        <f t="shared" si="0"/>
        <v>-6.5766073519927776E-2</v>
      </c>
      <c r="G44" s="101">
        <v>23151.11868</v>
      </c>
      <c r="H44" s="101">
        <v>19921.812890000001</v>
      </c>
      <c r="I44" s="121">
        <f t="shared" si="1"/>
        <v>-0.13948811004065045</v>
      </c>
      <c r="J44" s="122">
        <f t="shared" si="4"/>
        <v>3.6719239326111812E-2</v>
      </c>
    </row>
    <row r="45" spans="2:10" x14ac:dyDescent="0.25">
      <c r="B45" s="179"/>
      <c r="C45" s="208" t="s">
        <v>120</v>
      </c>
      <c r="D45" s="101">
        <v>2564.9178025000001</v>
      </c>
      <c r="E45" s="101">
        <v>3155.7183340000001</v>
      </c>
      <c r="F45" s="121">
        <f t="shared" si="0"/>
        <v>0.2303389726267846</v>
      </c>
      <c r="G45" s="101">
        <v>17138.154748200002</v>
      </c>
      <c r="H45" s="101">
        <v>17493.110202600001</v>
      </c>
      <c r="I45" s="121">
        <f t="shared" si="1"/>
        <v>2.0711416113060765E-2</v>
      </c>
      <c r="J45" s="122">
        <f t="shared" si="4"/>
        <v>3.2242733311170946E-2</v>
      </c>
    </row>
    <row r="46" spans="2:10" x14ac:dyDescent="0.2">
      <c r="B46" s="179"/>
      <c r="C46" s="210" t="s">
        <v>142</v>
      </c>
      <c r="D46" s="101">
        <v>29530.907326075005</v>
      </c>
      <c r="E46" s="101">
        <v>29577.345168999997</v>
      </c>
      <c r="F46" s="116">
        <f>(E46-D46)/D46</f>
        <v>1.5725166318878553E-3</v>
      </c>
      <c r="G46" s="125">
        <v>142102.237359213</v>
      </c>
      <c r="H46" s="125">
        <v>145960.70862107194</v>
      </c>
      <c r="I46" s="114">
        <f t="shared" si="1"/>
        <v>2.7152783330957043E-2</v>
      </c>
      <c r="J46" s="123">
        <f t="shared" si="4"/>
        <v>0.26903004368424283</v>
      </c>
    </row>
    <row r="47" spans="2:10" x14ac:dyDescent="0.25">
      <c r="B47" s="179"/>
      <c r="C47" s="181" t="s">
        <v>58</v>
      </c>
      <c r="D47" s="97">
        <f>SUM(D48:D58)</f>
        <v>314384.44364568911</v>
      </c>
      <c r="E47" s="97">
        <f>SUM(E48:E58)</f>
        <v>278861.52881801961</v>
      </c>
      <c r="F47" s="180">
        <f t="shared" si="0"/>
        <v>-0.11299196110257856</v>
      </c>
      <c r="G47" s="106">
        <f>SUM(G48:G58)</f>
        <v>1491657.5026488262</v>
      </c>
      <c r="H47" s="97">
        <f>SUM(H48:H58)</f>
        <v>1463945.1797084631</v>
      </c>
      <c r="I47" s="107">
        <f t="shared" si="1"/>
        <v>-1.8578207726071595E-2</v>
      </c>
      <c r="J47" s="108">
        <f>SUM(J48:J58)</f>
        <v>1</v>
      </c>
    </row>
    <row r="48" spans="2:10" x14ac:dyDescent="0.25">
      <c r="B48" s="179"/>
      <c r="C48" s="204" t="s">
        <v>34</v>
      </c>
      <c r="D48" s="101">
        <v>49160.051878448896</v>
      </c>
      <c r="E48" s="101">
        <v>40825.520420000001</v>
      </c>
      <c r="F48" s="109">
        <f t="shared" si="0"/>
        <v>-0.16953870347933139</v>
      </c>
      <c r="G48" s="101">
        <v>202610.61289016571</v>
      </c>
      <c r="H48" s="101">
        <v>234016.53666052537</v>
      </c>
      <c r="I48" s="112">
        <f t="shared" si="1"/>
        <v>0.15500631147779345</v>
      </c>
      <c r="J48" s="111">
        <f>(H48/$H$47)</f>
        <v>0.15985334690410233</v>
      </c>
    </row>
    <row r="49" spans="2:10" x14ac:dyDescent="0.25">
      <c r="B49" s="179"/>
      <c r="C49" s="205" t="s">
        <v>59</v>
      </c>
      <c r="D49" s="101">
        <v>36693.714781364506</v>
      </c>
      <c r="E49" s="101">
        <v>31420.016371019556</v>
      </c>
      <c r="F49" s="112">
        <f t="shared" si="0"/>
        <v>-0.1437221181275242</v>
      </c>
      <c r="G49" s="101">
        <v>165866.28784762349</v>
      </c>
      <c r="H49" s="101">
        <v>170272.51499876613</v>
      </c>
      <c r="I49" s="112">
        <f t="shared" si="1"/>
        <v>2.6564934974553173E-2</v>
      </c>
      <c r="J49" s="113">
        <f t="shared" ref="J49:J58" si="5">(H49/$H$47)</f>
        <v>0.11631071802338595</v>
      </c>
    </row>
    <row r="50" spans="2:10" x14ac:dyDescent="0.25">
      <c r="B50" s="179"/>
      <c r="C50" s="205" t="s">
        <v>36</v>
      </c>
      <c r="D50" s="101">
        <v>20518.208478930301</v>
      </c>
      <c r="E50" s="101">
        <v>16853.937921000001</v>
      </c>
      <c r="F50" s="112">
        <f t="shared" si="0"/>
        <v>-0.17858628162848914</v>
      </c>
      <c r="G50" s="101">
        <v>96828.659949105699</v>
      </c>
      <c r="H50" s="101">
        <v>87362.697428798216</v>
      </c>
      <c r="I50" s="112">
        <f t="shared" si="1"/>
        <v>-9.7759924853683872E-2</v>
      </c>
      <c r="J50" s="113">
        <f t="shared" si="5"/>
        <v>5.9676208262249293E-2</v>
      </c>
    </row>
    <row r="51" spans="2:10" x14ac:dyDescent="0.25">
      <c r="B51" s="179"/>
      <c r="C51" s="205" t="s">
        <v>33</v>
      </c>
      <c r="D51" s="101">
        <v>13706.9416172361</v>
      </c>
      <c r="E51" s="101">
        <v>13438.872767999999</v>
      </c>
      <c r="F51" s="112">
        <f t="shared" si="0"/>
        <v>-1.9557159921000274E-2</v>
      </c>
      <c r="G51" s="101">
        <v>61664.423266742</v>
      </c>
      <c r="H51" s="101">
        <v>73080.6958111188</v>
      </c>
      <c r="I51" s="112">
        <f t="shared" si="1"/>
        <v>0.18513547909129696</v>
      </c>
      <c r="J51" s="113">
        <f t="shared" si="5"/>
        <v>4.9920377363906775E-2</v>
      </c>
    </row>
    <row r="52" spans="2:10" x14ac:dyDescent="0.25">
      <c r="B52" s="179"/>
      <c r="C52" s="205" t="s">
        <v>32</v>
      </c>
      <c r="D52" s="101">
        <v>15859.623659977198</v>
      </c>
      <c r="E52" s="101">
        <v>14238.328777000001</v>
      </c>
      <c r="F52" s="112">
        <f t="shared" si="0"/>
        <v>-0.10222782820935668</v>
      </c>
      <c r="G52" s="101">
        <v>74904.622491316302</v>
      </c>
      <c r="H52" s="101">
        <v>70883.080191611589</v>
      </c>
      <c r="I52" s="112">
        <f t="shared" si="1"/>
        <v>-5.3688840100234551E-2</v>
      </c>
      <c r="J52" s="113">
        <f t="shared" si="5"/>
        <v>4.8419217586909626E-2</v>
      </c>
    </row>
    <row r="53" spans="2:10" x14ac:dyDescent="0.25">
      <c r="B53" s="179"/>
      <c r="C53" s="205" t="s">
        <v>51</v>
      </c>
      <c r="D53" s="101">
        <v>18139.011750833499</v>
      </c>
      <c r="E53" s="101">
        <v>14664.308853</v>
      </c>
      <c r="F53" s="112">
        <f t="shared" si="0"/>
        <v>-0.1915596585725699</v>
      </c>
      <c r="G53" s="101">
        <v>87032.546350535791</v>
      </c>
      <c r="H53" s="101">
        <v>68366.406827099898</v>
      </c>
      <c r="I53" s="112">
        <f t="shared" si="1"/>
        <v>-0.21447309433249714</v>
      </c>
      <c r="J53" s="113">
        <f t="shared" si="5"/>
        <v>4.670011403071439E-2</v>
      </c>
    </row>
    <row r="54" spans="2:10" x14ac:dyDescent="0.25">
      <c r="B54" s="179"/>
      <c r="C54" s="205" t="s">
        <v>46</v>
      </c>
      <c r="D54" s="101">
        <v>14299.139063844201</v>
      </c>
      <c r="E54" s="101">
        <v>10154.247265</v>
      </c>
      <c r="F54" s="112">
        <f t="shared" si="0"/>
        <v>-0.28987002506498333</v>
      </c>
      <c r="G54" s="101">
        <v>75412.668180586494</v>
      </c>
      <c r="H54" s="101">
        <v>60751.931508442198</v>
      </c>
      <c r="I54" s="112">
        <f t="shared" si="1"/>
        <v>-0.19440681553710645</v>
      </c>
      <c r="J54" s="113">
        <f t="shared" si="5"/>
        <v>4.1498774920342728E-2</v>
      </c>
    </row>
    <row r="55" spans="2:10" x14ac:dyDescent="0.25">
      <c r="B55" s="179"/>
      <c r="C55" s="205" t="s">
        <v>60</v>
      </c>
      <c r="D55" s="101">
        <v>12136.402937459199</v>
      </c>
      <c r="E55" s="101">
        <v>11560.437548</v>
      </c>
      <c r="F55" s="112">
        <f t="shared" si="0"/>
        <v>-4.7457668670629997E-2</v>
      </c>
      <c r="G55" s="101">
        <v>53451.140778068497</v>
      </c>
      <c r="H55" s="101">
        <v>53661.892985101505</v>
      </c>
      <c r="I55" s="112">
        <f t="shared" si="1"/>
        <v>3.9428944633391689E-3</v>
      </c>
      <c r="J55" s="113">
        <f t="shared" si="5"/>
        <v>3.6655671079014025E-2</v>
      </c>
    </row>
    <row r="56" spans="2:10" x14ac:dyDescent="0.25">
      <c r="B56" s="179"/>
      <c r="C56" s="205" t="s">
        <v>119</v>
      </c>
      <c r="D56" s="101">
        <v>7207.7173443970996</v>
      </c>
      <c r="E56" s="101">
        <v>10923.287767</v>
      </c>
      <c r="F56" s="112">
        <f t="shared" si="0"/>
        <v>0.51549890833207956</v>
      </c>
      <c r="G56" s="101">
        <v>45691.084045699899</v>
      </c>
      <c r="H56" s="101">
        <v>51332.964177360205</v>
      </c>
      <c r="I56" s="112">
        <f t="shared" si="1"/>
        <v>0.12347879787700675</v>
      </c>
      <c r="J56" s="189">
        <f t="shared" si="5"/>
        <v>3.5064813142513224E-2</v>
      </c>
    </row>
    <row r="57" spans="2:10" x14ac:dyDescent="0.25">
      <c r="B57" s="179"/>
      <c r="C57" s="205" t="s">
        <v>53</v>
      </c>
      <c r="D57" s="101">
        <v>13125.291250762299</v>
      </c>
      <c r="E57" s="101">
        <v>11624.390841</v>
      </c>
      <c r="F57" s="112">
        <f t="shared" si="0"/>
        <v>-0.11435177940719053</v>
      </c>
      <c r="G57" s="101">
        <v>56892.631664023793</v>
      </c>
      <c r="H57" s="101">
        <v>50953.399157664695</v>
      </c>
      <c r="I57" s="112">
        <f t="shared" si="1"/>
        <v>-0.10439370323793243</v>
      </c>
      <c r="J57" s="189">
        <f t="shared" si="5"/>
        <v>3.4805537709965202E-2</v>
      </c>
    </row>
    <row r="58" spans="2:10" x14ac:dyDescent="0.2">
      <c r="B58" s="179"/>
      <c r="C58" s="206" t="s">
        <v>143</v>
      </c>
      <c r="D58" s="101">
        <v>113538.3408824358</v>
      </c>
      <c r="E58" s="101">
        <v>103158.18028700001</v>
      </c>
      <c r="F58" s="116">
        <f t="shared" si="0"/>
        <v>-9.1424275841620897E-2</v>
      </c>
      <c r="G58" s="101">
        <v>571302.82518495852</v>
      </c>
      <c r="H58" s="101">
        <v>543263.05996197474</v>
      </c>
      <c r="I58" s="114">
        <f t="shared" si="1"/>
        <v>-4.9080389570812899E-2</v>
      </c>
      <c r="J58" s="123">
        <f t="shared" si="5"/>
        <v>0.37109522097689662</v>
      </c>
    </row>
    <row r="59" spans="2:10" x14ac:dyDescent="0.25">
      <c r="C59" s="75" t="s">
        <v>62</v>
      </c>
      <c r="D59" s="106">
        <f>SUM(D60:D70)</f>
        <v>26212.334371922003</v>
      </c>
      <c r="E59" s="97">
        <f>SUM(E60:E70)</f>
        <v>23304.490299799996</v>
      </c>
      <c r="F59" s="107">
        <f t="shared" si="0"/>
        <v>-0.11093418964000462</v>
      </c>
      <c r="G59" s="106">
        <f>SUM(G60:G70)</f>
        <v>125692.44026631191</v>
      </c>
      <c r="H59" s="97">
        <f>SUM(H60:H70)</f>
        <v>114861.42685171601</v>
      </c>
      <c r="I59" s="107">
        <f t="shared" si="1"/>
        <v>-8.6170762471057136E-2</v>
      </c>
      <c r="J59" s="108">
        <f>SUM(J60:J70)</f>
        <v>0.99999999999999989</v>
      </c>
    </row>
    <row r="60" spans="2:10" x14ac:dyDescent="0.25">
      <c r="B60" s="179"/>
      <c r="C60" s="207" t="s">
        <v>51</v>
      </c>
      <c r="D60" s="101">
        <v>2116.098420665</v>
      </c>
      <c r="E60" s="101">
        <v>2236.0382340000001</v>
      </c>
      <c r="F60" s="109">
        <f t="shared" si="0"/>
        <v>5.6679695123683357E-2</v>
      </c>
      <c r="G60" s="101">
        <v>11958.815953761998</v>
      </c>
      <c r="H60" s="101">
        <v>10856.515633904</v>
      </c>
      <c r="I60" s="109">
        <f t="shared" si="1"/>
        <v>-9.217470392720914E-2</v>
      </c>
      <c r="J60" s="111">
        <f>(H60/$H$59)</f>
        <v>9.4518376895313713E-2</v>
      </c>
    </row>
    <row r="61" spans="2:10" x14ac:dyDescent="0.25">
      <c r="B61" s="179"/>
      <c r="C61" s="208" t="s">
        <v>53</v>
      </c>
      <c r="D61" s="101">
        <v>2726.1748229999994</v>
      </c>
      <c r="E61" s="101">
        <v>2080.7575320000001</v>
      </c>
      <c r="F61" s="112">
        <f t="shared" si="0"/>
        <v>-0.23674831326105289</v>
      </c>
      <c r="G61" s="101">
        <v>11621.426171999999</v>
      </c>
      <c r="H61" s="101">
        <v>9471.7770199999995</v>
      </c>
      <c r="I61" s="112">
        <f t="shared" si="1"/>
        <v>-0.18497292158334594</v>
      </c>
      <c r="J61" s="113">
        <f t="shared" ref="J61:J70" si="6">(H61/$H$59)</f>
        <v>8.2462644593714565E-2</v>
      </c>
    </row>
    <row r="62" spans="2:10" x14ac:dyDescent="0.25">
      <c r="B62" s="179"/>
      <c r="C62" s="208" t="s">
        <v>63</v>
      </c>
      <c r="D62" s="101">
        <v>1780.0511465</v>
      </c>
      <c r="E62" s="101">
        <v>2018.6585189999998</v>
      </c>
      <c r="F62" s="112">
        <f t="shared" si="0"/>
        <v>0.13404523401990903</v>
      </c>
      <c r="G62" s="101">
        <v>9096.8153168999997</v>
      </c>
      <c r="H62" s="101">
        <v>9281.6011531000004</v>
      </c>
      <c r="I62" s="112">
        <f t="shared" si="1"/>
        <v>2.031324477443296E-2</v>
      </c>
      <c r="J62" s="113">
        <f t="shared" si="6"/>
        <v>8.0806946313511999E-2</v>
      </c>
    </row>
    <row r="63" spans="2:10" x14ac:dyDescent="0.25">
      <c r="B63" s="179"/>
      <c r="C63" s="208" t="s">
        <v>59</v>
      </c>
      <c r="D63" s="101">
        <v>1609.4964419</v>
      </c>
      <c r="E63" s="101">
        <v>1696.4552508000002</v>
      </c>
      <c r="F63" s="112">
        <f t="shared" si="0"/>
        <v>5.4028581012174101E-2</v>
      </c>
      <c r="G63" s="101">
        <v>8029.9685756999997</v>
      </c>
      <c r="H63" s="101">
        <v>8972.9120958999993</v>
      </c>
      <c r="I63" s="112">
        <f t="shared" si="1"/>
        <v>0.11742804611384172</v>
      </c>
      <c r="J63" s="113">
        <f t="shared" si="6"/>
        <v>7.8119455258760309E-2</v>
      </c>
    </row>
    <row r="64" spans="2:10" x14ac:dyDescent="0.25">
      <c r="B64" s="179"/>
      <c r="C64" s="208" t="s">
        <v>55</v>
      </c>
      <c r="D64" s="101">
        <v>2025.4313534510002</v>
      </c>
      <c r="E64" s="101">
        <v>1835.2434719999999</v>
      </c>
      <c r="F64" s="112">
        <f t="shared" si="0"/>
        <v>-9.3899939450898487E-2</v>
      </c>
      <c r="G64" s="101">
        <v>10591.43607338</v>
      </c>
      <c r="H64" s="101">
        <v>7965.8733804720005</v>
      </c>
      <c r="I64" s="112">
        <f t="shared" si="1"/>
        <v>-0.24789487230225193</v>
      </c>
      <c r="J64" s="113">
        <f t="shared" si="6"/>
        <v>6.9352032260192945E-2</v>
      </c>
    </row>
    <row r="65" spans="2:10" x14ac:dyDescent="0.25">
      <c r="B65" s="179"/>
      <c r="C65" s="208" t="s">
        <v>65</v>
      </c>
      <c r="D65" s="101">
        <v>1319.3901999999998</v>
      </c>
      <c r="E65" s="101">
        <v>1103.0978279999999</v>
      </c>
      <c r="F65" s="112">
        <f t="shared" si="0"/>
        <v>-0.16393358992661908</v>
      </c>
      <c r="G65" s="101">
        <v>6780.8521279999995</v>
      </c>
      <c r="H65" s="101">
        <v>6097.7283360000001</v>
      </c>
      <c r="I65" s="112">
        <f t="shared" si="1"/>
        <v>-0.10074305988464101</v>
      </c>
      <c r="J65" s="113">
        <f t="shared" si="6"/>
        <v>5.3087694477903839E-2</v>
      </c>
    </row>
    <row r="66" spans="2:10" x14ac:dyDescent="0.25">
      <c r="B66" s="179"/>
      <c r="C66" s="208" t="s">
        <v>64</v>
      </c>
      <c r="D66" s="101">
        <v>1382.3582720000002</v>
      </c>
      <c r="E66" s="101">
        <v>1237.1205649999999</v>
      </c>
      <c r="F66" s="112">
        <f t="shared" si="0"/>
        <v>-0.10506517010953309</v>
      </c>
      <c r="G66" s="101">
        <v>7195.9408654000008</v>
      </c>
      <c r="H66" s="101">
        <v>5743.9180631999998</v>
      </c>
      <c r="I66" s="112">
        <f t="shared" si="1"/>
        <v>-0.20178359291162509</v>
      </c>
      <c r="J66" s="189">
        <f t="shared" si="6"/>
        <v>5.0007371670694051E-2</v>
      </c>
    </row>
    <row r="67" spans="2:10" x14ac:dyDescent="0.25">
      <c r="B67" s="179"/>
      <c r="C67" s="208" t="s">
        <v>79</v>
      </c>
      <c r="D67" s="101">
        <v>1269.641631</v>
      </c>
      <c r="E67" s="101">
        <v>1455.478764</v>
      </c>
      <c r="F67" s="112">
        <f t="shared" si="0"/>
        <v>0.14636975384434286</v>
      </c>
      <c r="G67" s="101">
        <v>4648.931431</v>
      </c>
      <c r="H67" s="101">
        <v>5709.5738170000004</v>
      </c>
      <c r="I67" s="112">
        <f t="shared" si="1"/>
        <v>0.22814756503557482</v>
      </c>
      <c r="J67" s="189">
        <f t="shared" si="6"/>
        <v>4.9708365754248862E-2</v>
      </c>
    </row>
    <row r="68" spans="2:10" x14ac:dyDescent="0.25">
      <c r="B68" s="179"/>
      <c r="C68" s="208" t="s">
        <v>120</v>
      </c>
      <c r="D68" s="101">
        <v>833.41064319999998</v>
      </c>
      <c r="E68" s="101">
        <v>1085.5667839999999</v>
      </c>
      <c r="F68" s="112">
        <f t="shared" si="0"/>
        <v>0.3025592999770319</v>
      </c>
      <c r="G68" s="101">
        <v>5712.2548251999997</v>
      </c>
      <c r="H68" s="101">
        <v>5415.7817398999996</v>
      </c>
      <c r="I68" s="112">
        <f t="shared" si="1"/>
        <v>-5.1901235916872783E-2</v>
      </c>
      <c r="J68" s="113">
        <f t="shared" si="6"/>
        <v>4.7150569937562017E-2</v>
      </c>
    </row>
    <row r="69" spans="2:10" x14ac:dyDescent="0.25">
      <c r="B69" s="179"/>
      <c r="C69" s="208" t="s">
        <v>60</v>
      </c>
      <c r="D69" s="101">
        <v>1597.717178866</v>
      </c>
      <c r="E69" s="101">
        <v>1228.464332</v>
      </c>
      <c r="F69" s="112">
        <f t="shared" si="0"/>
        <v>-0.23111277249211395</v>
      </c>
      <c r="G69" s="101">
        <v>6413.928644005</v>
      </c>
      <c r="H69" s="101">
        <v>5303.40413059</v>
      </c>
      <c r="I69" s="112">
        <f t="shared" si="1"/>
        <v>-0.17314263613658848</v>
      </c>
      <c r="J69" s="113">
        <f t="shared" si="6"/>
        <v>4.6172194408107062E-2</v>
      </c>
    </row>
    <row r="70" spans="2:10" x14ac:dyDescent="0.2">
      <c r="B70" s="179"/>
      <c r="C70" s="209" t="s">
        <v>142</v>
      </c>
      <c r="D70" s="101">
        <v>9552.5642613400014</v>
      </c>
      <c r="E70" s="101">
        <v>7327.6090189999995</v>
      </c>
      <c r="F70" s="121">
        <f t="shared" si="0"/>
        <v>-0.23291706618971153</v>
      </c>
      <c r="G70" s="101">
        <v>43642.070280964908</v>
      </c>
      <c r="H70" s="101">
        <v>40042.341481649994</v>
      </c>
      <c r="I70" s="114">
        <f t="shared" si="1"/>
        <v>-8.2482998082815201E-2</v>
      </c>
      <c r="J70" s="123">
        <f t="shared" si="6"/>
        <v>0.34861434842999051</v>
      </c>
    </row>
    <row r="71" spans="2:10" x14ac:dyDescent="0.25">
      <c r="C71" s="75" t="s">
        <v>67</v>
      </c>
      <c r="D71" s="106">
        <f>SUM(D72:D73)</f>
        <v>441193.98143799999</v>
      </c>
      <c r="E71" s="97">
        <f>SUM(E72:E73)</f>
        <v>1240371.767396</v>
      </c>
      <c r="F71" s="107">
        <f t="shared" si="0"/>
        <v>1.8113977515133139</v>
      </c>
      <c r="G71" s="97">
        <f>SUM(G72:G73)</f>
        <v>5034155.210723999</v>
      </c>
      <c r="H71" s="97">
        <f>SUM(H72:H73)</f>
        <v>5923400.1936400002</v>
      </c>
      <c r="I71" s="107">
        <f t="shared" si="1"/>
        <v>0.17664234527804962</v>
      </c>
      <c r="J71" s="108">
        <f>SUM(J72:J73)</f>
        <v>1</v>
      </c>
    </row>
    <row r="72" spans="2:10" x14ac:dyDescent="0.25">
      <c r="B72" s="179"/>
      <c r="C72" s="207" t="s">
        <v>68</v>
      </c>
      <c r="D72" s="101">
        <v>421929.1496</v>
      </c>
      <c r="E72" s="101">
        <v>1219236.7494000001</v>
      </c>
      <c r="F72" s="109">
        <f t="shared" si="0"/>
        <v>1.8896717625598249</v>
      </c>
      <c r="G72" s="101">
        <v>4943906.2683799993</v>
      </c>
      <c r="H72" s="101">
        <v>5818033.5656000003</v>
      </c>
      <c r="I72" s="109">
        <f t="shared" si="1"/>
        <v>0.17680903515722027</v>
      </c>
      <c r="J72" s="111">
        <f>(H72/$H$71)</f>
        <v>0.98221179987920915</v>
      </c>
    </row>
    <row r="73" spans="2:10" x14ac:dyDescent="0.25">
      <c r="B73" s="179"/>
      <c r="C73" s="211" t="s">
        <v>54</v>
      </c>
      <c r="D73" s="101">
        <v>19264.831837999998</v>
      </c>
      <c r="E73" s="101">
        <v>21135.017995999999</v>
      </c>
      <c r="F73" s="114">
        <f t="shared" si="0"/>
        <v>9.7077730744114091E-2</v>
      </c>
      <c r="G73" s="101">
        <v>90248.942343999996</v>
      </c>
      <c r="H73" s="101">
        <v>105366.62804</v>
      </c>
      <c r="I73" s="114">
        <f t="shared" si="1"/>
        <v>0.16751094587209939</v>
      </c>
      <c r="J73" s="115">
        <f>(H73/$H$71)</f>
        <v>1.7788200120790916E-2</v>
      </c>
    </row>
    <row r="74" spans="2:10" x14ac:dyDescent="0.25">
      <c r="B74" s="179"/>
      <c r="C74" s="181" t="s">
        <v>69</v>
      </c>
      <c r="D74" s="97">
        <f>SUM(D75:D75)</f>
        <v>2871.1295</v>
      </c>
      <c r="E74" s="97">
        <f>SUM(E75:E75)</f>
        <v>3301.3702799999996</v>
      </c>
      <c r="F74" s="107">
        <f t="shared" si="0"/>
        <v>0.14985070509707055</v>
      </c>
      <c r="G74" s="106">
        <f>SUM(G75:G75)</f>
        <v>13651.896939999999</v>
      </c>
      <c r="H74" s="97">
        <f>SUM(H75:H75)</f>
        <v>14359.081065999999</v>
      </c>
      <c r="I74" s="107">
        <f t="shared" si="1"/>
        <v>5.180116207352501E-2</v>
      </c>
      <c r="J74" s="108">
        <f>SUM(J75:J75)</f>
        <v>1</v>
      </c>
    </row>
    <row r="75" spans="2:10" x14ac:dyDescent="0.25">
      <c r="C75" s="204" t="s">
        <v>70</v>
      </c>
      <c r="D75" s="99">
        <v>2871.1295</v>
      </c>
      <c r="E75" s="99">
        <v>3301.3702799999996</v>
      </c>
      <c r="F75" s="133">
        <f t="shared" ref="F75:F88" si="7">(E75-D75)/D75</f>
        <v>0.14985070509707055</v>
      </c>
      <c r="G75" s="98">
        <v>13651.896939999999</v>
      </c>
      <c r="H75" s="99">
        <v>14359.081065999999</v>
      </c>
      <c r="I75" s="109">
        <f t="shared" ref="I75:I88" si="8">(H75-G75)/G75</f>
        <v>5.180116207352501E-2</v>
      </c>
      <c r="J75" s="111">
        <f>(H75/$H$74)</f>
        <v>1</v>
      </c>
    </row>
    <row r="76" spans="2:10" x14ac:dyDescent="0.25">
      <c r="C76" s="75" t="s">
        <v>71</v>
      </c>
      <c r="D76" s="106">
        <f>SUM(D77:D81)</f>
        <v>2855.7800881120002</v>
      </c>
      <c r="E76" s="97">
        <f>SUM(E77:E81)</f>
        <v>2845.6354489999999</v>
      </c>
      <c r="F76" s="107">
        <f t="shared" si="7"/>
        <v>-3.5523180353523136E-3</v>
      </c>
      <c r="G76" s="106">
        <f>SUM(G77:G81)</f>
        <v>16783.118282436102</v>
      </c>
      <c r="H76" s="97">
        <f>SUM(H77:H81)</f>
        <v>15747.955855512</v>
      </c>
      <c r="I76" s="107">
        <f t="shared" si="8"/>
        <v>-6.1678789930678254E-2</v>
      </c>
      <c r="J76" s="108">
        <f>SUM(J77:J81)</f>
        <v>0.99999999999999989</v>
      </c>
    </row>
    <row r="77" spans="2:10" x14ac:dyDescent="0.25">
      <c r="B77" s="179"/>
      <c r="C77" s="204" t="s">
        <v>32</v>
      </c>
      <c r="D77" s="99">
        <v>1281.119203</v>
      </c>
      <c r="E77" s="99">
        <v>1112.491115</v>
      </c>
      <c r="F77" s="109">
        <f t="shared" si="7"/>
        <v>-0.13162560330461298</v>
      </c>
      <c r="G77" s="98">
        <v>5947.7375952000002</v>
      </c>
      <c r="H77" s="99">
        <v>5710.1546321999995</v>
      </c>
      <c r="I77" s="109">
        <f t="shared" si="8"/>
        <v>-3.9945098316330772E-2</v>
      </c>
      <c r="J77" s="111">
        <f>(H77/$H$76)</f>
        <v>0.36259656075943136</v>
      </c>
    </row>
    <row r="78" spans="2:10" x14ac:dyDescent="0.25">
      <c r="B78" s="179"/>
      <c r="C78" s="205" t="s">
        <v>72</v>
      </c>
      <c r="D78" s="101">
        <v>586.75243680000005</v>
      </c>
      <c r="E78" s="101">
        <v>580.32624799999996</v>
      </c>
      <c r="F78" s="112">
        <f t="shared" si="7"/>
        <v>-1.0952129717682819E-2</v>
      </c>
      <c r="G78" s="100">
        <v>4165.3117545000005</v>
      </c>
      <c r="H78" s="101">
        <v>4274.2728815</v>
      </c>
      <c r="I78" s="112">
        <f t="shared" si="8"/>
        <v>2.6159176892890015E-2</v>
      </c>
      <c r="J78" s="113">
        <f t="shared" ref="J78:J81" si="9">(H78/$H$76)</f>
        <v>0.27141763164162958</v>
      </c>
    </row>
    <row r="79" spans="2:10" x14ac:dyDescent="0.25">
      <c r="B79" s="179"/>
      <c r="C79" s="205" t="s">
        <v>35</v>
      </c>
      <c r="D79" s="101">
        <v>331.12229815199998</v>
      </c>
      <c r="E79" s="101">
        <v>446.28430700000001</v>
      </c>
      <c r="F79" s="112">
        <f t="shared" si="7"/>
        <v>0.34779297404832427</v>
      </c>
      <c r="G79" s="128">
        <v>1984.6295053460999</v>
      </c>
      <c r="H79" s="129">
        <v>2539.5402091819997</v>
      </c>
      <c r="I79" s="112">
        <f t="shared" si="8"/>
        <v>0.27960417918866365</v>
      </c>
      <c r="J79" s="113">
        <f t="shared" si="9"/>
        <v>0.16126157785063425</v>
      </c>
    </row>
    <row r="80" spans="2:10" x14ac:dyDescent="0.25">
      <c r="B80" s="179"/>
      <c r="C80" s="205" t="s">
        <v>33</v>
      </c>
      <c r="D80" s="103">
        <v>246.52733000000001</v>
      </c>
      <c r="E80" s="101">
        <v>346.91271999999998</v>
      </c>
      <c r="F80" s="112">
        <f t="shared" si="7"/>
        <v>0.40719781453845288</v>
      </c>
      <c r="G80" s="128">
        <v>1171.7652349999998</v>
      </c>
      <c r="H80" s="129">
        <v>1346.7312280000001</v>
      </c>
      <c r="I80" s="112">
        <f t="shared" si="8"/>
        <v>0.14931830009447267</v>
      </c>
      <c r="J80" s="113">
        <f t="shared" si="9"/>
        <v>8.5517843735168061E-2</v>
      </c>
    </row>
    <row r="81" spans="2:10" x14ac:dyDescent="0.25">
      <c r="B81" s="179"/>
      <c r="C81" s="205" t="s">
        <v>117</v>
      </c>
      <c r="D81" s="143">
        <v>410.25882015999997</v>
      </c>
      <c r="E81" s="103">
        <v>359.62105899999995</v>
      </c>
      <c r="F81" s="112">
        <f t="shared" si="7"/>
        <v>-0.12342881778934434</v>
      </c>
      <c r="G81" s="100">
        <v>3513.6741923899999</v>
      </c>
      <c r="H81" s="101">
        <v>1877.25690463</v>
      </c>
      <c r="I81" s="112">
        <f t="shared" si="8"/>
        <v>-0.46572823721225826</v>
      </c>
      <c r="J81" s="113">
        <f t="shared" si="9"/>
        <v>0.11920638601313671</v>
      </c>
    </row>
    <row r="82" spans="2:10" x14ac:dyDescent="0.25">
      <c r="B82" s="179"/>
      <c r="C82" s="75" t="s">
        <v>73</v>
      </c>
      <c r="D82" s="182">
        <f>SUM(D83:D89)</f>
        <v>2487.8129531</v>
      </c>
      <c r="E82" s="97">
        <f>SUM(E83:E89)</f>
        <v>2016.6442514000003</v>
      </c>
      <c r="F82" s="107">
        <f t="shared" si="7"/>
        <v>-0.18939072614478047</v>
      </c>
      <c r="G82" s="106">
        <f>SUM(G83:G89)</f>
        <v>11354.8670573</v>
      </c>
      <c r="H82" s="97">
        <f>SUM(H83:H89)</f>
        <v>9890.4476340000001</v>
      </c>
      <c r="I82" s="107">
        <f t="shared" si="8"/>
        <v>-0.12896843405652472</v>
      </c>
      <c r="J82" s="108">
        <f>SUM(J83:J89)</f>
        <v>1</v>
      </c>
    </row>
    <row r="83" spans="2:10" x14ac:dyDescent="0.25">
      <c r="C83" s="205" t="s">
        <v>39</v>
      </c>
      <c r="D83" s="131">
        <v>1611.7758976</v>
      </c>
      <c r="E83" s="132">
        <v>1418.2637110000001</v>
      </c>
      <c r="F83" s="133">
        <f t="shared" si="7"/>
        <v>-0.12006147187592735</v>
      </c>
      <c r="G83" s="98">
        <v>7229.7006941</v>
      </c>
      <c r="H83" s="101">
        <v>6090.2529597000012</v>
      </c>
      <c r="I83" s="110">
        <f t="shared" si="8"/>
        <v>-0.15760648782180942</v>
      </c>
      <c r="J83" s="111">
        <f>(H83/$H$82)</f>
        <v>0.61577121532535894</v>
      </c>
    </row>
    <row r="84" spans="2:10" x14ac:dyDescent="0.25">
      <c r="C84" s="205" t="s">
        <v>36</v>
      </c>
      <c r="D84" s="134">
        <v>692.12044000000003</v>
      </c>
      <c r="E84" s="132">
        <v>498.92950200000001</v>
      </c>
      <c r="F84" s="110">
        <f t="shared" si="7"/>
        <v>-0.27912907470266302</v>
      </c>
      <c r="G84" s="100">
        <v>3227.958928</v>
      </c>
      <c r="H84" s="101">
        <v>3172.3996429999997</v>
      </c>
      <c r="I84" s="110">
        <f t="shared" si="8"/>
        <v>-1.7211893409816111E-2</v>
      </c>
      <c r="J84" s="113">
        <f t="shared" ref="J84:J88" si="10">(H84/$H$82)</f>
        <v>0.32075389915562236</v>
      </c>
    </row>
    <row r="85" spans="2:10" x14ac:dyDescent="0.25">
      <c r="C85" s="205" t="s">
        <v>66</v>
      </c>
      <c r="D85" s="134">
        <v>122.18675999999999</v>
      </c>
      <c r="E85" s="132">
        <v>50.389569999999999</v>
      </c>
      <c r="F85" s="110">
        <f t="shared" si="7"/>
        <v>-0.58760204460777909</v>
      </c>
      <c r="G85" s="100">
        <v>601.09702600000003</v>
      </c>
      <c r="H85" s="101">
        <v>399.00191579999995</v>
      </c>
      <c r="I85" s="110">
        <f t="shared" si="8"/>
        <v>-0.33621046429865398</v>
      </c>
      <c r="J85" s="113">
        <f t="shared" si="10"/>
        <v>4.0342149371315292E-2</v>
      </c>
    </row>
    <row r="86" spans="2:10" x14ac:dyDescent="0.25">
      <c r="C86" s="205" t="s">
        <v>59</v>
      </c>
      <c r="D86" s="134">
        <v>59.386155500000001</v>
      </c>
      <c r="E86" s="132">
        <v>45.318284400000003</v>
      </c>
      <c r="F86" s="110">
        <f t="shared" si="7"/>
        <v>-0.23688805886752506</v>
      </c>
      <c r="G86" s="100">
        <v>279.83294820000003</v>
      </c>
      <c r="H86" s="101">
        <v>208.13415650000005</v>
      </c>
      <c r="I86" s="110">
        <f t="shared" si="8"/>
        <v>-0.25621997753015124</v>
      </c>
      <c r="J86" s="113">
        <f t="shared" si="10"/>
        <v>2.1043957179906144E-2</v>
      </c>
    </row>
    <row r="87" spans="2:10" x14ac:dyDescent="0.25">
      <c r="C87" s="205" t="s">
        <v>74</v>
      </c>
      <c r="D87" s="139">
        <v>1.8109</v>
      </c>
      <c r="E87" s="132">
        <v>3.4643839999999999</v>
      </c>
      <c r="F87" s="110">
        <f t="shared" si="7"/>
        <v>0.9130730575956707</v>
      </c>
      <c r="G87" s="100">
        <v>9.2303759999999997</v>
      </c>
      <c r="H87" s="101">
        <v>18.714458999999998</v>
      </c>
      <c r="I87" s="110">
        <f t="shared" si="8"/>
        <v>1.0274860959076855</v>
      </c>
      <c r="J87" s="113">
        <f t="shared" si="10"/>
        <v>1.8921751261961131E-3</v>
      </c>
    </row>
    <row r="88" spans="2:10" x14ac:dyDescent="0.25">
      <c r="C88" s="205" t="s">
        <v>75</v>
      </c>
      <c r="D88" s="134">
        <v>0.53280000000000005</v>
      </c>
      <c r="E88" s="135">
        <v>0.27879999999999999</v>
      </c>
      <c r="F88" s="110">
        <f t="shared" si="7"/>
        <v>-0.47672672672672678</v>
      </c>
      <c r="G88" s="100">
        <v>4.3691000000000004</v>
      </c>
      <c r="H88" s="101">
        <v>1.9444999999999999</v>
      </c>
      <c r="I88" s="110">
        <f t="shared" si="8"/>
        <v>-0.55494266553752503</v>
      </c>
      <c r="J88" s="189">
        <f t="shared" si="10"/>
        <v>1.9660384160121016E-4</v>
      </c>
    </row>
    <row r="89" spans="2:10" x14ac:dyDescent="0.25">
      <c r="C89" s="205" t="s">
        <v>76</v>
      </c>
      <c r="D89" s="139">
        <v>0</v>
      </c>
      <c r="E89" s="140">
        <v>0</v>
      </c>
      <c r="F89" s="110" t="s">
        <v>43</v>
      </c>
      <c r="G89" s="100">
        <v>2.6779850000000001</v>
      </c>
      <c r="H89" s="101">
        <v>0</v>
      </c>
      <c r="I89" s="110" t="s">
        <v>43</v>
      </c>
      <c r="J89" s="113" t="s">
        <v>43</v>
      </c>
    </row>
    <row r="90" spans="2:10" x14ac:dyDescent="0.25">
      <c r="C90" s="75" t="s">
        <v>77</v>
      </c>
      <c r="D90" s="106">
        <f>SUM(D91:D95)</f>
        <v>22.439415000000004</v>
      </c>
      <c r="E90" s="97">
        <f>SUM(E91:E95)</f>
        <v>28.570499000000005</v>
      </c>
      <c r="F90" s="107">
        <f t="shared" ref="F90:F95" si="11">(E90-D90)/D90</f>
        <v>0.27322833505240668</v>
      </c>
      <c r="G90" s="106">
        <f>SUM(G91:G95)</f>
        <v>106.72598780000001</v>
      </c>
      <c r="H90" s="97">
        <f>SUM(H91:H95)</f>
        <v>115.06486459999999</v>
      </c>
      <c r="I90" s="107">
        <f t="shared" ref="I90:I95" si="12">(H90-G90)/G90</f>
        <v>7.8133517167596353E-2</v>
      </c>
      <c r="J90" s="108">
        <f>SUM(J91:J95)</f>
        <v>1.0000000000000002</v>
      </c>
    </row>
    <row r="91" spans="2:10" x14ac:dyDescent="0.25">
      <c r="B91" s="179"/>
      <c r="C91" s="204" t="s">
        <v>53</v>
      </c>
      <c r="D91" s="132">
        <v>15.858171</v>
      </c>
      <c r="E91" s="136">
        <v>20.798343000000003</v>
      </c>
      <c r="F91" s="110">
        <f t="shared" si="11"/>
        <v>0.31152217995379178</v>
      </c>
      <c r="G91" s="131">
        <v>76.054012</v>
      </c>
      <c r="H91" s="132">
        <v>75.55705900000001</v>
      </c>
      <c r="I91" s="110">
        <f t="shared" si="12"/>
        <v>-6.5342115022149084E-3</v>
      </c>
      <c r="J91" s="111">
        <f>(H91/$H$90)</f>
        <v>0.65664752887563915</v>
      </c>
    </row>
    <row r="92" spans="2:10" x14ac:dyDescent="0.25">
      <c r="B92" s="179"/>
      <c r="C92" s="205" t="s">
        <v>78</v>
      </c>
      <c r="D92" s="132">
        <v>4.3048200000000003</v>
      </c>
      <c r="E92" s="132">
        <v>5.6195399999999998</v>
      </c>
      <c r="F92" s="110">
        <f t="shared" si="11"/>
        <v>0.30540649783266183</v>
      </c>
      <c r="G92" s="134">
        <v>21.974863800000001</v>
      </c>
      <c r="H92" s="132">
        <v>26.653817399999998</v>
      </c>
      <c r="I92" s="110">
        <f t="shared" si="12"/>
        <v>0.21292298521549863</v>
      </c>
      <c r="J92" s="113">
        <f t="shared" ref="J92:J95" si="13">(H92/$H$90)</f>
        <v>0.23164167004981639</v>
      </c>
    </row>
    <row r="93" spans="2:10" x14ac:dyDescent="0.25">
      <c r="B93" s="179"/>
      <c r="C93" s="205" t="s">
        <v>79</v>
      </c>
      <c r="D93" s="135">
        <v>1.8671519999999999</v>
      </c>
      <c r="E93" s="135">
        <v>2.125416</v>
      </c>
      <c r="F93" s="110">
        <f t="shared" si="11"/>
        <v>0.1383197511504152</v>
      </c>
      <c r="G93" s="134">
        <v>6.3392819999999999</v>
      </c>
      <c r="H93" s="132">
        <v>9.092198999999999</v>
      </c>
      <c r="I93" s="110">
        <f t="shared" si="12"/>
        <v>0.43426321782182892</v>
      </c>
      <c r="J93" s="113">
        <f t="shared" si="13"/>
        <v>7.9018030669980907E-2</v>
      </c>
    </row>
    <row r="94" spans="2:10" x14ac:dyDescent="0.25">
      <c r="B94" s="179"/>
      <c r="C94" s="205" t="s">
        <v>66</v>
      </c>
      <c r="D94" s="201">
        <v>0.36117199999999999</v>
      </c>
      <c r="E94" s="132">
        <v>0</v>
      </c>
      <c r="F94" s="110" t="s">
        <v>43</v>
      </c>
      <c r="G94" s="134">
        <v>1.8055300000000001</v>
      </c>
      <c r="H94" s="132">
        <v>3.5294892</v>
      </c>
      <c r="I94" s="110">
        <f t="shared" si="12"/>
        <v>0.95482168670695022</v>
      </c>
      <c r="J94" s="113">
        <f t="shared" si="13"/>
        <v>3.0673909123080829E-2</v>
      </c>
    </row>
    <row r="95" spans="2:10" x14ac:dyDescent="0.25">
      <c r="B95" s="179"/>
      <c r="C95" s="205" t="s">
        <v>75</v>
      </c>
      <c r="D95" s="202">
        <v>4.8099999999999997E-2</v>
      </c>
      <c r="E95" s="202">
        <v>2.7199999999999998E-2</v>
      </c>
      <c r="F95" s="110">
        <f t="shared" si="11"/>
        <v>-0.43451143451143448</v>
      </c>
      <c r="G95" s="134">
        <v>0.55230000000000012</v>
      </c>
      <c r="H95" s="135">
        <v>0.23230000000000001</v>
      </c>
      <c r="I95" s="110">
        <f t="shared" si="12"/>
        <v>-0.57939525620133991</v>
      </c>
      <c r="J95" s="113">
        <f t="shared" si="13"/>
        <v>2.0188612814827926E-3</v>
      </c>
    </row>
    <row r="96" spans="2:10" x14ac:dyDescent="0.25">
      <c r="B96" s="179"/>
      <c r="C96" s="75" t="s">
        <v>80</v>
      </c>
      <c r="D96" s="97">
        <f>SUM(D97:D99)</f>
        <v>27.668381</v>
      </c>
      <c r="E96" s="97">
        <f>SUM(E97:E99)</f>
        <v>21.732047000000001</v>
      </c>
      <c r="F96" s="107">
        <f t="shared" ref="F96:F99" si="14">(E96-D96)/D96</f>
        <v>-0.21455299462588717</v>
      </c>
      <c r="G96" s="106">
        <f>SUM(G97:G99)</f>
        <v>140.867097</v>
      </c>
      <c r="H96" s="97">
        <f>SUM(H97:H99)</f>
        <v>115.41873300000002</v>
      </c>
      <c r="I96" s="107">
        <f t="shared" ref="I96:I105" si="15">(H96-G96)/G96</f>
        <v>-0.1806551319787614</v>
      </c>
      <c r="J96" s="108">
        <f>SUM(J97:J99)</f>
        <v>0.99999999999999989</v>
      </c>
    </row>
    <row r="97" spans="2:10" x14ac:dyDescent="0.25">
      <c r="B97" s="179"/>
      <c r="C97" s="205" t="s">
        <v>65</v>
      </c>
      <c r="D97" s="136">
        <v>14.516</v>
      </c>
      <c r="E97" s="136">
        <v>12.706802</v>
      </c>
      <c r="F97" s="109">
        <f t="shared" si="14"/>
        <v>-0.12463474786442548</v>
      </c>
      <c r="G97" s="98">
        <v>80.657111999999998</v>
      </c>
      <c r="H97" s="99">
        <v>67.738230000000001</v>
      </c>
      <c r="I97" s="109">
        <f t="shared" si="15"/>
        <v>-0.16017040134042981</v>
      </c>
      <c r="J97" s="111">
        <f>(H97/$H$96)</f>
        <v>0.58689112451095782</v>
      </c>
    </row>
    <row r="98" spans="2:10" x14ac:dyDescent="0.25">
      <c r="B98" s="179"/>
      <c r="C98" s="205" t="s">
        <v>66</v>
      </c>
      <c r="D98" s="132">
        <v>7.6154700000000002</v>
      </c>
      <c r="E98" s="132">
        <v>5.1046860000000001</v>
      </c>
      <c r="F98" s="112">
        <f t="shared" si="14"/>
        <v>-0.32969521250822342</v>
      </c>
      <c r="G98" s="100">
        <v>39.234059999999999</v>
      </c>
      <c r="H98" s="101">
        <v>25.904676000000002</v>
      </c>
      <c r="I98" s="112">
        <f t="shared" si="15"/>
        <v>-0.33974011356459149</v>
      </c>
      <c r="J98" s="113">
        <f t="shared" ref="J98:J99" si="16">(H98/$H$96)</f>
        <v>0.22444082798933512</v>
      </c>
    </row>
    <row r="99" spans="2:10" x14ac:dyDescent="0.25">
      <c r="B99" s="179"/>
      <c r="C99" s="205" t="s">
        <v>78</v>
      </c>
      <c r="D99" s="225">
        <v>5.5369109999999999</v>
      </c>
      <c r="E99" s="225">
        <v>3.9205589999999999</v>
      </c>
      <c r="F99" s="114">
        <f t="shared" si="14"/>
        <v>-0.29192305962656795</v>
      </c>
      <c r="G99" s="124">
        <v>20.975925</v>
      </c>
      <c r="H99" s="125">
        <v>21.775827000000003</v>
      </c>
      <c r="I99" s="114">
        <f t="shared" si="15"/>
        <v>3.8134289667797867E-2</v>
      </c>
      <c r="J99" s="115">
        <f t="shared" si="16"/>
        <v>0.188668047499707</v>
      </c>
    </row>
    <row r="100" spans="2:10" x14ac:dyDescent="0.25">
      <c r="B100" s="179"/>
      <c r="C100" s="75" t="s">
        <v>81</v>
      </c>
      <c r="D100" s="97">
        <f>SUM(D101:D104)</f>
        <v>3840.2648920000006</v>
      </c>
      <c r="E100" s="97">
        <f>SUM(E101:E104)</f>
        <v>3105.3971600000004</v>
      </c>
      <c r="F100" s="107">
        <f t="shared" ref="F100:F105" si="17">(E100-D100)/D100</f>
        <v>-0.19135860485324044</v>
      </c>
      <c r="G100" s="106">
        <f>SUM(G101:G104)</f>
        <v>14923.234393799998</v>
      </c>
      <c r="H100" s="97">
        <f>SUM(H101:H104)</f>
        <v>17104.362267700002</v>
      </c>
      <c r="I100" s="107">
        <f t="shared" si="15"/>
        <v>0.14615651113850864</v>
      </c>
      <c r="J100" s="108">
        <f>SUM(J101:J104)</f>
        <v>0.99999999999999978</v>
      </c>
    </row>
    <row r="101" spans="2:10" x14ac:dyDescent="0.25">
      <c r="C101" s="205" t="s">
        <v>59</v>
      </c>
      <c r="D101" s="117">
        <v>3748.0129110000003</v>
      </c>
      <c r="E101" s="118">
        <v>3028.7725050000004</v>
      </c>
      <c r="F101" s="109">
        <f t="shared" si="17"/>
        <v>-0.19189912710522139</v>
      </c>
      <c r="G101" s="98">
        <v>14449.399021799998</v>
      </c>
      <c r="H101" s="99">
        <v>16703.040027700001</v>
      </c>
      <c r="I101" s="109">
        <f t="shared" si="15"/>
        <v>0.1559678020172261</v>
      </c>
      <c r="J101" s="111">
        <f>(H101/$H$100)</f>
        <v>0.97653684868696555</v>
      </c>
    </row>
    <row r="102" spans="2:10" x14ac:dyDescent="0.25">
      <c r="C102" s="205" t="s">
        <v>65</v>
      </c>
      <c r="D102" s="102">
        <v>79.099599999999995</v>
      </c>
      <c r="E102" s="103">
        <v>62.154411999999994</v>
      </c>
      <c r="F102" s="112">
        <f t="shared" si="17"/>
        <v>-0.21422596321599607</v>
      </c>
      <c r="G102" s="100">
        <v>413.07659899999999</v>
      </c>
      <c r="H102" s="101">
        <v>327.53474299999993</v>
      </c>
      <c r="I102" s="112">
        <f t="shared" si="15"/>
        <v>-0.20708473006479861</v>
      </c>
      <c r="J102" s="113">
        <f t="shared" ref="J102:J104" si="18">(H102/$H$100)</f>
        <v>1.9149193514131704E-2</v>
      </c>
    </row>
    <row r="103" spans="2:10" x14ac:dyDescent="0.25">
      <c r="C103" s="205" t="s">
        <v>66</v>
      </c>
      <c r="D103" s="102">
        <v>7.6154700000000002</v>
      </c>
      <c r="E103" s="103">
        <v>10.549683999999999</v>
      </c>
      <c r="F103" s="112">
        <f t="shared" si="17"/>
        <v>0.38529650829167456</v>
      </c>
      <c r="G103" s="100">
        <v>40.654797000000002</v>
      </c>
      <c r="H103" s="101">
        <v>52.011669999999995</v>
      </c>
      <c r="I103" s="112">
        <f t="shared" si="15"/>
        <v>0.2793489043863629</v>
      </c>
      <c r="J103" s="113">
        <f t="shared" si="18"/>
        <v>3.0408423994982376E-3</v>
      </c>
    </row>
    <row r="104" spans="2:10" x14ac:dyDescent="0.25">
      <c r="C104" s="205" t="s">
        <v>78</v>
      </c>
      <c r="D104" s="104">
        <v>5.5369109999999999</v>
      </c>
      <c r="E104" s="105">
        <v>3.9205589999999999</v>
      </c>
      <c r="F104" s="114">
        <f t="shared" si="17"/>
        <v>-0.29192305962656795</v>
      </c>
      <c r="G104" s="124">
        <v>20.103975999999999</v>
      </c>
      <c r="H104" s="125">
        <v>21.775827000000003</v>
      </c>
      <c r="I104" s="114">
        <f t="shared" si="15"/>
        <v>8.3160216665599071E-2</v>
      </c>
      <c r="J104" s="115">
        <f t="shared" si="18"/>
        <v>1.2731153994043746E-3</v>
      </c>
    </row>
    <row r="105" spans="2:10" x14ac:dyDescent="0.25">
      <c r="C105" s="78" t="s">
        <v>82</v>
      </c>
      <c r="D105" s="221">
        <f>SUM(D106:D106)</f>
        <v>3.6912739999999999</v>
      </c>
      <c r="E105" s="222">
        <f>SUM(E106:E106)</f>
        <v>3.9205589999999999</v>
      </c>
      <c r="F105" s="107">
        <f t="shared" si="17"/>
        <v>6.2115410560148056E-2</v>
      </c>
      <c r="G105" s="106">
        <f>SUM(G106:G106)</f>
        <v>13.98395</v>
      </c>
      <c r="H105" s="97">
        <f>SUM(H106:H106)</f>
        <v>21.775827000000003</v>
      </c>
      <c r="I105" s="107">
        <f t="shared" si="15"/>
        <v>0.55720143450169679</v>
      </c>
      <c r="J105" s="108">
        <f>SUM(J106:J106)</f>
        <v>1</v>
      </c>
    </row>
    <row r="106" spans="2:10" x14ac:dyDescent="0.25">
      <c r="C106" s="205" t="s">
        <v>78</v>
      </c>
      <c r="D106" s="223">
        <v>3.6912739999999999</v>
      </c>
      <c r="E106" s="224">
        <v>3.9205589999999999</v>
      </c>
      <c r="F106" s="109">
        <f>(E106-D106)/D106</f>
        <v>6.2115410560148056E-2</v>
      </c>
      <c r="G106" s="98">
        <v>13.98395</v>
      </c>
      <c r="H106" s="99">
        <v>21.775827000000003</v>
      </c>
      <c r="I106" s="109">
        <f>(H106-G106)/G106</f>
        <v>0.55720143450169679</v>
      </c>
      <c r="J106" s="111">
        <f>H106/H105</f>
        <v>1</v>
      </c>
    </row>
    <row r="107" spans="2:10" ht="98.25" customHeight="1" x14ac:dyDescent="0.25">
      <c r="C107" s="250" t="s">
        <v>138</v>
      </c>
      <c r="D107" s="251"/>
      <c r="E107" s="251"/>
      <c r="F107" s="251"/>
      <c r="G107" s="251"/>
      <c r="H107" s="251"/>
      <c r="I107" s="251"/>
      <c r="J107" s="252"/>
    </row>
  </sheetData>
  <mergeCells count="5">
    <mergeCell ref="C3:J3"/>
    <mergeCell ref="B4:K4"/>
    <mergeCell ref="D8:F8"/>
    <mergeCell ref="G8:J8"/>
    <mergeCell ref="C107:J107"/>
  </mergeCells>
  <printOptions horizontalCentered="1" verticalCentered="1"/>
  <pageMargins left="0" right="0" top="0" bottom="0" header="0.31496062992125984" footer="0.31496062992125984"/>
  <pageSetup paperSize="9" scale="47" orientation="portrait" r:id="rId1"/>
  <ignoredErrors>
    <ignoredError sqref="F11 I11:I68 F76:F79 F81:F86 I76:I86 F95 F88 I70:I75 F23:F75 I90:I95 F90:F91 I88 F96:F105 I96:I10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3"/>
  <sheetViews>
    <sheetView showGridLines="0" view="pageBreakPreview" zoomScaleNormal="100" zoomScaleSheetLayoutView="100" zoomScalePageLayoutView="70" workbookViewId="0"/>
  </sheetViews>
  <sheetFormatPr baseColWidth="10" defaultColWidth="11.42578125" defaultRowHeight="15" x14ac:dyDescent="0.25"/>
  <cols>
    <col min="1" max="2" width="3.28515625" style="60" customWidth="1"/>
    <col min="3" max="3" width="48.85546875" style="60" customWidth="1"/>
    <col min="4" max="4" width="14.7109375" style="60" customWidth="1"/>
    <col min="5" max="5" width="13" style="60" customWidth="1"/>
    <col min="6" max="6" width="11.140625" style="94" customWidth="1"/>
    <col min="7" max="7" width="12.42578125" style="63" customWidth="1"/>
    <col min="8" max="8" width="11.7109375" style="60" customWidth="1"/>
    <col min="9" max="9" width="9.7109375" style="63" customWidth="1"/>
    <col min="10" max="10" width="9.85546875" style="63" customWidth="1"/>
    <col min="11" max="11" width="3.28515625" style="60" customWidth="1"/>
    <col min="12" max="12" width="15.42578125" style="60" customWidth="1"/>
    <col min="13" max="16384" width="11.42578125" style="60"/>
  </cols>
  <sheetData>
    <row r="1" spans="3:19" ht="10.5" customHeight="1" x14ac:dyDescent="0.25">
      <c r="F1" s="63"/>
      <c r="H1" s="62"/>
    </row>
    <row r="2" spans="3:19" ht="10.5" customHeight="1" x14ac:dyDescent="0.25">
      <c r="F2" s="63"/>
      <c r="H2" s="62"/>
    </row>
    <row r="3" spans="3:19" ht="15.75" x14ac:dyDescent="0.25">
      <c r="C3" s="234" t="s">
        <v>0</v>
      </c>
      <c r="D3" s="234"/>
      <c r="E3" s="234"/>
      <c r="F3" s="234"/>
      <c r="G3" s="234"/>
      <c r="H3" s="234"/>
      <c r="I3" s="234"/>
      <c r="J3" s="234"/>
      <c r="K3" s="1"/>
      <c r="L3" s="1"/>
      <c r="M3" s="4"/>
      <c r="N3" s="4"/>
      <c r="O3" s="4"/>
      <c r="P3" s="4"/>
      <c r="Q3" s="4"/>
      <c r="R3" s="4"/>
      <c r="S3" s="4"/>
    </row>
    <row r="4" spans="3:19" ht="15.75" x14ac:dyDescent="0.25">
      <c r="C4" s="235" t="s">
        <v>1</v>
      </c>
      <c r="D4" s="235"/>
      <c r="E4" s="235"/>
      <c r="F4" s="235"/>
      <c r="G4" s="235"/>
      <c r="H4" s="235"/>
      <c r="I4" s="235"/>
      <c r="J4" s="235"/>
      <c r="K4" s="79"/>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0" t="s">
        <v>83</v>
      </c>
      <c r="D6" s="52"/>
      <c r="E6" s="52"/>
      <c r="F6" s="81"/>
    </row>
    <row r="7" spans="3:19" x14ac:dyDescent="0.25">
      <c r="C7" s="82" t="s">
        <v>84</v>
      </c>
      <c r="D7" s="83"/>
      <c r="E7" s="83"/>
      <c r="F7" s="81"/>
    </row>
    <row r="8" spans="3:19" ht="26.25" customHeight="1" x14ac:dyDescent="0.25">
      <c r="C8" s="84"/>
      <c r="D8" s="245" t="s">
        <v>130</v>
      </c>
      <c r="E8" s="246"/>
      <c r="F8" s="246"/>
      <c r="G8" s="247" t="s">
        <v>131</v>
      </c>
      <c r="H8" s="248"/>
      <c r="I8" s="248"/>
      <c r="J8" s="249"/>
    </row>
    <row r="9" spans="3:19" ht="24" x14ac:dyDescent="0.25">
      <c r="C9" s="85" t="s">
        <v>85</v>
      </c>
      <c r="D9" s="96">
        <v>2025</v>
      </c>
      <c r="E9" s="95">
        <v>2026</v>
      </c>
      <c r="F9" s="107" t="s">
        <v>24</v>
      </c>
      <c r="G9" s="96">
        <v>2025</v>
      </c>
      <c r="H9" s="95">
        <v>2026</v>
      </c>
      <c r="I9" s="161" t="s">
        <v>24</v>
      </c>
      <c r="J9" s="138" t="s">
        <v>30</v>
      </c>
    </row>
    <row r="10" spans="3:19" ht="4.5" customHeight="1" x14ac:dyDescent="0.25">
      <c r="D10" s="212"/>
      <c r="E10" s="212"/>
      <c r="F10" s="63"/>
      <c r="H10" s="212"/>
    </row>
    <row r="11" spans="3:19" x14ac:dyDescent="0.25">
      <c r="C11" s="86" t="s">
        <v>86</v>
      </c>
      <c r="D11" s="141">
        <f>+SUM(D12:D26)</f>
        <v>220911.28287911677</v>
      </c>
      <c r="E11" s="141">
        <f>+SUM(E12:E26)</f>
        <v>226095.53019580001</v>
      </c>
      <c r="F11" s="162">
        <f>(E11-D11)/D11</f>
        <v>2.3467553350455479E-2</v>
      </c>
      <c r="G11" s="145">
        <f>+SUM(G12:G26)</f>
        <v>1107684.922632921</v>
      </c>
      <c r="H11" s="141">
        <f>+SUM(H12:H26)</f>
        <v>1144379.6294050366</v>
      </c>
      <c r="I11" s="164">
        <f>(H11-G11)/G11</f>
        <v>3.3127386698460923E-2</v>
      </c>
      <c r="J11" s="164">
        <f>SUM(J12:J26)</f>
        <v>1</v>
      </c>
    </row>
    <row r="12" spans="3:19" x14ac:dyDescent="0.25">
      <c r="C12" s="87" t="s">
        <v>90</v>
      </c>
      <c r="D12" s="142">
        <v>23589.915440899997</v>
      </c>
      <c r="E12" s="142">
        <v>39952.631937999999</v>
      </c>
      <c r="F12" s="163">
        <f t="shared" ref="F12:F76" si="0">+E12/D12-1</f>
        <v>0.6936318418814873</v>
      </c>
      <c r="G12" s="151">
        <v>145108.10163670999</v>
      </c>
      <c r="H12" s="142">
        <v>224297.33754060001</v>
      </c>
      <c r="I12" s="166">
        <f t="shared" ref="I12:I77" si="1">+H12/G12-1</f>
        <v>0.5457258072478044</v>
      </c>
      <c r="J12" s="166">
        <f t="shared" ref="J12:J26" si="2">(H12/$H$11)</f>
        <v>0.19599906515044513</v>
      </c>
    </row>
    <row r="13" spans="3:19" x14ac:dyDescent="0.25">
      <c r="C13" s="87" t="s">
        <v>87</v>
      </c>
      <c r="D13" s="142">
        <v>40460.053507483797</v>
      </c>
      <c r="E13" s="142">
        <v>37761.027851999999</v>
      </c>
      <c r="F13" s="163">
        <f t="shared" si="0"/>
        <v>-6.6708405488998368E-2</v>
      </c>
      <c r="G13" s="151">
        <v>198733.56211975671</v>
      </c>
      <c r="H13" s="142">
        <v>186134.50061005499</v>
      </c>
      <c r="I13" s="166">
        <f t="shared" si="1"/>
        <v>-6.3396747762763495E-2</v>
      </c>
      <c r="J13" s="166">
        <f t="shared" si="2"/>
        <v>0.16265100830816639</v>
      </c>
    </row>
    <row r="14" spans="3:19" x14ac:dyDescent="0.25">
      <c r="C14" s="87" t="s">
        <v>88</v>
      </c>
      <c r="D14" s="142">
        <v>37668.601260000003</v>
      </c>
      <c r="E14" s="142">
        <v>35682.581969999999</v>
      </c>
      <c r="F14" s="163">
        <f t="shared" si="0"/>
        <v>-5.2723467916737876E-2</v>
      </c>
      <c r="G14" s="151">
        <v>173091.23968599999</v>
      </c>
      <c r="H14" s="142">
        <v>175044.75194399999</v>
      </c>
      <c r="I14" s="166">
        <f t="shared" si="1"/>
        <v>1.1286026153280782E-2</v>
      </c>
      <c r="J14" s="166">
        <f t="shared" si="2"/>
        <v>0.15296038783476584</v>
      </c>
    </row>
    <row r="15" spans="3:19" x14ac:dyDescent="0.25">
      <c r="C15" s="88" t="s">
        <v>89</v>
      </c>
      <c r="D15" s="143">
        <v>29689.082580789996</v>
      </c>
      <c r="E15" s="143">
        <v>30476.414386</v>
      </c>
      <c r="F15" s="163">
        <f t="shared" si="0"/>
        <v>2.6519236593704587E-2</v>
      </c>
      <c r="G15" s="151">
        <v>166275.71507167001</v>
      </c>
      <c r="H15" s="142">
        <v>161267.71861446</v>
      </c>
      <c r="I15" s="166">
        <f t="shared" si="1"/>
        <v>-3.0118628297893135E-2</v>
      </c>
      <c r="J15" s="166">
        <f t="shared" si="2"/>
        <v>0.14092152155688331</v>
      </c>
    </row>
    <row r="16" spans="3:19" x14ac:dyDescent="0.25">
      <c r="C16" s="89" t="s">
        <v>92</v>
      </c>
      <c r="D16" s="143">
        <v>21345.560759607997</v>
      </c>
      <c r="E16" s="143">
        <v>20925.120688000006</v>
      </c>
      <c r="F16" s="163">
        <f t="shared" si="0"/>
        <v>-1.9696838904489478E-2</v>
      </c>
      <c r="G16" s="151">
        <v>102576.203976533</v>
      </c>
      <c r="H16" s="142">
        <v>98542.285635234017</v>
      </c>
      <c r="I16" s="166">
        <f t="shared" si="1"/>
        <v>-3.9326063793722055E-2</v>
      </c>
      <c r="J16" s="166">
        <f t="shared" si="2"/>
        <v>8.6109786563105972E-2</v>
      </c>
    </row>
    <row r="17" spans="3:10" x14ac:dyDescent="0.25">
      <c r="C17" s="89" t="s">
        <v>91</v>
      </c>
      <c r="D17" s="143">
        <v>21747.416340464002</v>
      </c>
      <c r="E17" s="143">
        <v>19658.439023999999</v>
      </c>
      <c r="F17" s="163">
        <f t="shared" si="0"/>
        <v>-9.6056344522046921E-2</v>
      </c>
      <c r="G17" s="151">
        <v>105850.98682832401</v>
      </c>
      <c r="H17" s="142">
        <v>96073.605005624006</v>
      </c>
      <c r="I17" s="166">
        <f t="shared" si="1"/>
        <v>-9.2369302504072048E-2</v>
      </c>
      <c r="J17" s="166">
        <f t="shared" si="2"/>
        <v>8.3952564810658784E-2</v>
      </c>
    </row>
    <row r="18" spans="3:10" x14ac:dyDescent="0.25">
      <c r="C18" s="89" t="s">
        <v>94</v>
      </c>
      <c r="D18" s="143">
        <v>17059.013424680001</v>
      </c>
      <c r="E18" s="143">
        <v>14526.558133999999</v>
      </c>
      <c r="F18" s="163">
        <f t="shared" si="0"/>
        <v>-0.14845262311689089</v>
      </c>
      <c r="G18" s="151">
        <v>72812.391969429998</v>
      </c>
      <c r="H18" s="142">
        <v>73763.042357339989</v>
      </c>
      <c r="I18" s="166">
        <f t="shared" si="1"/>
        <v>1.3056162037762942E-2</v>
      </c>
      <c r="J18" s="166">
        <f t="shared" si="2"/>
        <v>6.445679428572966E-2</v>
      </c>
    </row>
    <row r="19" spans="3:10" x14ac:dyDescent="0.25">
      <c r="C19" s="89" t="s">
        <v>93</v>
      </c>
      <c r="D19" s="143">
        <v>17218.735804920001</v>
      </c>
      <c r="E19" s="143">
        <v>14899.9653</v>
      </c>
      <c r="F19" s="163">
        <f t="shared" si="0"/>
        <v>-0.13466554869013359</v>
      </c>
      <c r="G19" s="151">
        <v>80114.085212279999</v>
      </c>
      <c r="H19" s="142">
        <v>71359.69588195</v>
      </c>
      <c r="I19" s="166">
        <f t="shared" si="1"/>
        <v>-0.10927403473600561</v>
      </c>
      <c r="J19" s="166">
        <f t="shared" si="2"/>
        <v>6.2356663862541781E-2</v>
      </c>
    </row>
    <row r="20" spans="3:10" x14ac:dyDescent="0.25">
      <c r="C20" s="89" t="s">
        <v>95</v>
      </c>
      <c r="D20" s="143">
        <v>5071.3794790909997</v>
      </c>
      <c r="E20" s="143">
        <v>5143.1347860000005</v>
      </c>
      <c r="F20" s="163">
        <f t="shared" si="0"/>
        <v>1.4149070722245138E-2</v>
      </c>
      <c r="G20" s="151">
        <v>24096.031721578001</v>
      </c>
      <c r="H20" s="142">
        <v>22971.924959062002</v>
      </c>
      <c r="I20" s="166">
        <f t="shared" si="1"/>
        <v>-4.6651115648613684E-2</v>
      </c>
      <c r="J20" s="166">
        <f t="shared" si="2"/>
        <v>2.0073692653027313E-2</v>
      </c>
    </row>
    <row r="21" spans="3:10" x14ac:dyDescent="0.25">
      <c r="C21" s="89" t="s">
        <v>96</v>
      </c>
      <c r="D21" s="143">
        <v>3147.2960919800003</v>
      </c>
      <c r="E21" s="143">
        <v>3670.5887150000003</v>
      </c>
      <c r="F21" s="163">
        <f t="shared" si="0"/>
        <v>0.16626736338962966</v>
      </c>
      <c r="G21" s="151">
        <v>20298.006543624</v>
      </c>
      <c r="H21" s="142">
        <v>18575.56599159</v>
      </c>
      <c r="I21" s="166">
        <f t="shared" si="1"/>
        <v>-8.4857621280797768E-2</v>
      </c>
      <c r="J21" s="166">
        <f t="shared" si="2"/>
        <v>1.6231996371035933E-2</v>
      </c>
    </row>
    <row r="22" spans="3:10" x14ac:dyDescent="0.25">
      <c r="C22" s="89" t="s">
        <v>97</v>
      </c>
      <c r="D22" s="143">
        <v>1965.0454</v>
      </c>
      <c r="E22" s="143">
        <v>1528.699014</v>
      </c>
      <c r="F22" s="163">
        <f t="shared" si="0"/>
        <v>-0.22205409910631069</v>
      </c>
      <c r="G22" s="151">
        <v>9959.4926149999992</v>
      </c>
      <c r="H22" s="142">
        <v>7847.9114769000007</v>
      </c>
      <c r="I22" s="166">
        <f t="shared" si="1"/>
        <v>-0.21201693898740837</v>
      </c>
      <c r="J22" s="166">
        <f t="shared" si="2"/>
        <v>6.8577867652014511E-3</v>
      </c>
    </row>
    <row r="23" spans="3:10" x14ac:dyDescent="0.25">
      <c r="C23" s="89" t="s">
        <v>98</v>
      </c>
      <c r="D23" s="143">
        <v>1574.2875857000001</v>
      </c>
      <c r="E23" s="143">
        <v>1621.5196017999999</v>
      </c>
      <c r="F23" s="163">
        <f t="shared" si="0"/>
        <v>3.0002152420580908E-2</v>
      </c>
      <c r="G23" s="151">
        <v>7386.238125885</v>
      </c>
      <c r="H23" s="142">
        <v>7372.9062570999986</v>
      </c>
      <c r="I23" s="166">
        <f t="shared" si="1"/>
        <v>-1.8049605980451355E-3</v>
      </c>
      <c r="J23" s="166">
        <f t="shared" si="2"/>
        <v>6.4427101528652473E-3</v>
      </c>
    </row>
    <row r="24" spans="3:10" x14ac:dyDescent="0.25">
      <c r="C24" s="89" t="s">
        <v>99</v>
      </c>
      <c r="D24" s="143">
        <v>153.0512118</v>
      </c>
      <c r="E24" s="143">
        <v>164.556997</v>
      </c>
      <c r="F24" s="163">
        <f t="shared" si="0"/>
        <v>7.5176047707712357E-2</v>
      </c>
      <c r="G24" s="151">
        <v>713.88629400000002</v>
      </c>
      <c r="H24" s="142">
        <v>850.18874529999994</v>
      </c>
      <c r="I24" s="166">
        <f t="shared" si="1"/>
        <v>0.19093019777180364</v>
      </c>
      <c r="J24" s="166">
        <f t="shared" si="2"/>
        <v>7.4292544489105723E-4</v>
      </c>
    </row>
    <row r="25" spans="3:10" x14ac:dyDescent="0.25">
      <c r="C25" s="89" t="s">
        <v>100</v>
      </c>
      <c r="D25" s="143">
        <v>175.57077810000001</v>
      </c>
      <c r="E25" s="143">
        <v>84.291790000000006</v>
      </c>
      <c r="F25" s="163">
        <f t="shared" si="0"/>
        <v>-0.51989852233843914</v>
      </c>
      <c r="G25" s="151">
        <v>503.85285729999998</v>
      </c>
      <c r="H25" s="142">
        <v>163.28291342150001</v>
      </c>
      <c r="I25" s="166">
        <f t="shared" si="1"/>
        <v>-0.67593135365653101</v>
      </c>
      <c r="J25" s="218">
        <f t="shared" si="2"/>
        <v>1.4268247111877627E-4</v>
      </c>
    </row>
    <row r="26" spans="3:10" x14ac:dyDescent="0.25">
      <c r="C26" s="74" t="s">
        <v>101</v>
      </c>
      <c r="D26" s="144">
        <v>46.273213600000005</v>
      </c>
      <c r="E26" s="144">
        <v>0</v>
      </c>
      <c r="F26" s="163" t="s">
        <v>43</v>
      </c>
      <c r="G26" s="156">
        <v>165.12797482999997</v>
      </c>
      <c r="H26" s="157">
        <v>114.91147240000001</v>
      </c>
      <c r="I26" s="166">
        <f t="shared" si="1"/>
        <v>-0.30410657238240879</v>
      </c>
      <c r="J26" s="218">
        <f t="shared" si="2"/>
        <v>1.0041376956328952E-4</v>
      </c>
    </row>
    <row r="27" spans="3:10" x14ac:dyDescent="0.25">
      <c r="C27" s="86" t="s">
        <v>102</v>
      </c>
      <c r="D27" s="145">
        <f>+SUM(D28:D43)</f>
        <v>8890323.5848510806</v>
      </c>
      <c r="E27" s="141">
        <f>+SUM(E28:E43)</f>
        <v>8388461.5521410955</v>
      </c>
      <c r="F27" s="164">
        <f>+E27/D27-1</f>
        <v>-5.6450367404528135E-2</v>
      </c>
      <c r="G27" s="145">
        <f>+SUM(G28:G43)</f>
        <v>43546265.040167823</v>
      </c>
      <c r="H27" s="141">
        <f>+SUM(H28:H43)</f>
        <v>41631195.035801291</v>
      </c>
      <c r="I27" s="164">
        <f>+H27/G27-1</f>
        <v>-4.3977824564289003E-2</v>
      </c>
      <c r="J27" s="171">
        <f>SUM(J28:J43)</f>
        <v>1.0000000000000002</v>
      </c>
    </row>
    <row r="28" spans="3:10" x14ac:dyDescent="0.25">
      <c r="C28" s="90" t="s">
        <v>103</v>
      </c>
      <c r="D28" s="142">
        <v>2594236.4370279498</v>
      </c>
      <c r="E28" s="146">
        <v>2435930.9512390001</v>
      </c>
      <c r="F28" s="163">
        <f t="shared" si="0"/>
        <v>-6.1021996117790356E-2</v>
      </c>
      <c r="G28" s="149">
        <v>12859340.455006158</v>
      </c>
      <c r="H28" s="150">
        <v>10988825.3516021</v>
      </c>
      <c r="I28" s="165">
        <f t="shared" si="1"/>
        <v>-0.14545964545762258</v>
      </c>
      <c r="J28" s="172">
        <f t="shared" ref="J28:J42" si="3">(H28/$H$27)</f>
        <v>0.26395651967598133</v>
      </c>
    </row>
    <row r="29" spans="3:10" x14ac:dyDescent="0.25">
      <c r="C29" s="87" t="s">
        <v>97</v>
      </c>
      <c r="D29" s="142">
        <v>2229602.305898</v>
      </c>
      <c r="E29" s="146">
        <v>1962431.8061400002</v>
      </c>
      <c r="F29" s="163">
        <f t="shared" si="0"/>
        <v>-0.11982876903708328</v>
      </c>
      <c r="G29" s="151">
        <v>9825385.4083389994</v>
      </c>
      <c r="H29" s="142">
        <v>10658013.249575</v>
      </c>
      <c r="I29" s="166">
        <f t="shared" si="1"/>
        <v>8.474251203716987E-2</v>
      </c>
      <c r="J29" s="173">
        <f t="shared" si="3"/>
        <v>0.25601026442814101</v>
      </c>
    </row>
    <row r="30" spans="3:10" x14ac:dyDescent="0.25">
      <c r="C30" s="87" t="s">
        <v>89</v>
      </c>
      <c r="D30" s="142">
        <v>1845651.6708471437</v>
      </c>
      <c r="E30" s="146">
        <v>1827489.8906269995</v>
      </c>
      <c r="F30" s="163">
        <f t="shared" si="0"/>
        <v>-9.8403076306419202E-3</v>
      </c>
      <c r="G30" s="151">
        <v>9604170.629154617</v>
      </c>
      <c r="H30" s="143">
        <v>9109212.3798420131</v>
      </c>
      <c r="I30" s="166">
        <f t="shared" si="1"/>
        <v>-5.1535761746058339E-2</v>
      </c>
      <c r="J30" s="173">
        <f t="shared" si="3"/>
        <v>0.21880737202015044</v>
      </c>
    </row>
    <row r="31" spans="3:10" x14ac:dyDescent="0.25">
      <c r="C31" s="87" t="s">
        <v>101</v>
      </c>
      <c r="D31" s="143">
        <v>678451.02901159192</v>
      </c>
      <c r="E31" s="147">
        <v>676070.07404600002</v>
      </c>
      <c r="F31" s="163">
        <f t="shared" si="0"/>
        <v>-3.5093984145924129E-3</v>
      </c>
      <c r="G31" s="151">
        <v>3488115.4086588798</v>
      </c>
      <c r="H31" s="142">
        <v>3350860.7358632069</v>
      </c>
      <c r="I31" s="166">
        <f t="shared" si="1"/>
        <v>-3.9349234963657609E-2</v>
      </c>
      <c r="J31" s="173">
        <f t="shared" si="3"/>
        <v>8.0489179639969266E-2</v>
      </c>
    </row>
    <row r="32" spans="3:10" x14ac:dyDescent="0.25">
      <c r="C32" s="87" t="s">
        <v>96</v>
      </c>
      <c r="D32" s="143">
        <v>348292.06812687503</v>
      </c>
      <c r="E32" s="147">
        <v>362732.78859499993</v>
      </c>
      <c r="F32" s="163">
        <f t="shared" si="0"/>
        <v>4.1461525511584441E-2</v>
      </c>
      <c r="G32" s="151">
        <v>2101541.3185763229</v>
      </c>
      <c r="H32" s="143">
        <v>2145848.2148043378</v>
      </c>
      <c r="I32" s="166">
        <f t="shared" si="1"/>
        <v>2.108304787365789E-2</v>
      </c>
      <c r="J32" s="173">
        <f t="shared" si="3"/>
        <v>5.1544237751498308E-2</v>
      </c>
    </row>
    <row r="33" spans="3:10" x14ac:dyDescent="0.25">
      <c r="C33" s="87" t="s">
        <v>88</v>
      </c>
      <c r="D33" s="143">
        <v>228426.43247699999</v>
      </c>
      <c r="E33" s="147">
        <v>180438.23699999999</v>
      </c>
      <c r="F33" s="163">
        <f t="shared" si="0"/>
        <v>-0.21008162215128878</v>
      </c>
      <c r="G33" s="151">
        <v>1121153.8758769999</v>
      </c>
      <c r="H33" s="142">
        <v>1175645.0660080002</v>
      </c>
      <c r="I33" s="166">
        <f t="shared" si="1"/>
        <v>4.8602775500709683E-2</v>
      </c>
      <c r="J33" s="173">
        <f t="shared" si="3"/>
        <v>2.8239522430162978E-2</v>
      </c>
    </row>
    <row r="34" spans="3:10" x14ac:dyDescent="0.25">
      <c r="C34" s="87" t="s">
        <v>94</v>
      </c>
      <c r="D34" s="143">
        <v>147518.104334</v>
      </c>
      <c r="E34" s="147">
        <v>280102.82515000005</v>
      </c>
      <c r="F34" s="163">
        <f t="shared" si="0"/>
        <v>0.89876914711302924</v>
      </c>
      <c r="G34" s="151">
        <v>675503.98538299999</v>
      </c>
      <c r="H34" s="142">
        <v>1032531.968362</v>
      </c>
      <c r="I34" s="166">
        <f t="shared" si="1"/>
        <v>0.52853571659769072</v>
      </c>
      <c r="J34" s="173">
        <f t="shared" si="3"/>
        <v>2.4801881557184716E-2</v>
      </c>
    </row>
    <row r="35" spans="3:10" x14ac:dyDescent="0.25">
      <c r="C35" s="87" t="s">
        <v>100</v>
      </c>
      <c r="D35" s="143">
        <v>235569.04180301406</v>
      </c>
      <c r="E35" s="147">
        <v>188362.60363009662</v>
      </c>
      <c r="F35" s="163">
        <f t="shared" si="0"/>
        <v>-0.20039321725641723</v>
      </c>
      <c r="G35" s="151">
        <v>1225866.3972857867</v>
      </c>
      <c r="H35" s="142">
        <v>982543.7622723938</v>
      </c>
      <c r="I35" s="166">
        <f t="shared" si="1"/>
        <v>-0.19849033757034051</v>
      </c>
      <c r="J35" s="173">
        <f t="shared" si="3"/>
        <v>2.360114239880557E-2</v>
      </c>
    </row>
    <row r="36" spans="3:10" x14ac:dyDescent="0.25">
      <c r="C36" s="87" t="s">
        <v>95</v>
      </c>
      <c r="D36" s="143">
        <v>139861.06123560001</v>
      </c>
      <c r="E36" s="147">
        <v>126050.94393000001</v>
      </c>
      <c r="F36" s="163">
        <f t="shared" si="0"/>
        <v>-9.8741688241135606E-2</v>
      </c>
      <c r="G36" s="151">
        <v>604670.27845710004</v>
      </c>
      <c r="H36" s="142">
        <v>591542.40092170006</v>
      </c>
      <c r="I36" s="166">
        <f t="shared" si="1"/>
        <v>-2.171080339668352E-2</v>
      </c>
      <c r="J36" s="174">
        <f t="shared" si="3"/>
        <v>1.4209114112938516E-2</v>
      </c>
    </row>
    <row r="37" spans="3:10" x14ac:dyDescent="0.25">
      <c r="C37" s="87" t="s">
        <v>91</v>
      </c>
      <c r="D37" s="143">
        <v>151396.20587786401</v>
      </c>
      <c r="E37" s="147">
        <v>122492.10586499999</v>
      </c>
      <c r="F37" s="163">
        <f t="shared" si="0"/>
        <v>-0.19091693774797658</v>
      </c>
      <c r="G37" s="151">
        <v>710415.46938134497</v>
      </c>
      <c r="H37" s="142">
        <v>583541.36952198716</v>
      </c>
      <c r="I37" s="166">
        <f t="shared" si="1"/>
        <v>-0.17859140929158579</v>
      </c>
      <c r="J37" s="174">
        <f t="shared" si="3"/>
        <v>1.4016925745709752E-2</v>
      </c>
    </row>
    <row r="38" spans="3:10" x14ac:dyDescent="0.25">
      <c r="C38" s="87" t="s">
        <v>104</v>
      </c>
      <c r="D38" s="143">
        <v>109536.98523788546</v>
      </c>
      <c r="E38" s="147">
        <v>107843.59264599995</v>
      </c>
      <c r="F38" s="163">
        <f t="shared" si="0"/>
        <v>-1.5459550837627178E-2</v>
      </c>
      <c r="G38" s="151">
        <v>521487.8693006275</v>
      </c>
      <c r="H38" s="142">
        <v>530790.23958755843</v>
      </c>
      <c r="I38" s="166">
        <f t="shared" si="1"/>
        <v>1.7838133606840056E-2</v>
      </c>
      <c r="J38" s="173">
        <f t="shared" si="3"/>
        <v>1.2749819915837112E-2</v>
      </c>
    </row>
    <row r="39" spans="3:10" x14ac:dyDescent="0.25">
      <c r="C39" s="87" t="s">
        <v>93</v>
      </c>
      <c r="D39" s="143">
        <v>49595.242910000001</v>
      </c>
      <c r="E39" s="147">
        <v>45198.919679999999</v>
      </c>
      <c r="F39" s="163">
        <f t="shared" si="0"/>
        <v>-8.8644050760633752E-2</v>
      </c>
      <c r="G39" s="151">
        <v>190474.33255000002</v>
      </c>
      <c r="H39" s="142">
        <v>222273.23043</v>
      </c>
      <c r="I39" s="166">
        <f t="shared" si="1"/>
        <v>0.16694584227852682</v>
      </c>
      <c r="J39" s="173">
        <f t="shared" si="3"/>
        <v>5.3391028107373142E-3</v>
      </c>
    </row>
    <row r="40" spans="3:10" x14ac:dyDescent="0.25">
      <c r="C40" s="87" t="s">
        <v>98</v>
      </c>
      <c r="D40" s="143">
        <v>69964.892170000006</v>
      </c>
      <c r="E40" s="147">
        <v>26446.409479999998</v>
      </c>
      <c r="F40" s="163">
        <f t="shared" si="0"/>
        <v>-0.6220045702959025</v>
      </c>
      <c r="G40" s="151">
        <v>297986.85831385298</v>
      </c>
      <c r="H40" s="142">
        <v>130748.2058</v>
      </c>
      <c r="I40" s="166">
        <f t="shared" si="1"/>
        <v>-0.56122828187849083</v>
      </c>
      <c r="J40" s="173">
        <f t="shared" si="3"/>
        <v>3.1406306181593242E-3</v>
      </c>
    </row>
    <row r="41" spans="3:10" x14ac:dyDescent="0.25">
      <c r="C41" s="87" t="s">
        <v>105</v>
      </c>
      <c r="D41" s="143">
        <v>47797.64553415621</v>
      </c>
      <c r="E41" s="147">
        <v>25847.830371</v>
      </c>
      <c r="F41" s="163">
        <f t="shared" si="0"/>
        <v>-0.45922377384615876</v>
      </c>
      <c r="G41" s="151">
        <v>251728.3101241469</v>
      </c>
      <c r="H41" s="142">
        <v>61189.372458988903</v>
      </c>
      <c r="I41" s="166">
        <f t="shared" si="1"/>
        <v>-0.75692296019938465</v>
      </c>
      <c r="J41" s="174">
        <f t="shared" si="3"/>
        <v>1.4697962046577885E-3</v>
      </c>
    </row>
    <row r="42" spans="3:10" x14ac:dyDescent="0.25">
      <c r="C42" s="87" t="s">
        <v>87</v>
      </c>
      <c r="D42" s="143">
        <v>13161.60792</v>
      </c>
      <c r="E42" s="147">
        <v>10414.168589999999</v>
      </c>
      <c r="F42" s="163">
        <f t="shared" si="0"/>
        <v>-0.2087464804224316</v>
      </c>
      <c r="G42" s="151">
        <v>61856.033470000002</v>
      </c>
      <c r="H42" s="142">
        <v>53373.944759999998</v>
      </c>
      <c r="I42" s="166">
        <f t="shared" si="1"/>
        <v>-0.13712629527261544</v>
      </c>
      <c r="J42" s="174">
        <f t="shared" si="3"/>
        <v>1.2820661216691083E-3</v>
      </c>
    </row>
    <row r="43" spans="3:10" x14ac:dyDescent="0.25">
      <c r="C43" s="87" t="s">
        <v>90</v>
      </c>
      <c r="D43" s="143">
        <v>1262.8544400000001</v>
      </c>
      <c r="E43" s="147">
        <v>10608.405151999999</v>
      </c>
      <c r="F43" s="163">
        <f t="shared" si="0"/>
        <v>7.400338800725125</v>
      </c>
      <c r="G43" s="151">
        <v>6568.4102900000007</v>
      </c>
      <c r="H43" s="142">
        <v>14255.543991999999</v>
      </c>
      <c r="I43" s="166">
        <f t="shared" si="1"/>
        <v>1.1703187472474403</v>
      </c>
      <c r="J43" s="174">
        <f>(H43/$H$27)</f>
        <v>3.424245683973462E-4</v>
      </c>
    </row>
    <row r="44" spans="3:10" x14ac:dyDescent="0.25">
      <c r="C44" s="86" t="s">
        <v>106</v>
      </c>
      <c r="D44" s="145">
        <f>+SUM(D45:D56)</f>
        <v>121150.670330309</v>
      </c>
      <c r="E44" s="141">
        <f>+SUM(E45:E56)</f>
        <v>104727.58932899999</v>
      </c>
      <c r="F44" s="164">
        <f t="shared" si="0"/>
        <v>-0.1355591426488405</v>
      </c>
      <c r="G44" s="145">
        <f>+SUM(G45:G56)</f>
        <v>580291.63455970702</v>
      </c>
      <c r="H44" s="141">
        <f>+SUM(H45:H56)</f>
        <v>542544.26986000198</v>
      </c>
      <c r="I44" s="164">
        <f t="shared" si="1"/>
        <v>-6.504895547623335E-2</v>
      </c>
      <c r="J44" s="171">
        <f>SUM(J45:J56)</f>
        <v>1.0000000000000002</v>
      </c>
    </row>
    <row r="45" spans="3:10" x14ac:dyDescent="0.25">
      <c r="C45" s="90" t="s">
        <v>90</v>
      </c>
      <c r="D45" s="149">
        <v>49274.970812900014</v>
      </c>
      <c r="E45" s="150">
        <v>28185.302034999997</v>
      </c>
      <c r="F45" s="165">
        <f t="shared" si="0"/>
        <v>-0.42799961988772639</v>
      </c>
      <c r="G45" s="142">
        <v>227282.31692895002</v>
      </c>
      <c r="H45" s="146">
        <v>161256.96369665</v>
      </c>
      <c r="I45" s="163">
        <f t="shared" si="1"/>
        <v>-0.29049929675320929</v>
      </c>
      <c r="J45" s="172">
        <f t="shared" ref="J45:J55" si="4">(H45/$H$44)</f>
        <v>0.29722360488345168</v>
      </c>
    </row>
    <row r="46" spans="3:10" x14ac:dyDescent="0.25">
      <c r="C46" s="89" t="s">
        <v>92</v>
      </c>
      <c r="D46" s="151">
        <v>18864.350809738004</v>
      </c>
      <c r="E46" s="142">
        <v>22465.612359999992</v>
      </c>
      <c r="F46" s="166">
        <f t="shared" si="0"/>
        <v>0.19090302054831243</v>
      </c>
      <c r="G46" s="142">
        <v>91961.108299612009</v>
      </c>
      <c r="H46" s="146">
        <v>114920.457447441</v>
      </c>
      <c r="I46" s="163">
        <f t="shared" si="1"/>
        <v>0.24966368470709122</v>
      </c>
      <c r="J46" s="173">
        <f t="shared" si="4"/>
        <v>0.21181765955632534</v>
      </c>
    </row>
    <row r="47" spans="3:10" x14ac:dyDescent="0.25">
      <c r="C47" s="87" t="s">
        <v>96</v>
      </c>
      <c r="D47" s="151">
        <v>12672.861094679998</v>
      </c>
      <c r="E47" s="142">
        <v>13593.750271000001</v>
      </c>
      <c r="F47" s="166">
        <f t="shared" si="0"/>
        <v>7.266624083069817E-2</v>
      </c>
      <c r="G47" s="142">
        <v>74147.191023480016</v>
      </c>
      <c r="H47" s="146">
        <v>71896.672734569991</v>
      </c>
      <c r="I47" s="163">
        <f t="shared" si="1"/>
        <v>-3.0352037047463587E-2</v>
      </c>
      <c r="J47" s="173">
        <f t="shared" si="4"/>
        <v>0.13251761511207591</v>
      </c>
    </row>
    <row r="48" spans="3:10" x14ac:dyDescent="0.25">
      <c r="C48" s="89" t="s">
        <v>93</v>
      </c>
      <c r="D48" s="130">
        <v>12172.157343999999</v>
      </c>
      <c r="E48" s="143">
        <v>12536.512895999998</v>
      </c>
      <c r="F48" s="166">
        <f t="shared" si="0"/>
        <v>2.9933523015096331E-2</v>
      </c>
      <c r="G48" s="142">
        <v>57666.357991999997</v>
      </c>
      <c r="H48" s="146">
        <v>66669.244310000009</v>
      </c>
      <c r="I48" s="163">
        <f t="shared" si="1"/>
        <v>0.15612025159017273</v>
      </c>
      <c r="J48" s="173">
        <f t="shared" si="4"/>
        <v>0.12288258859908949</v>
      </c>
    </row>
    <row r="49" spans="3:10" x14ac:dyDescent="0.25">
      <c r="C49" s="89" t="s">
        <v>95</v>
      </c>
      <c r="D49" s="130">
        <v>16254.763349811001</v>
      </c>
      <c r="E49" s="143">
        <v>14442.148009999999</v>
      </c>
      <c r="F49" s="166">
        <f t="shared" si="0"/>
        <v>-0.11151287169198176</v>
      </c>
      <c r="G49" s="142">
        <v>70912.677565188002</v>
      </c>
      <c r="H49" s="146">
        <v>62226.759227680996</v>
      </c>
      <c r="I49" s="163">
        <f t="shared" si="1"/>
        <v>-0.12248752459702694</v>
      </c>
      <c r="J49" s="173">
        <f t="shared" si="4"/>
        <v>0.11469434419377054</v>
      </c>
    </row>
    <row r="50" spans="3:10" x14ac:dyDescent="0.25">
      <c r="C50" s="89" t="s">
        <v>99</v>
      </c>
      <c r="D50" s="130">
        <v>4299.7074195999994</v>
      </c>
      <c r="E50" s="143">
        <v>4760.8057909999998</v>
      </c>
      <c r="F50" s="166">
        <f t="shared" si="0"/>
        <v>0.10723947617879914</v>
      </c>
      <c r="G50" s="142">
        <v>20324.581449700003</v>
      </c>
      <c r="H50" s="146">
        <v>24301.878294099999</v>
      </c>
      <c r="I50" s="163">
        <f t="shared" si="1"/>
        <v>0.19568899139414753</v>
      </c>
      <c r="J50" s="173">
        <f t="shared" si="4"/>
        <v>4.479243380520976E-2</v>
      </c>
    </row>
    <row r="51" spans="3:10" x14ac:dyDescent="0.25">
      <c r="C51" s="89" t="s">
        <v>101</v>
      </c>
      <c r="D51" s="130">
        <v>3776.6358368800002</v>
      </c>
      <c r="E51" s="143">
        <v>5324.5657249999995</v>
      </c>
      <c r="F51" s="166">
        <f t="shared" si="0"/>
        <v>0.40987004174561714</v>
      </c>
      <c r="G51" s="142">
        <v>17762.292444049999</v>
      </c>
      <c r="H51" s="146">
        <v>22997.925046099997</v>
      </c>
      <c r="I51" s="163">
        <f t="shared" si="1"/>
        <v>0.2947610855153906</v>
      </c>
      <c r="J51" s="173">
        <f t="shared" si="4"/>
        <v>4.2389029474100573E-2</v>
      </c>
    </row>
    <row r="52" spans="3:10" x14ac:dyDescent="0.25">
      <c r="C52" s="89" t="s">
        <v>89</v>
      </c>
      <c r="D52" s="130">
        <v>2359.9860045</v>
      </c>
      <c r="E52" s="143">
        <v>1840.560467</v>
      </c>
      <c r="F52" s="166">
        <f t="shared" si="0"/>
        <v>-0.22009687197702188</v>
      </c>
      <c r="G52" s="142">
        <v>12133.622714499999</v>
      </c>
      <c r="H52" s="146">
        <v>9965.4635272999985</v>
      </c>
      <c r="I52" s="163">
        <f t="shared" si="1"/>
        <v>-0.1786901767275979</v>
      </c>
      <c r="J52" s="173">
        <f t="shared" si="4"/>
        <v>1.8368019129335722E-2</v>
      </c>
    </row>
    <row r="53" spans="3:10" x14ac:dyDescent="0.25">
      <c r="C53" s="89" t="s">
        <v>98</v>
      </c>
      <c r="D53" s="130">
        <v>1453.0801122</v>
      </c>
      <c r="E53" s="143">
        <v>1577.284574</v>
      </c>
      <c r="F53" s="166">
        <f t="shared" si="0"/>
        <v>8.5476678647780302E-2</v>
      </c>
      <c r="G53" s="142">
        <v>6481.7052811270005</v>
      </c>
      <c r="H53" s="146">
        <v>6805.4171675600001</v>
      </c>
      <c r="I53" s="163">
        <f t="shared" si="1"/>
        <v>4.9942395155725849E-2</v>
      </c>
      <c r="J53" s="173">
        <f t="shared" si="4"/>
        <v>1.2543524179724668E-2</v>
      </c>
    </row>
    <row r="54" spans="3:10" x14ac:dyDescent="0.25">
      <c r="C54" s="89" t="s">
        <v>100</v>
      </c>
      <c r="D54" s="152">
        <v>0</v>
      </c>
      <c r="E54" s="148">
        <v>0</v>
      </c>
      <c r="F54" s="166" t="s">
        <v>43</v>
      </c>
      <c r="G54" s="142">
        <v>1594.1321650999998</v>
      </c>
      <c r="H54" s="146">
        <v>1488.1025086000002</v>
      </c>
      <c r="I54" s="163">
        <f t="shared" si="1"/>
        <v>-6.6512462906956227E-2</v>
      </c>
      <c r="J54" s="173">
        <f t="shared" si="4"/>
        <v>2.7428222751002232E-3</v>
      </c>
    </row>
    <row r="55" spans="3:10" x14ac:dyDescent="0.25">
      <c r="C55" s="89" t="s">
        <v>94</v>
      </c>
      <c r="D55" s="219">
        <v>1.1507000000000001</v>
      </c>
      <c r="E55" s="220">
        <v>1.0471999999999999</v>
      </c>
      <c r="F55" s="166">
        <f t="shared" si="0"/>
        <v>-8.9945250716955027E-2</v>
      </c>
      <c r="G55" s="142">
        <v>4.6418499999999998</v>
      </c>
      <c r="H55" s="146">
        <v>15.385899999999999</v>
      </c>
      <c r="I55" s="163">
        <f t="shared" si="1"/>
        <v>2.3146051681980246</v>
      </c>
      <c r="J55" s="183">
        <f t="shared" si="4"/>
        <v>2.8358791816140967E-5</v>
      </c>
    </row>
    <row r="56" spans="3:10" x14ac:dyDescent="0.25">
      <c r="C56" s="89" t="s">
        <v>88</v>
      </c>
      <c r="D56" s="152">
        <v>21.006845999999999</v>
      </c>
      <c r="E56" s="148">
        <v>0</v>
      </c>
      <c r="F56" s="166" t="s">
        <v>43</v>
      </c>
      <c r="G56" s="158">
        <v>21.006845999999999</v>
      </c>
      <c r="H56" s="146">
        <v>0</v>
      </c>
      <c r="I56" s="163" t="s">
        <v>43</v>
      </c>
      <c r="J56" s="173" t="s">
        <v>43</v>
      </c>
    </row>
    <row r="57" spans="3:10" x14ac:dyDescent="0.25">
      <c r="C57" s="86" t="s">
        <v>107</v>
      </c>
      <c r="D57" s="145">
        <f>+SUM(D58:D74)</f>
        <v>314384.44364568905</v>
      </c>
      <c r="E57" s="141">
        <f>+SUM(E58:E74)</f>
        <v>278861.52881801955</v>
      </c>
      <c r="F57" s="164">
        <f t="shared" si="0"/>
        <v>-0.11299196110257859</v>
      </c>
      <c r="G57" s="145">
        <f>+SUM(G58:G74)</f>
        <v>1491657.5026488262</v>
      </c>
      <c r="H57" s="141">
        <f>+SUM(H58:H74)</f>
        <v>1463945.1797084631</v>
      </c>
      <c r="I57" s="164">
        <f t="shared" si="1"/>
        <v>-1.8578207726071549E-2</v>
      </c>
      <c r="J57" s="171">
        <f>SUM(J58:J74)</f>
        <v>0.99999999999999989</v>
      </c>
    </row>
    <row r="58" spans="3:10" x14ac:dyDescent="0.25">
      <c r="C58" s="90" t="s">
        <v>90</v>
      </c>
      <c r="D58" s="149">
        <v>62752.586649272198</v>
      </c>
      <c r="E58" s="150">
        <v>53324.286725999998</v>
      </c>
      <c r="F58" s="165">
        <f t="shared" si="0"/>
        <v>-0.15024559825665051</v>
      </c>
      <c r="G58" s="149">
        <v>271898.68142753979</v>
      </c>
      <c r="H58" s="150">
        <v>294864.45426662243</v>
      </c>
      <c r="I58" s="165">
        <f t="shared" si="1"/>
        <v>8.4464450943661395E-2</v>
      </c>
      <c r="J58" s="172">
        <f t="shared" ref="J58:J74" si="5">(H58/$H$57)</f>
        <v>0.20141768855398198</v>
      </c>
    </row>
    <row r="59" spans="3:10" x14ac:dyDescent="0.25">
      <c r="C59" s="87" t="s">
        <v>96</v>
      </c>
      <c r="D59" s="151">
        <v>56659.481783078088</v>
      </c>
      <c r="E59" s="142">
        <v>50551.783274999994</v>
      </c>
      <c r="F59" s="166">
        <f t="shared" si="0"/>
        <v>-0.10779658259956448</v>
      </c>
      <c r="G59" s="151">
        <v>308579.60110534308</v>
      </c>
      <c r="H59" s="142">
        <v>264790.04996909737</v>
      </c>
      <c r="I59" s="166">
        <f t="shared" si="1"/>
        <v>-0.14190682397472154</v>
      </c>
      <c r="J59" s="173">
        <f t="shared" si="5"/>
        <v>0.1808742934088754</v>
      </c>
    </row>
    <row r="60" spans="3:10" ht="15" customHeight="1" x14ac:dyDescent="0.25">
      <c r="C60" s="87" t="s">
        <v>92</v>
      </c>
      <c r="D60" s="151">
        <v>46804.542981039107</v>
      </c>
      <c r="E60" s="142">
        <v>42488.349187</v>
      </c>
      <c r="F60" s="166">
        <f t="shared" si="0"/>
        <v>-9.2217411369396984E-2</v>
      </c>
      <c r="G60" s="151">
        <v>203164.33304756909</v>
      </c>
      <c r="H60" s="142">
        <v>212542.45271115779</v>
      </c>
      <c r="I60" s="166">
        <f t="shared" si="1"/>
        <v>4.6160266041347375E-2</v>
      </c>
      <c r="J60" s="173">
        <f t="shared" si="5"/>
        <v>0.14518470749941914</v>
      </c>
    </row>
    <row r="61" spans="3:10" x14ac:dyDescent="0.25">
      <c r="C61" s="87" t="s">
        <v>95</v>
      </c>
      <c r="D61" s="151">
        <v>48110.084628414603</v>
      </c>
      <c r="E61" s="142">
        <v>42693.263221000001</v>
      </c>
      <c r="F61" s="166">
        <f t="shared" si="0"/>
        <v>-0.11259222363153643</v>
      </c>
      <c r="G61" s="151">
        <v>212953.7292583416</v>
      </c>
      <c r="H61" s="142">
        <v>203716.4232770245</v>
      </c>
      <c r="I61" s="166">
        <f t="shared" si="1"/>
        <v>-4.3377056666197178E-2</v>
      </c>
      <c r="J61" s="173">
        <f t="shared" si="5"/>
        <v>0.13915577311275654</v>
      </c>
    </row>
    <row r="62" spans="3:10" x14ac:dyDescent="0.25">
      <c r="C62" s="89" t="s">
        <v>88</v>
      </c>
      <c r="D62" s="130">
        <v>13764.920905474899</v>
      </c>
      <c r="E62" s="143">
        <v>13438.872767999999</v>
      </c>
      <c r="F62" s="166">
        <f t="shared" si="0"/>
        <v>-2.3686887829861503E-2</v>
      </c>
      <c r="G62" s="151">
        <v>61722.402554980799</v>
      </c>
      <c r="H62" s="142">
        <v>73111.695766256802</v>
      </c>
      <c r="I62" s="166">
        <f t="shared" si="1"/>
        <v>0.18452446340096218</v>
      </c>
      <c r="J62" s="173">
        <f t="shared" si="5"/>
        <v>4.9941552989584352E-2</v>
      </c>
    </row>
    <row r="63" spans="3:10" x14ac:dyDescent="0.25">
      <c r="C63" s="89" t="s">
        <v>101</v>
      </c>
      <c r="D63" s="130">
        <v>16417.220632579698</v>
      </c>
      <c r="E63" s="143">
        <v>12525.766384</v>
      </c>
      <c r="F63" s="166">
        <f t="shared" si="0"/>
        <v>-0.23703489985735904</v>
      </c>
      <c r="G63" s="151">
        <v>84723.344654680899</v>
      </c>
      <c r="H63" s="142">
        <v>71775.927971770798</v>
      </c>
      <c r="I63" s="166">
        <f t="shared" si="1"/>
        <v>-0.15281994278769029</v>
      </c>
      <c r="J63" s="173">
        <f t="shared" si="5"/>
        <v>4.902910912693096E-2</v>
      </c>
    </row>
    <row r="64" spans="3:10" ht="15" customHeight="1" x14ac:dyDescent="0.25">
      <c r="C64" s="89" t="s">
        <v>93</v>
      </c>
      <c r="D64" s="130">
        <v>21146.272981845203</v>
      </c>
      <c r="E64" s="143">
        <v>15294.338867</v>
      </c>
      <c r="F64" s="166">
        <f t="shared" si="0"/>
        <v>-0.27673595814587693</v>
      </c>
      <c r="G64" s="151">
        <v>96290.477181551119</v>
      </c>
      <c r="H64" s="142">
        <v>69459.231927625297</v>
      </c>
      <c r="I64" s="166">
        <f t="shared" si="1"/>
        <v>-0.2786490008075958</v>
      </c>
      <c r="J64" s="173">
        <f t="shared" si="5"/>
        <v>4.7446607216164838E-2</v>
      </c>
    </row>
    <row r="65" spans="3:10" x14ac:dyDescent="0.25">
      <c r="C65" s="89" t="s">
        <v>98</v>
      </c>
      <c r="D65" s="130">
        <v>11489.6131763706</v>
      </c>
      <c r="E65" s="143">
        <v>12208.620503019556</v>
      </c>
      <c r="F65" s="166">
        <f t="shared" si="0"/>
        <v>6.2578897619256502E-2</v>
      </c>
      <c r="G65" s="151">
        <v>57830.104416862596</v>
      </c>
      <c r="H65" s="142">
        <v>55392.816011471419</v>
      </c>
      <c r="I65" s="166">
        <f t="shared" si="1"/>
        <v>-4.2145668419033555E-2</v>
      </c>
      <c r="J65" s="173">
        <f t="shared" si="5"/>
        <v>3.783803982503129E-2</v>
      </c>
    </row>
    <row r="66" spans="3:10" x14ac:dyDescent="0.25">
      <c r="C66" s="89" t="s">
        <v>89</v>
      </c>
      <c r="D66" s="130">
        <v>5951.6812133302019</v>
      </c>
      <c r="E66" s="143">
        <v>6027.6668790000003</v>
      </c>
      <c r="F66" s="166">
        <f t="shared" si="0"/>
        <v>1.2767092682923087E-2</v>
      </c>
      <c r="G66" s="151">
        <v>31990.751755359306</v>
      </c>
      <c r="H66" s="142">
        <v>44680.340400769303</v>
      </c>
      <c r="I66" s="166">
        <f t="shared" si="1"/>
        <v>0.39666428417969746</v>
      </c>
      <c r="J66" s="173">
        <f t="shared" si="5"/>
        <v>3.0520501054327152E-2</v>
      </c>
    </row>
    <row r="67" spans="3:10" x14ac:dyDescent="0.25">
      <c r="C67" s="89" t="s">
        <v>94</v>
      </c>
      <c r="D67" s="130">
        <v>7337.1007224928999</v>
      </c>
      <c r="E67" s="143">
        <v>8442.3704460000008</v>
      </c>
      <c r="F67" s="166">
        <f>+E67/D67-1</f>
        <v>0.15064120901580957</v>
      </c>
      <c r="G67" s="151">
        <v>36238.371272541794</v>
      </c>
      <c r="H67" s="142">
        <v>40162.464751632702</v>
      </c>
      <c r="I67" s="166">
        <f t="shared" si="1"/>
        <v>0.10828559179932662</v>
      </c>
      <c r="J67" s="174">
        <f t="shared" si="5"/>
        <v>2.7434404859088265E-2</v>
      </c>
    </row>
    <row r="68" spans="3:10" x14ac:dyDescent="0.25">
      <c r="C68" s="89" t="s">
        <v>91</v>
      </c>
      <c r="D68" s="130">
        <v>8869.8674135454003</v>
      </c>
      <c r="E68" s="143">
        <v>7944.9627340000006</v>
      </c>
      <c r="F68" s="166">
        <f t="shared" si="0"/>
        <v>-0.10427491600753291</v>
      </c>
      <c r="G68" s="151">
        <v>40565.562737399101</v>
      </c>
      <c r="H68" s="142">
        <v>38814.481241646601</v>
      </c>
      <c r="I68" s="166">
        <f t="shared" si="1"/>
        <v>-4.3166700461869989E-2</v>
      </c>
      <c r="J68" s="174">
        <f t="shared" si="5"/>
        <v>2.6513616616010375E-2</v>
      </c>
    </row>
    <row r="69" spans="3:10" x14ac:dyDescent="0.25">
      <c r="C69" s="89" t="s">
        <v>87</v>
      </c>
      <c r="D69" s="130">
        <v>7181.0630815085997</v>
      </c>
      <c r="E69" s="143">
        <v>6509.1862540000002</v>
      </c>
      <c r="F69" s="166">
        <f t="shared" si="0"/>
        <v>-9.356230684544431E-2</v>
      </c>
      <c r="G69" s="151">
        <v>35188.757756215899</v>
      </c>
      <c r="H69" s="142">
        <v>32960.329125408898</v>
      </c>
      <c r="I69" s="166">
        <f t="shared" si="1"/>
        <v>-6.3327857330040649E-2</v>
      </c>
      <c r="J69" s="173">
        <f t="shared" si="5"/>
        <v>2.2514729091134937E-2</v>
      </c>
    </row>
    <row r="70" spans="3:10" x14ac:dyDescent="0.25">
      <c r="C70" s="89" t="s">
        <v>99</v>
      </c>
      <c r="D70" s="130">
        <v>3889.1766700937001</v>
      </c>
      <c r="E70" s="143">
        <v>3263.414264</v>
      </c>
      <c r="F70" s="166">
        <f t="shared" si="0"/>
        <v>-0.16089842637018181</v>
      </c>
      <c r="G70" s="151">
        <v>21796.039382332303</v>
      </c>
      <c r="H70" s="142">
        <v>20793.614617039399</v>
      </c>
      <c r="I70" s="166">
        <f t="shared" si="1"/>
        <v>-4.5991143056268391E-2</v>
      </c>
      <c r="J70" s="173">
        <f t="shared" si="5"/>
        <v>1.4203820542774925E-2</v>
      </c>
    </row>
    <row r="71" spans="3:10" x14ac:dyDescent="0.25">
      <c r="C71" s="89" t="s">
        <v>100</v>
      </c>
      <c r="D71" s="130">
        <v>0</v>
      </c>
      <c r="E71" s="143">
        <v>0</v>
      </c>
      <c r="F71" s="166" t="s">
        <v>43</v>
      </c>
      <c r="G71" s="151">
        <v>9286.1524536192992</v>
      </c>
      <c r="H71" s="142">
        <v>19513.631083706197</v>
      </c>
      <c r="I71" s="166">
        <f t="shared" si="1"/>
        <v>1.1013688049134616</v>
      </c>
      <c r="J71" s="173">
        <f t="shared" si="5"/>
        <v>1.3329482110520171E-2</v>
      </c>
    </row>
    <row r="72" spans="3:10" x14ac:dyDescent="0.25">
      <c r="C72" s="89" t="s">
        <v>97</v>
      </c>
      <c r="D72" s="130">
        <v>2216.8455263245996</v>
      </c>
      <c r="E72" s="148">
        <v>2448.502493</v>
      </c>
      <c r="F72" s="166">
        <f t="shared" si="0"/>
        <v>0.10449847042769544</v>
      </c>
      <c r="G72" s="151">
        <v>10837.790759830001</v>
      </c>
      <c r="H72" s="142">
        <v>13213.577050115</v>
      </c>
      <c r="I72" s="166">
        <f t="shared" si="1"/>
        <v>0.21921315357838345</v>
      </c>
      <c r="J72" s="173">
        <f t="shared" si="5"/>
        <v>9.0260053677327003E-3</v>
      </c>
    </row>
    <row r="73" spans="3:10" x14ac:dyDescent="0.25">
      <c r="C73" s="89" t="s">
        <v>103</v>
      </c>
      <c r="D73" s="130">
        <v>1782.4943351996999</v>
      </c>
      <c r="E73" s="143">
        <v>1700.1448169999999</v>
      </c>
      <c r="F73" s="166">
        <f t="shared" si="0"/>
        <v>-4.6199035011504908E-2</v>
      </c>
      <c r="G73" s="151">
        <v>8547.6566527981013</v>
      </c>
      <c r="H73" s="142">
        <v>8135.8550513318005</v>
      </c>
      <c r="I73" s="166">
        <f t="shared" si="1"/>
        <v>-4.8177134177645797E-2</v>
      </c>
      <c r="J73" s="173">
        <f t="shared" si="5"/>
        <v>5.5574861436765086E-3</v>
      </c>
    </row>
    <row r="74" spans="3:10" x14ac:dyDescent="0.25">
      <c r="C74" s="89" t="s">
        <v>105</v>
      </c>
      <c r="D74" s="152">
        <v>11.490945119599999</v>
      </c>
      <c r="E74" s="148">
        <v>0</v>
      </c>
      <c r="F74" s="166" t="s">
        <v>43</v>
      </c>
      <c r="G74" s="151">
        <v>43.746231861399998</v>
      </c>
      <c r="H74" s="142">
        <v>17.8344857867</v>
      </c>
      <c r="I74" s="166">
        <f t="shared" si="1"/>
        <v>-0.59231949752370627</v>
      </c>
      <c r="J74" s="183">
        <f t="shared" si="5"/>
        <v>1.2182481990378658E-5</v>
      </c>
    </row>
    <row r="75" spans="3:10" x14ac:dyDescent="0.25">
      <c r="C75" s="86" t="s">
        <v>108</v>
      </c>
      <c r="D75" s="145">
        <f>+SUM(D76:D87)</f>
        <v>26212.334371921999</v>
      </c>
      <c r="E75" s="141">
        <f>+SUM(E76:E87)</f>
        <v>23304.490299800003</v>
      </c>
      <c r="F75" s="164">
        <f t="shared" si="0"/>
        <v>-0.11093418964000423</v>
      </c>
      <c r="G75" s="145">
        <f>+SUM(G76:G87)</f>
        <v>125692.44026631188</v>
      </c>
      <c r="H75" s="141">
        <f>+SUM(H76:H87)</f>
        <v>114861.42685171601</v>
      </c>
      <c r="I75" s="164">
        <f t="shared" si="1"/>
        <v>-8.6170762471056928E-2</v>
      </c>
      <c r="J75" s="171">
        <f>SUM(J76:J87)</f>
        <v>0.99999999999999989</v>
      </c>
    </row>
    <row r="76" spans="3:10" x14ac:dyDescent="0.25">
      <c r="C76" s="90" t="s">
        <v>95</v>
      </c>
      <c r="D76" s="142">
        <v>8948.4062673070002</v>
      </c>
      <c r="E76" s="146">
        <v>7861.7459010000011</v>
      </c>
      <c r="F76" s="163">
        <f t="shared" si="0"/>
        <v>-0.12143619029425523</v>
      </c>
      <c r="G76" s="149">
        <v>38987.385196951</v>
      </c>
      <c r="H76" s="150">
        <v>34290.719063397999</v>
      </c>
      <c r="I76" s="165">
        <f t="shared" si="1"/>
        <v>-0.12046630236490707</v>
      </c>
      <c r="J76" s="172">
        <f t="shared" ref="J76:J86" si="6">(H76/$H$75)</f>
        <v>0.29853990154298438</v>
      </c>
    </row>
    <row r="77" spans="3:10" x14ac:dyDescent="0.25">
      <c r="C77" s="87" t="s">
        <v>92</v>
      </c>
      <c r="D77" s="142">
        <v>2888.6035419750001</v>
      </c>
      <c r="E77" s="146">
        <v>3971.1948919999991</v>
      </c>
      <c r="F77" s="163">
        <f t="shared" ref="F77:F91" si="7">+E77/D77-1</f>
        <v>0.37478017813576736</v>
      </c>
      <c r="G77" s="151">
        <v>14523.537520796001</v>
      </c>
      <c r="H77" s="142">
        <v>19383.516224468</v>
      </c>
      <c r="I77" s="166">
        <f t="shared" si="1"/>
        <v>0.33462775144919621</v>
      </c>
      <c r="J77" s="173">
        <f t="shared" si="6"/>
        <v>0.16875566285182722</v>
      </c>
    </row>
    <row r="78" spans="3:10" x14ac:dyDescent="0.25">
      <c r="C78" s="87" t="s">
        <v>96</v>
      </c>
      <c r="D78" s="142">
        <v>4121.2382845800003</v>
      </c>
      <c r="E78" s="146">
        <v>3455.6136259999998</v>
      </c>
      <c r="F78" s="163">
        <f t="shared" si="7"/>
        <v>-0.16151084033905483</v>
      </c>
      <c r="G78" s="151">
        <v>23729.953476160001</v>
      </c>
      <c r="H78" s="142">
        <v>18679.946710559998</v>
      </c>
      <c r="I78" s="166">
        <f t="shared" ref="I78:I92" si="8">+H78/G78-1</f>
        <v>-0.21281149036695035</v>
      </c>
      <c r="J78" s="173">
        <f t="shared" si="6"/>
        <v>0.16263028609835628</v>
      </c>
    </row>
    <row r="79" spans="3:10" x14ac:dyDescent="0.25">
      <c r="C79" s="87" t="s">
        <v>98</v>
      </c>
      <c r="D79" s="142">
        <v>1994.5575514</v>
      </c>
      <c r="E79" s="146">
        <v>2311.8957857999999</v>
      </c>
      <c r="F79" s="163">
        <f t="shared" si="7"/>
        <v>0.15910206961802476</v>
      </c>
      <c r="G79" s="151">
        <v>10676.731691524901</v>
      </c>
      <c r="H79" s="142">
        <v>10440.096750639999</v>
      </c>
      <c r="I79" s="166">
        <f t="shared" si="8"/>
        <v>-2.2163612210349015E-2</v>
      </c>
      <c r="J79" s="173">
        <f t="shared" si="6"/>
        <v>9.0892974576382138E-2</v>
      </c>
    </row>
    <row r="80" spans="3:10" x14ac:dyDescent="0.25">
      <c r="C80" s="89" t="s">
        <v>90</v>
      </c>
      <c r="D80" s="143">
        <v>3712.9319379000003</v>
      </c>
      <c r="E80" s="147">
        <v>1648.0431389999999</v>
      </c>
      <c r="F80" s="163">
        <f t="shared" si="7"/>
        <v>-0.55613429856402985</v>
      </c>
      <c r="G80" s="151">
        <v>14347.094063900002</v>
      </c>
      <c r="H80" s="142">
        <v>8685.7866052000008</v>
      </c>
      <c r="I80" s="166">
        <f t="shared" si="8"/>
        <v>-0.39459610660425792</v>
      </c>
      <c r="J80" s="173">
        <f t="shared" si="6"/>
        <v>7.5619699696166859E-2</v>
      </c>
    </row>
    <row r="81" spans="3:10" x14ac:dyDescent="0.25">
      <c r="C81" s="89" t="s">
        <v>93</v>
      </c>
      <c r="D81" s="143">
        <v>1550.3071799999998</v>
      </c>
      <c r="E81" s="147">
        <v>1377.097548</v>
      </c>
      <c r="F81" s="163">
        <f t="shared" si="7"/>
        <v>-0.11172600774512309</v>
      </c>
      <c r="G81" s="151">
        <v>8147.7636409999996</v>
      </c>
      <c r="H81" s="142">
        <v>7606.9898759999987</v>
      </c>
      <c r="I81" s="166">
        <f t="shared" si="8"/>
        <v>-6.6370821347688236E-2</v>
      </c>
      <c r="J81" s="173">
        <f t="shared" si="6"/>
        <v>6.6227541172899432E-2</v>
      </c>
    </row>
    <row r="82" spans="3:10" x14ac:dyDescent="0.25">
      <c r="C82" s="89" t="s">
        <v>89</v>
      </c>
      <c r="D82" s="143">
        <v>1567.1307429999997</v>
      </c>
      <c r="E82" s="147">
        <v>1189.4697060000001</v>
      </c>
      <c r="F82" s="163">
        <f t="shared" si="7"/>
        <v>-0.24098885092192956</v>
      </c>
      <c r="G82" s="151">
        <v>7783.1879465000002</v>
      </c>
      <c r="H82" s="142">
        <v>6841.7845569999999</v>
      </c>
      <c r="I82" s="166">
        <f t="shared" si="8"/>
        <v>-0.1209534442661554</v>
      </c>
      <c r="J82" s="173">
        <f t="shared" si="6"/>
        <v>5.9565554290324271E-2</v>
      </c>
    </row>
    <row r="83" spans="3:10" x14ac:dyDescent="0.25">
      <c r="C83" s="89" t="s">
        <v>99</v>
      </c>
      <c r="D83" s="143">
        <v>706.1179239999999</v>
      </c>
      <c r="E83" s="147">
        <v>938.04422799999998</v>
      </c>
      <c r="F83" s="163">
        <f t="shared" si="7"/>
        <v>0.32845265092010334</v>
      </c>
      <c r="G83" s="151">
        <v>3246.7603090000002</v>
      </c>
      <c r="H83" s="142">
        <v>4607.2663748999994</v>
      </c>
      <c r="I83" s="166">
        <f t="shared" si="8"/>
        <v>0.41903495682409453</v>
      </c>
      <c r="J83" s="173">
        <f t="shared" si="6"/>
        <v>4.0111519603947599E-2</v>
      </c>
    </row>
    <row r="84" spans="3:10" x14ac:dyDescent="0.25">
      <c r="C84" s="89" t="s">
        <v>101</v>
      </c>
      <c r="D84" s="143">
        <v>707.75408576000007</v>
      </c>
      <c r="E84" s="147">
        <v>544.52767399999993</v>
      </c>
      <c r="F84" s="163">
        <f t="shared" si="7"/>
        <v>-0.23062588410877838</v>
      </c>
      <c r="G84" s="151">
        <v>2542.9570183800001</v>
      </c>
      <c r="H84" s="142">
        <v>2648.3635581499998</v>
      </c>
      <c r="I84" s="166">
        <f t="shared" si="8"/>
        <v>4.1450381979774686E-2</v>
      </c>
      <c r="J84" s="173">
        <f t="shared" si="6"/>
        <v>2.3057031683656415E-2</v>
      </c>
    </row>
    <row r="85" spans="3:10" x14ac:dyDescent="0.25">
      <c r="C85" s="89" t="s">
        <v>100</v>
      </c>
      <c r="D85" s="148">
        <v>0</v>
      </c>
      <c r="E85" s="153">
        <v>0</v>
      </c>
      <c r="F85" s="163" t="s">
        <v>43</v>
      </c>
      <c r="G85" s="151">
        <v>1661.8683301000001</v>
      </c>
      <c r="H85" s="142">
        <v>1598.7629434</v>
      </c>
      <c r="I85" s="166">
        <f t="shared" si="8"/>
        <v>-3.7972555079741399E-2</v>
      </c>
      <c r="J85" s="173">
        <f t="shared" si="6"/>
        <v>1.3919058705965525E-2</v>
      </c>
    </row>
    <row r="86" spans="3:10" x14ac:dyDescent="0.25">
      <c r="C86" s="89" t="s">
        <v>94</v>
      </c>
      <c r="D86" s="148">
        <v>6.4356439999999999</v>
      </c>
      <c r="E86" s="153">
        <v>6.8578000000000001</v>
      </c>
      <c r="F86" s="163">
        <f t="shared" si="7"/>
        <v>6.559654325192632E-2</v>
      </c>
      <c r="G86" s="151">
        <v>36.34986</v>
      </c>
      <c r="H86" s="142">
        <v>78.194187999999997</v>
      </c>
      <c r="I86" s="166">
        <f t="shared" si="8"/>
        <v>1.1511551351229414</v>
      </c>
      <c r="J86" s="173">
        <f t="shared" si="6"/>
        <v>6.8076977748976822E-4</v>
      </c>
    </row>
    <row r="87" spans="3:10" x14ac:dyDescent="0.25">
      <c r="C87" s="89" t="s">
        <v>88</v>
      </c>
      <c r="D87" s="143">
        <v>8.8512119999999985</v>
      </c>
      <c r="E87" s="147">
        <v>0</v>
      </c>
      <c r="F87" s="163" t="s">
        <v>43</v>
      </c>
      <c r="G87" s="151">
        <v>8.8512119999999985</v>
      </c>
      <c r="H87" s="142">
        <v>0</v>
      </c>
      <c r="I87" s="166" t="s">
        <v>43</v>
      </c>
      <c r="J87" s="173" t="s">
        <v>43</v>
      </c>
    </row>
    <row r="88" spans="3:10" x14ac:dyDescent="0.25">
      <c r="C88" s="86" t="s">
        <v>109</v>
      </c>
      <c r="D88" s="145">
        <f>+D89</f>
        <v>441193.98143799999</v>
      </c>
      <c r="E88" s="141">
        <f>+E89</f>
        <v>1240371.767396</v>
      </c>
      <c r="F88" s="164">
        <f t="shared" si="7"/>
        <v>1.8113977515133142</v>
      </c>
      <c r="G88" s="145">
        <f>+G89</f>
        <v>5034155.2107239999</v>
      </c>
      <c r="H88" s="141">
        <f>+H89</f>
        <v>5923400.1936400002</v>
      </c>
      <c r="I88" s="164">
        <f t="shared" si="8"/>
        <v>0.17664234527804945</v>
      </c>
      <c r="J88" s="171">
        <f>SUM(J89)</f>
        <v>1</v>
      </c>
    </row>
    <row r="89" spans="3:10" x14ac:dyDescent="0.25">
      <c r="C89" s="91" t="s">
        <v>93</v>
      </c>
      <c r="D89" s="154">
        <v>441193.98143799999</v>
      </c>
      <c r="E89" s="155">
        <v>1240371.767396</v>
      </c>
      <c r="F89" s="167">
        <f t="shared" si="7"/>
        <v>1.8113977515133142</v>
      </c>
      <c r="G89" s="159">
        <v>5034155.2107239999</v>
      </c>
      <c r="H89" s="160">
        <v>5923400.1936400002</v>
      </c>
      <c r="I89" s="167">
        <f t="shared" si="8"/>
        <v>0.17664234527804945</v>
      </c>
      <c r="J89" s="175">
        <f>(H89/$H$88)</f>
        <v>1</v>
      </c>
    </row>
    <row r="90" spans="3:10" x14ac:dyDescent="0.25">
      <c r="C90" s="86" t="s">
        <v>110</v>
      </c>
      <c r="D90" s="145">
        <f>SUM(D91:D91)</f>
        <v>2871.1295</v>
      </c>
      <c r="E90" s="141">
        <f>SUM(E91:E91)</f>
        <v>3301.3702799999996</v>
      </c>
      <c r="F90" s="164">
        <f t="shared" si="7"/>
        <v>0.14985070509707055</v>
      </c>
      <c r="G90" s="145">
        <f>SUM(G91:G91)</f>
        <v>13651.896939999999</v>
      </c>
      <c r="H90" s="141">
        <f>SUM(H91:H91)</f>
        <v>14359.081065999999</v>
      </c>
      <c r="I90" s="164">
        <f t="shared" si="8"/>
        <v>5.1801162073525031E-2</v>
      </c>
      <c r="J90" s="171">
        <f>SUM(J91:J91)</f>
        <v>1</v>
      </c>
    </row>
    <row r="91" spans="3:10" x14ac:dyDescent="0.25">
      <c r="C91" s="186" t="s">
        <v>100</v>
      </c>
      <c r="D91" s="187">
        <v>2871.1295</v>
      </c>
      <c r="E91" s="188">
        <v>3301.3702799999996</v>
      </c>
      <c r="F91" s="165">
        <f t="shared" si="7"/>
        <v>0.14985070509707055</v>
      </c>
      <c r="G91" s="149">
        <v>13651.896939999999</v>
      </c>
      <c r="H91" s="150">
        <v>14359.081065999999</v>
      </c>
      <c r="I91" s="165">
        <f t="shared" si="8"/>
        <v>5.1801162073525031E-2</v>
      </c>
      <c r="J91" s="172">
        <f>(H91/$H$90)</f>
        <v>1</v>
      </c>
    </row>
    <row r="92" spans="3:10" x14ac:dyDescent="0.25">
      <c r="C92" s="86" t="s">
        <v>111</v>
      </c>
      <c r="D92" s="145">
        <f>SUM(D93:D97)</f>
        <v>2855.7800881120002</v>
      </c>
      <c r="E92" s="141">
        <f>SUM(E93:E97)</f>
        <v>2845.6354489999999</v>
      </c>
      <c r="F92" s="164">
        <f t="shared" ref="F92:F111" si="9">(E92-D92)/D92</f>
        <v>-3.5523180353523136E-3</v>
      </c>
      <c r="G92" s="145">
        <f>SUM(G93:G97)</f>
        <v>16783.118282436102</v>
      </c>
      <c r="H92" s="141">
        <f>SUM(H93:H97)</f>
        <v>15747.955855512</v>
      </c>
      <c r="I92" s="164">
        <f t="shared" si="8"/>
        <v>-6.1678789930678213E-2</v>
      </c>
      <c r="J92" s="171">
        <f>SUM(J93:J97)</f>
        <v>1</v>
      </c>
    </row>
    <row r="93" spans="3:10" x14ac:dyDescent="0.25">
      <c r="C93" s="90" t="s">
        <v>89</v>
      </c>
      <c r="D93" s="98">
        <v>586.75243680000005</v>
      </c>
      <c r="E93" s="99">
        <v>580.32624799999996</v>
      </c>
      <c r="F93" s="165">
        <f t="shared" si="9"/>
        <v>-1.0952129717682819E-2</v>
      </c>
      <c r="G93" s="98">
        <v>4165.3117545000005</v>
      </c>
      <c r="H93" s="99">
        <v>4274.2728815</v>
      </c>
      <c r="I93" s="165">
        <f t="shared" ref="I93:I104" si="10">(H93-G93)/G93</f>
        <v>2.6159176892890015E-2</v>
      </c>
      <c r="J93" s="253">
        <f>(H93/$H$92)</f>
        <v>0.27141763164162958</v>
      </c>
    </row>
    <row r="94" spans="3:10" x14ac:dyDescent="0.25">
      <c r="C94" s="87" t="s">
        <v>87</v>
      </c>
      <c r="D94" s="151">
        <v>685.072895152</v>
      </c>
      <c r="E94" s="142">
        <v>831.37319600000001</v>
      </c>
      <c r="F94" s="166">
        <f t="shared" si="9"/>
        <v>0.2135543558697352</v>
      </c>
      <c r="G94" s="151">
        <v>3676.1028529460996</v>
      </c>
      <c r="H94" s="142">
        <v>4264.5677498819996</v>
      </c>
      <c r="I94" s="166">
        <f t="shared" si="10"/>
        <v>0.16007846365459905</v>
      </c>
      <c r="J94" s="174">
        <f>(H94/$H$92)</f>
        <v>0.27080135282379159</v>
      </c>
    </row>
    <row r="95" spans="3:10" x14ac:dyDescent="0.25">
      <c r="C95" s="87" t="s">
        <v>91</v>
      </c>
      <c r="D95" s="151">
        <v>927.16860599999995</v>
      </c>
      <c r="E95" s="142">
        <v>727.40222600000004</v>
      </c>
      <c r="F95" s="166">
        <f t="shared" si="9"/>
        <v>-0.21545852470332663</v>
      </c>
      <c r="G95" s="151">
        <v>4256.2642476000001</v>
      </c>
      <c r="H95" s="142">
        <v>3985.1270915000005</v>
      </c>
      <c r="I95" s="166">
        <f t="shared" si="10"/>
        <v>-6.3703083344246542E-2</v>
      </c>
      <c r="J95" s="173">
        <f>(H95/$H$92)</f>
        <v>0.25305678578627405</v>
      </c>
    </row>
    <row r="96" spans="3:10" x14ac:dyDescent="0.25">
      <c r="C96" s="87" t="s">
        <v>88</v>
      </c>
      <c r="D96" s="151">
        <v>246.52733000000001</v>
      </c>
      <c r="E96" s="142">
        <v>346.91271999999998</v>
      </c>
      <c r="F96" s="166">
        <f t="shared" si="9"/>
        <v>0.40719781453845288</v>
      </c>
      <c r="G96" s="151">
        <v>1171.7652349999998</v>
      </c>
      <c r="H96" s="142">
        <v>1346.7312280000001</v>
      </c>
      <c r="I96" s="166">
        <f t="shared" si="10"/>
        <v>0.14931830009447267</v>
      </c>
      <c r="J96" s="173">
        <f>(H96/$H$92)</f>
        <v>8.5517843735168061E-2</v>
      </c>
    </row>
    <row r="97" spans="3:10" x14ac:dyDescent="0.25">
      <c r="C97" s="89" t="s">
        <v>118</v>
      </c>
      <c r="D97" s="130">
        <v>410.25882015999997</v>
      </c>
      <c r="E97" s="143">
        <v>359.62105899999995</v>
      </c>
      <c r="F97" s="166">
        <f t="shared" si="9"/>
        <v>-0.12342881778934434</v>
      </c>
      <c r="G97" s="151">
        <v>3513.6741923899999</v>
      </c>
      <c r="H97" s="142">
        <v>1877.25690463</v>
      </c>
      <c r="I97" s="166">
        <f t="shared" si="10"/>
        <v>-0.46572823721225826</v>
      </c>
      <c r="J97" s="191">
        <f t="shared" ref="J97" si="11">(H97/$H$92)</f>
        <v>0.11920638601313671</v>
      </c>
    </row>
    <row r="98" spans="3:10" x14ac:dyDescent="0.25">
      <c r="C98" s="86" t="s">
        <v>112</v>
      </c>
      <c r="D98" s="145">
        <f>SUM(D99:D104)</f>
        <v>2487.8129531</v>
      </c>
      <c r="E98" s="141">
        <f>SUM(E99:E104)</f>
        <v>2016.6442514000003</v>
      </c>
      <c r="F98" s="164">
        <f t="shared" si="9"/>
        <v>-0.18939072614478047</v>
      </c>
      <c r="G98" s="145">
        <f>SUM(G99:G104)</f>
        <v>11354.8670573</v>
      </c>
      <c r="H98" s="141">
        <f>SUM(H99:H104)</f>
        <v>9890.4476340000001</v>
      </c>
      <c r="I98" s="164">
        <f t="shared" si="10"/>
        <v>-0.12896843405652472</v>
      </c>
      <c r="J98" s="171">
        <f>SUM(J99:J104)</f>
        <v>1</v>
      </c>
    </row>
    <row r="99" spans="3:10" x14ac:dyDescent="0.25">
      <c r="C99" s="77" t="s">
        <v>95</v>
      </c>
      <c r="D99" s="117">
        <v>1611.7758976</v>
      </c>
      <c r="E99" s="118">
        <v>1418.2637110000001</v>
      </c>
      <c r="F99" s="109">
        <f t="shared" si="9"/>
        <v>-0.12006147187592735</v>
      </c>
      <c r="G99" s="98">
        <v>7229.7006941</v>
      </c>
      <c r="H99" s="99">
        <v>6090.2529597000012</v>
      </c>
      <c r="I99" s="133">
        <f t="shared" si="10"/>
        <v>-0.15760648782180942</v>
      </c>
      <c r="J99" s="172">
        <f>(H99/$H$98)</f>
        <v>0.61577121532535894</v>
      </c>
    </row>
    <row r="100" spans="3:10" x14ac:dyDescent="0.25">
      <c r="C100" s="73" t="s">
        <v>92</v>
      </c>
      <c r="D100" s="102">
        <v>692.12044000000003</v>
      </c>
      <c r="E100" s="103">
        <v>498.92950200000001</v>
      </c>
      <c r="F100" s="112">
        <f t="shared" si="9"/>
        <v>-0.27912907470266302</v>
      </c>
      <c r="G100" s="100">
        <v>3227.958928</v>
      </c>
      <c r="H100" s="101">
        <v>3172.3996429999997</v>
      </c>
      <c r="I100" s="110">
        <f t="shared" si="10"/>
        <v>-1.7211893409816111E-2</v>
      </c>
      <c r="J100" s="173">
        <f t="shared" ref="J100:J104" si="12">(H100/$H$98)</f>
        <v>0.32075389915562236</v>
      </c>
    </row>
    <row r="101" spans="3:10" x14ac:dyDescent="0.25">
      <c r="C101" s="73" t="s">
        <v>90</v>
      </c>
      <c r="D101" s="102">
        <v>122.18675999999999</v>
      </c>
      <c r="E101" s="103">
        <v>50.389569999999999</v>
      </c>
      <c r="F101" s="112">
        <f t="shared" si="9"/>
        <v>-0.58760204460777909</v>
      </c>
      <c r="G101" s="100">
        <v>603.77501099999995</v>
      </c>
      <c r="H101" s="101">
        <v>399.00191579999995</v>
      </c>
      <c r="I101" s="110">
        <f t="shared" si="10"/>
        <v>-0.33915463785234401</v>
      </c>
      <c r="J101" s="173">
        <f t="shared" si="12"/>
        <v>4.0342149371315292E-2</v>
      </c>
    </row>
    <row r="102" spans="3:10" x14ac:dyDescent="0.25">
      <c r="C102" s="73" t="s">
        <v>98</v>
      </c>
      <c r="D102" s="102">
        <v>59.386155500000001</v>
      </c>
      <c r="E102" s="103">
        <v>45.318284400000003</v>
      </c>
      <c r="F102" s="112">
        <f t="shared" si="9"/>
        <v>-0.23688805886752506</v>
      </c>
      <c r="G102" s="100">
        <v>279.83294820000003</v>
      </c>
      <c r="H102" s="101">
        <v>208.13415650000005</v>
      </c>
      <c r="I102" s="110">
        <f t="shared" si="10"/>
        <v>-0.25621997753015124</v>
      </c>
      <c r="J102" s="173">
        <f t="shared" si="12"/>
        <v>2.1043957179906144E-2</v>
      </c>
    </row>
    <row r="103" spans="3:10" x14ac:dyDescent="0.25">
      <c r="C103" s="73" t="s">
        <v>96</v>
      </c>
      <c r="D103" s="226">
        <v>1.8109</v>
      </c>
      <c r="E103" s="103">
        <v>3.4643839999999999</v>
      </c>
      <c r="F103" s="112">
        <f t="shared" si="9"/>
        <v>0.9130730575956707</v>
      </c>
      <c r="G103" s="100">
        <v>9.2303759999999997</v>
      </c>
      <c r="H103" s="101">
        <v>18.714458999999998</v>
      </c>
      <c r="I103" s="110">
        <f t="shared" si="10"/>
        <v>1.0274860959076855</v>
      </c>
      <c r="J103" s="173">
        <f t="shared" si="12"/>
        <v>1.8921751261961131E-3</v>
      </c>
    </row>
    <row r="104" spans="3:10" x14ac:dyDescent="0.25">
      <c r="C104" s="76" t="s">
        <v>94</v>
      </c>
      <c r="D104" s="104">
        <v>0.53280000000000005</v>
      </c>
      <c r="E104" s="176">
        <v>0.27879999999999999</v>
      </c>
      <c r="F104" s="114">
        <f t="shared" si="9"/>
        <v>-0.47672672672672678</v>
      </c>
      <c r="G104" s="124">
        <v>4.3691000000000004</v>
      </c>
      <c r="H104" s="125">
        <v>1.9444999999999999</v>
      </c>
      <c r="I104" s="110">
        <f t="shared" si="10"/>
        <v>-0.55494266553752503</v>
      </c>
      <c r="J104" s="192">
        <f t="shared" si="12"/>
        <v>1.9660384160121016E-4</v>
      </c>
    </row>
    <row r="105" spans="3:10" x14ac:dyDescent="0.25">
      <c r="C105" s="86" t="s">
        <v>113</v>
      </c>
      <c r="D105" s="145">
        <f>SUM(D106:D108)</f>
        <v>22.439415</v>
      </c>
      <c r="E105" s="141">
        <f>SUM(E106:E108)</f>
        <v>28.570499000000005</v>
      </c>
      <c r="F105" s="164">
        <f t="shared" si="9"/>
        <v>0.2732283350524069</v>
      </c>
      <c r="G105" s="145">
        <f>SUM(G106:G108)</f>
        <v>106.7259878</v>
      </c>
      <c r="H105" s="141">
        <f>SUM(H106:H108)</f>
        <v>115.06486460000001</v>
      </c>
      <c r="I105" s="164">
        <f>(H105-G105)/G105</f>
        <v>7.8133517167596631E-2</v>
      </c>
      <c r="J105" s="171">
        <f>SUM(J106:J108)</f>
        <v>0.99999999999999989</v>
      </c>
    </row>
    <row r="106" spans="3:10" x14ac:dyDescent="0.25">
      <c r="C106" s="77" t="s">
        <v>95</v>
      </c>
      <c r="D106" s="117">
        <v>17.725322999999999</v>
      </c>
      <c r="E106" s="118">
        <v>22.923759000000004</v>
      </c>
      <c r="F106" s="109">
        <f t="shared" si="9"/>
        <v>0.29327736369035445</v>
      </c>
      <c r="G106" s="98">
        <v>82.393293999999997</v>
      </c>
      <c r="H106" s="99">
        <v>84.649258000000003</v>
      </c>
      <c r="I106" s="109">
        <f>(H106-G106)/G106</f>
        <v>2.7380432198766153E-2</v>
      </c>
      <c r="J106" s="172">
        <f>(H106/$H$105)</f>
        <v>0.73566555954561996</v>
      </c>
    </row>
    <row r="107" spans="3:10" x14ac:dyDescent="0.25">
      <c r="C107" s="73" t="s">
        <v>90</v>
      </c>
      <c r="D107" s="102">
        <v>4.6659920000000001</v>
      </c>
      <c r="E107" s="103">
        <v>5.6195399999999998</v>
      </c>
      <c r="F107" s="112">
        <f t="shared" si="9"/>
        <v>0.20436125908488476</v>
      </c>
      <c r="G107" s="100">
        <v>23.780393799999999</v>
      </c>
      <c r="H107" s="101">
        <v>30.183306600000002</v>
      </c>
      <c r="I107" s="112">
        <f>(H107-G107)/G107</f>
        <v>0.26925175646166144</v>
      </c>
      <c r="J107" s="173">
        <f>(H107/$H$105)</f>
        <v>0.26231557917289722</v>
      </c>
    </row>
    <row r="108" spans="3:10" x14ac:dyDescent="0.25">
      <c r="C108" s="76" t="s">
        <v>94</v>
      </c>
      <c r="D108" s="230">
        <v>4.8099999999999997E-2</v>
      </c>
      <c r="E108" s="203">
        <v>2.7199999999999998E-2</v>
      </c>
      <c r="F108" s="114">
        <f t="shared" si="9"/>
        <v>-0.43451143451143448</v>
      </c>
      <c r="G108" s="124">
        <v>0.55230000000000012</v>
      </c>
      <c r="H108" s="177">
        <v>0.23230000000000001</v>
      </c>
      <c r="I108" s="114">
        <f>(H108-G108)/G108</f>
        <v>-0.57939525620133991</v>
      </c>
      <c r="J108" s="190">
        <f>(H108/$H$105)</f>
        <v>2.0188612814827922E-3</v>
      </c>
    </row>
    <row r="109" spans="3:10" x14ac:dyDescent="0.25">
      <c r="C109" s="86" t="s">
        <v>114</v>
      </c>
      <c r="D109" s="145">
        <f>SUM(D110:D111)</f>
        <v>27.668381</v>
      </c>
      <c r="E109" s="141">
        <f>SUM(E110:E111)</f>
        <v>21.732047000000001</v>
      </c>
      <c r="F109" s="164">
        <f t="shared" si="9"/>
        <v>-0.21455299462588717</v>
      </c>
      <c r="G109" s="145">
        <f>SUM(G110:G111)</f>
        <v>140.867097</v>
      </c>
      <c r="H109" s="141">
        <f>SUM(H110:H111)</f>
        <v>115.418733</v>
      </c>
      <c r="I109" s="164">
        <f t="shared" ref="I109:I117" si="13">(H109-G109)/G109</f>
        <v>-0.18065513197876149</v>
      </c>
      <c r="J109" s="171">
        <f>SUM(J110:J111)</f>
        <v>1</v>
      </c>
    </row>
    <row r="110" spans="3:10" x14ac:dyDescent="0.25">
      <c r="C110" s="77" t="s">
        <v>89</v>
      </c>
      <c r="D110" s="117">
        <v>14.516</v>
      </c>
      <c r="E110" s="118">
        <v>12.706802</v>
      </c>
      <c r="F110" s="109">
        <f t="shared" si="9"/>
        <v>-0.12463474786442548</v>
      </c>
      <c r="G110" s="98">
        <v>80.657111999999998</v>
      </c>
      <c r="H110" s="99">
        <v>67.738230000000001</v>
      </c>
      <c r="I110" s="109">
        <f t="shared" si="13"/>
        <v>-0.16017040134042981</v>
      </c>
      <c r="J110" s="172">
        <f>(H110/$H$109)</f>
        <v>0.58689112451095782</v>
      </c>
    </row>
    <row r="111" spans="3:10" x14ac:dyDescent="0.25">
      <c r="C111" s="76" t="s">
        <v>90</v>
      </c>
      <c r="D111" s="104">
        <v>13.152381</v>
      </c>
      <c r="E111" s="105">
        <v>9.025245</v>
      </c>
      <c r="F111" s="114">
        <f t="shared" si="9"/>
        <v>-0.31379382942145612</v>
      </c>
      <c r="G111" s="124">
        <v>60.209984999999996</v>
      </c>
      <c r="H111" s="125">
        <v>47.680503000000002</v>
      </c>
      <c r="I111" s="114">
        <f t="shared" si="13"/>
        <v>-0.20809641457309772</v>
      </c>
      <c r="J111" s="190">
        <f>(H111/$H$109)</f>
        <v>0.41310887548904213</v>
      </c>
    </row>
    <row r="112" spans="3:10" x14ac:dyDescent="0.25">
      <c r="C112" s="86" t="s">
        <v>115</v>
      </c>
      <c r="D112" s="145">
        <f>SUM(D113:D115)</f>
        <v>3840.2648920000001</v>
      </c>
      <c r="E112" s="141">
        <f>SUM(E113:E115)</f>
        <v>3105.3971600000004</v>
      </c>
      <c r="F112" s="164">
        <f>(E112-D112)/D112</f>
        <v>-0.19135860485324033</v>
      </c>
      <c r="G112" s="145">
        <f>SUM(G113:G115)</f>
        <v>14923.234393799998</v>
      </c>
      <c r="H112" s="141">
        <f>SUM(H113:H115)</f>
        <v>17104.362267700002</v>
      </c>
      <c r="I112" s="164">
        <f t="shared" si="13"/>
        <v>0.14615651113850864</v>
      </c>
      <c r="J112" s="171">
        <f>SUM(J113:J115)</f>
        <v>0.99999999999999989</v>
      </c>
    </row>
    <row r="113" spans="3:10" x14ac:dyDescent="0.25">
      <c r="C113" s="77" t="s">
        <v>96</v>
      </c>
      <c r="D113" s="117">
        <v>3748.0129110000003</v>
      </c>
      <c r="E113" s="118">
        <v>3028.7725050000004</v>
      </c>
      <c r="F113" s="109">
        <f>(E113-D113)/D113</f>
        <v>-0.19189912710522139</v>
      </c>
      <c r="G113" s="98">
        <v>14449.399021799998</v>
      </c>
      <c r="H113" s="99">
        <v>16703.040027700001</v>
      </c>
      <c r="I113" s="109">
        <f t="shared" si="13"/>
        <v>0.1559678020172261</v>
      </c>
      <c r="J113" s="172">
        <f>(H113/$H$112)</f>
        <v>0.97653684868696555</v>
      </c>
    </row>
    <row r="114" spans="3:10" x14ac:dyDescent="0.25">
      <c r="C114" s="73" t="s">
        <v>89</v>
      </c>
      <c r="D114" s="102">
        <v>79.099599999999995</v>
      </c>
      <c r="E114" s="103">
        <v>62.154411999999994</v>
      </c>
      <c r="F114" s="112">
        <f>(E114-D114)/D114</f>
        <v>-0.21422596321599607</v>
      </c>
      <c r="G114" s="100">
        <v>413.07659899999999</v>
      </c>
      <c r="H114" s="101">
        <v>327.53474299999993</v>
      </c>
      <c r="I114" s="112">
        <f t="shared" si="13"/>
        <v>-0.20708473006479861</v>
      </c>
      <c r="J114" s="173">
        <f>(H114/$H$112)</f>
        <v>1.9149193514131704E-2</v>
      </c>
    </row>
    <row r="115" spans="3:10" x14ac:dyDescent="0.25">
      <c r="C115" s="76" t="s">
        <v>90</v>
      </c>
      <c r="D115" s="104">
        <v>13.152381</v>
      </c>
      <c r="E115" s="105">
        <v>14.470243</v>
      </c>
      <c r="F115" s="114">
        <f>(E115-D115)/D115</f>
        <v>0.10019949999927769</v>
      </c>
      <c r="G115" s="124">
        <v>60.758772999999998</v>
      </c>
      <c r="H115" s="125">
        <v>73.787497000000002</v>
      </c>
      <c r="I115" s="114">
        <f t="shared" si="13"/>
        <v>0.21443362590617168</v>
      </c>
      <c r="J115" s="190">
        <f>(H115/$H$112)</f>
        <v>4.3139577989026127E-3</v>
      </c>
    </row>
    <row r="116" spans="3:10" x14ac:dyDescent="0.25">
      <c r="C116" s="86" t="s">
        <v>116</v>
      </c>
      <c r="D116" s="254">
        <f>SUM(D117)</f>
        <v>3.6912739999999999</v>
      </c>
      <c r="E116" s="255">
        <f>SUM(E117)</f>
        <v>3.9205589999999999</v>
      </c>
      <c r="F116" s="164">
        <f t="shared" ref="F116:F117" si="14">(E116-D116)/D116</f>
        <v>6.2115410560148056E-2</v>
      </c>
      <c r="G116" s="184">
        <f>SUM(G117)</f>
        <v>13.98395</v>
      </c>
      <c r="H116" s="184">
        <f>SUM(H117)</f>
        <v>21.775827000000003</v>
      </c>
      <c r="I116" s="170">
        <f t="shared" si="13"/>
        <v>0.55720143450169679</v>
      </c>
      <c r="J116" s="171">
        <f>SUM(J117)</f>
        <v>1</v>
      </c>
    </row>
    <row r="117" spans="3:10" x14ac:dyDescent="0.25">
      <c r="C117" s="92" t="s">
        <v>90</v>
      </c>
      <c r="D117" s="256">
        <v>3.6912739999999999</v>
      </c>
      <c r="E117" s="257">
        <v>3.9205589999999999</v>
      </c>
      <c r="F117" s="168">
        <f t="shared" si="14"/>
        <v>6.2115410560148056E-2</v>
      </c>
      <c r="G117" s="185">
        <v>13.98395</v>
      </c>
      <c r="H117" s="126">
        <v>21.775827000000003</v>
      </c>
      <c r="I117" s="127">
        <f t="shared" si="13"/>
        <v>0.55720143450169679</v>
      </c>
      <c r="J117" s="175">
        <f>(H117/$H$116)</f>
        <v>1</v>
      </c>
    </row>
    <row r="118" spans="3:10" ht="156" customHeight="1" x14ac:dyDescent="0.25">
      <c r="C118" s="250" t="s">
        <v>139</v>
      </c>
      <c r="D118" s="251"/>
      <c r="E118" s="251"/>
      <c r="F118" s="251"/>
      <c r="G118" s="251"/>
      <c r="H118" s="251"/>
      <c r="I118" s="251"/>
      <c r="J118" s="252"/>
    </row>
    <row r="119" spans="3:10" x14ac:dyDescent="0.25">
      <c r="D119" s="93"/>
      <c r="E119" s="93"/>
      <c r="F119" s="169"/>
    </row>
    <row r="120" spans="3:10" x14ac:dyDescent="0.25">
      <c r="F120" s="63"/>
    </row>
    <row r="121" spans="3:10" x14ac:dyDescent="0.25">
      <c r="F121" s="63"/>
    </row>
    <row r="122" spans="3:10" x14ac:dyDescent="0.25">
      <c r="F122" s="63"/>
    </row>
    <row r="123" spans="3:10" x14ac:dyDescent="0.25">
      <c r="F123" s="63"/>
    </row>
  </sheetData>
  <mergeCells count="5">
    <mergeCell ref="C3:J3"/>
    <mergeCell ref="C4:J4"/>
    <mergeCell ref="D8:F8"/>
    <mergeCell ref="G8:J8"/>
    <mergeCell ref="C118:J118"/>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DEIVID JHONATAN RALIREZ RAMIREZ</cp:lastModifiedBy>
  <dcterms:created xsi:type="dcterms:W3CDTF">2025-08-15T20:36:18Z</dcterms:created>
  <dcterms:modified xsi:type="dcterms:W3CDTF">2026-07-10T14:08:31Z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