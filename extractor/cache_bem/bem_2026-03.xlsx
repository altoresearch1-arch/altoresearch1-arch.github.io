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1. MINEM\1. BEM\1. SECCION PROD METALICA\2026\3. MARZO\2. CUADROS ESTADISTICOS\"/>
    </mc:Choice>
  </mc:AlternateContent>
  <xr:revisionPtr revIDLastSave="0" documentId="13_ncr:1_{AB117A14-5DBB-476C-BD11-CA7CF7D68141}" xr6:coauthVersionLast="47" xr6:coauthVersionMax="47" xr10:uidLastSave="{00000000-0000-0000-0000-000000000000}"/>
  <bookViews>
    <workbookView xWindow="-120" yWindow="-120" windowWidth="29040" windowHeight="15720" xr2:uid="{C2E09711-F6FF-4B8A-8D2D-18AB30956760}"/>
  </bookViews>
  <sheets>
    <sheet name="S01.C01" sheetId="1" r:id="rId1"/>
    <sheet name="S01.C02" sheetId="2" r:id="rId2"/>
    <sheet name="S01.C03" sheetId="3" r:id="rId3"/>
  </sheets>
  <definedNames>
    <definedName name="_xlnm._FilterDatabase" localSheetId="1" hidden="1">'S01.C02'!$C$9:$G$107</definedName>
    <definedName name="_xlnm._FilterDatabase" localSheetId="2" hidden="1">'S01.C03'!$C$11:$G$116</definedName>
    <definedName name="_xlnm.Print_Area" localSheetId="0">'S01.C01'!$B$2:$Q$70</definedName>
    <definedName name="_xlnm.Print_Area" localSheetId="1">'S01.C02'!$B$2:$K$108</definedName>
    <definedName name="_xlnm.Print_Area" localSheetId="2">'S01.C03'!$B$2:$K$117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3" i="3" l="1"/>
  <c r="I101" i="3"/>
  <c r="I102" i="3"/>
  <c r="F101" i="3"/>
  <c r="I73" i="3"/>
  <c r="F73" i="3"/>
  <c r="I26" i="3"/>
  <c r="F26" i="3"/>
  <c r="J26" i="3"/>
  <c r="I87" i="2" l="1"/>
  <c r="F87" i="2"/>
  <c r="Q32" i="1" l="1"/>
  <c r="Q33" i="1"/>
  <c r="Q34" i="1"/>
  <c r="Q35" i="1"/>
  <c r="Q36" i="1"/>
  <c r="F66" i="3"/>
  <c r="I55" i="3"/>
  <c r="F55" i="3"/>
  <c r="I43" i="3"/>
  <c r="F43" i="3"/>
  <c r="F94" i="2"/>
  <c r="D96" i="3" l="1"/>
  <c r="E96" i="3"/>
  <c r="F93" i="2" l="1"/>
  <c r="E37" i="1"/>
  <c r="F37" i="1"/>
  <c r="G37" i="1"/>
  <c r="H37" i="1"/>
  <c r="I37" i="1"/>
  <c r="J37" i="1"/>
  <c r="K37" i="1"/>
  <c r="L37" i="1"/>
  <c r="M37" i="1"/>
  <c r="N37" i="1"/>
  <c r="O37" i="1"/>
  <c r="P37" i="1"/>
  <c r="D37" i="1"/>
  <c r="H74" i="2" l="1"/>
  <c r="G74" i="2"/>
  <c r="E74" i="2"/>
  <c r="D74" i="2"/>
  <c r="F48" i="2"/>
  <c r="F49" i="2"/>
  <c r="F50" i="2"/>
  <c r="F51" i="2"/>
  <c r="F52" i="2"/>
  <c r="F53" i="2"/>
  <c r="F54" i="2"/>
  <c r="F55" i="2"/>
  <c r="F56" i="2"/>
  <c r="F57" i="2"/>
  <c r="F58" i="2"/>
  <c r="D88" i="3" l="1"/>
  <c r="E88" i="3"/>
  <c r="G88" i="3"/>
  <c r="H88" i="3"/>
  <c r="F94" i="3"/>
  <c r="D105" i="2" l="1"/>
  <c r="E105" i="2"/>
  <c r="F106" i="2"/>
  <c r="F92" i="2"/>
  <c r="F80" i="2"/>
  <c r="F105" i="2" l="1"/>
  <c r="F71" i="3" l="1"/>
  <c r="L55" i="1" l="1"/>
  <c r="I69" i="2"/>
  <c r="H105" i="2" l="1"/>
  <c r="J106" i="2" s="1"/>
  <c r="G105" i="2"/>
  <c r="I55" i="1"/>
  <c r="F25" i="2" l="1"/>
  <c r="F72" i="3"/>
  <c r="I72" i="3"/>
  <c r="D44" i="3"/>
  <c r="E44" i="3"/>
  <c r="F44" i="3" s="1"/>
  <c r="I95" i="2"/>
  <c r="I94" i="2"/>
  <c r="I93" i="2"/>
  <c r="I92" i="2"/>
  <c r="I91" i="2"/>
  <c r="F95" i="2"/>
  <c r="F91" i="2"/>
  <c r="Q37" i="1"/>
  <c r="I115" i="3"/>
  <c r="F115" i="3"/>
  <c r="H114" i="3"/>
  <c r="J115" i="3" s="1"/>
  <c r="J114" i="3" s="1"/>
  <c r="G114" i="3"/>
  <c r="E114" i="3"/>
  <c r="D114" i="3"/>
  <c r="I113" i="3"/>
  <c r="F113" i="3"/>
  <c r="I112" i="3"/>
  <c r="F112" i="3"/>
  <c r="I111" i="3"/>
  <c r="F111" i="3"/>
  <c r="H110" i="3"/>
  <c r="J113" i="3" s="1"/>
  <c r="G110" i="3"/>
  <c r="E110" i="3"/>
  <c r="D110" i="3"/>
  <c r="I109" i="3"/>
  <c r="F109" i="3"/>
  <c r="I108" i="3"/>
  <c r="F108" i="3"/>
  <c r="H107" i="3"/>
  <c r="J109" i="3" s="1"/>
  <c r="G107" i="3"/>
  <c r="E107" i="3"/>
  <c r="D107" i="3"/>
  <c r="I106" i="3"/>
  <c r="F106" i="3"/>
  <c r="I105" i="3"/>
  <c r="F105" i="3"/>
  <c r="I104" i="3"/>
  <c r="F104" i="3"/>
  <c r="H103" i="3"/>
  <c r="J106" i="3" s="1"/>
  <c r="G103" i="3"/>
  <c r="E103" i="3"/>
  <c r="D103" i="3"/>
  <c r="F102" i="3"/>
  <c r="I100" i="3"/>
  <c r="F100" i="3"/>
  <c r="I99" i="3"/>
  <c r="F99" i="3"/>
  <c r="I98" i="3"/>
  <c r="F98" i="3"/>
  <c r="I97" i="3"/>
  <c r="F97" i="3"/>
  <c r="H96" i="3"/>
  <c r="J101" i="3" s="1"/>
  <c r="G96" i="3"/>
  <c r="I95" i="3"/>
  <c r="F95" i="3"/>
  <c r="I94" i="3"/>
  <c r="I93" i="3"/>
  <c r="F93" i="3"/>
  <c r="I92" i="3"/>
  <c r="F92" i="3"/>
  <c r="I91" i="3"/>
  <c r="F91" i="3"/>
  <c r="H90" i="3"/>
  <c r="J94" i="3" s="1"/>
  <c r="G90" i="3"/>
  <c r="E90" i="3"/>
  <c r="D90" i="3"/>
  <c r="I89" i="3"/>
  <c r="F89" i="3"/>
  <c r="J89" i="3"/>
  <c r="J88" i="3" s="1"/>
  <c r="I87" i="3"/>
  <c r="F87" i="3"/>
  <c r="H86" i="3"/>
  <c r="G86" i="3"/>
  <c r="E86" i="3"/>
  <c r="D86" i="3"/>
  <c r="I85" i="3"/>
  <c r="F85" i="3"/>
  <c r="I84" i="3"/>
  <c r="I83" i="3"/>
  <c r="F83" i="3"/>
  <c r="I82" i="3"/>
  <c r="F82" i="3"/>
  <c r="I81" i="3"/>
  <c r="F81" i="3"/>
  <c r="I80" i="3"/>
  <c r="F80" i="3"/>
  <c r="I79" i="3"/>
  <c r="F79" i="3"/>
  <c r="I78" i="3"/>
  <c r="F78" i="3"/>
  <c r="I77" i="3"/>
  <c r="F77" i="3"/>
  <c r="I76" i="3"/>
  <c r="F76" i="3"/>
  <c r="I75" i="3"/>
  <c r="F75" i="3"/>
  <c r="H74" i="3"/>
  <c r="J82" i="3" s="1"/>
  <c r="G74" i="3"/>
  <c r="E74" i="3"/>
  <c r="D74" i="3"/>
  <c r="I71" i="3"/>
  <c r="I70" i="3"/>
  <c r="I69" i="3"/>
  <c r="F69" i="3"/>
  <c r="I68" i="3"/>
  <c r="F68" i="3"/>
  <c r="I67" i="3"/>
  <c r="F67" i="3"/>
  <c r="I66" i="3"/>
  <c r="I65" i="3"/>
  <c r="F65" i="3"/>
  <c r="I64" i="3"/>
  <c r="F64" i="3"/>
  <c r="I63" i="3"/>
  <c r="F63" i="3"/>
  <c r="I62" i="3"/>
  <c r="F62" i="3"/>
  <c r="I61" i="3"/>
  <c r="F61" i="3"/>
  <c r="I60" i="3"/>
  <c r="F60" i="3"/>
  <c r="I59" i="3"/>
  <c r="F59" i="3"/>
  <c r="I58" i="3"/>
  <c r="F58" i="3"/>
  <c r="I57" i="3"/>
  <c r="F57" i="3"/>
  <c r="H56" i="3"/>
  <c r="J66" i="3" s="1"/>
  <c r="G56" i="3"/>
  <c r="E56" i="3"/>
  <c r="D56" i="3"/>
  <c r="I54" i="3"/>
  <c r="I53" i="3"/>
  <c r="F53" i="3"/>
  <c r="I52" i="3"/>
  <c r="F52" i="3"/>
  <c r="I51" i="3"/>
  <c r="F51" i="3"/>
  <c r="I50" i="3"/>
  <c r="F50" i="3"/>
  <c r="I49" i="3"/>
  <c r="F49" i="3"/>
  <c r="I48" i="3"/>
  <c r="F48" i="3"/>
  <c r="I47" i="3"/>
  <c r="F47" i="3"/>
  <c r="I46" i="3"/>
  <c r="F46" i="3"/>
  <c r="I45" i="3"/>
  <c r="F45" i="3"/>
  <c r="H44" i="3"/>
  <c r="G44"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6" i="2"/>
  <c r="I104" i="2"/>
  <c r="F104" i="2"/>
  <c r="I103" i="2"/>
  <c r="F103" i="2"/>
  <c r="I102" i="2"/>
  <c r="F102" i="2"/>
  <c r="I101" i="2"/>
  <c r="F101" i="2"/>
  <c r="H100" i="2"/>
  <c r="J104" i="2" s="1"/>
  <c r="G100" i="2"/>
  <c r="E100" i="2"/>
  <c r="D100" i="2"/>
  <c r="I99" i="2"/>
  <c r="F99" i="2"/>
  <c r="I98" i="2"/>
  <c r="F98" i="2"/>
  <c r="I97" i="2"/>
  <c r="F97" i="2"/>
  <c r="H96" i="2"/>
  <c r="J99" i="2" s="1"/>
  <c r="G96" i="2"/>
  <c r="E96" i="2"/>
  <c r="D96" i="2"/>
  <c r="H90" i="2"/>
  <c r="J95" i="2" s="1"/>
  <c r="G90" i="2"/>
  <c r="E90" i="2"/>
  <c r="D90"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55" i="1"/>
  <c r="O55" i="1"/>
  <c r="N55" i="1"/>
  <c r="M55" i="1"/>
  <c r="K55" i="1"/>
  <c r="J55" i="1"/>
  <c r="H55" i="1"/>
  <c r="G55" i="1"/>
  <c r="F55" i="1"/>
  <c r="E55" i="1"/>
  <c r="D55" i="1"/>
  <c r="P50" i="1"/>
  <c r="O50" i="1"/>
  <c r="N50" i="1"/>
  <c r="M50" i="1"/>
  <c r="L50" i="1"/>
  <c r="K50" i="1"/>
  <c r="J50" i="1"/>
  <c r="I50" i="1"/>
  <c r="H50" i="1"/>
  <c r="G50" i="1"/>
  <c r="F50" i="1"/>
  <c r="E50" i="1"/>
  <c r="D50" i="1"/>
  <c r="P45" i="1"/>
  <c r="O45" i="1"/>
  <c r="N45" i="1"/>
  <c r="M45" i="1"/>
  <c r="L45" i="1"/>
  <c r="K45" i="1"/>
  <c r="J45" i="1"/>
  <c r="I45" i="1"/>
  <c r="H45" i="1"/>
  <c r="G45" i="1"/>
  <c r="F45" i="1"/>
  <c r="E45" i="1"/>
  <c r="D45" i="1"/>
  <c r="Q31" i="1"/>
  <c r="Q30" i="1"/>
  <c r="Q29" i="1"/>
  <c r="Q28" i="1"/>
  <c r="Q27" i="1"/>
  <c r="Q26" i="1"/>
  <c r="Q25" i="1"/>
  <c r="Q24" i="1"/>
  <c r="Q23" i="1"/>
  <c r="Q22" i="1"/>
  <c r="I90" i="2" l="1"/>
  <c r="I11" i="2"/>
  <c r="I44" i="3"/>
  <c r="I96" i="2"/>
  <c r="J43" i="2"/>
  <c r="J101" i="2"/>
  <c r="J63" i="3"/>
  <c r="I56" i="3"/>
  <c r="J72" i="3"/>
  <c r="J43" i="3"/>
  <c r="J39" i="2"/>
  <c r="J62" i="2"/>
  <c r="J53" i="2"/>
  <c r="J18" i="2"/>
  <c r="F96" i="3"/>
  <c r="I88" i="3"/>
  <c r="F86" i="3"/>
  <c r="F56" i="3"/>
  <c r="J49" i="3"/>
  <c r="F107" i="3"/>
  <c r="J50" i="3"/>
  <c r="J84" i="3"/>
  <c r="J51" i="3"/>
  <c r="I114" i="3"/>
  <c r="J45" i="3"/>
  <c r="J67" i="3"/>
  <c r="I27" i="3"/>
  <c r="J77" i="3"/>
  <c r="I86" i="3"/>
  <c r="F74" i="3"/>
  <c r="F90" i="3"/>
  <c r="J52" i="3"/>
  <c r="J68" i="3"/>
  <c r="J57" i="3"/>
  <c r="F114" i="3"/>
  <c r="J46" i="3"/>
  <c r="J53" i="3"/>
  <c r="J61" i="3"/>
  <c r="J87" i="3"/>
  <c r="J86" i="3" s="1"/>
  <c r="J47" i="3"/>
  <c r="J54" i="3"/>
  <c r="F110" i="3"/>
  <c r="F88" i="3"/>
  <c r="F103" i="3"/>
  <c r="J62" i="3"/>
  <c r="J48" i="3"/>
  <c r="I100" i="2"/>
  <c r="F100" i="2"/>
  <c r="J97" i="2"/>
  <c r="F96" i="2"/>
  <c r="F82" i="2"/>
  <c r="J79" i="2"/>
  <c r="J80" i="2"/>
  <c r="F74" i="2"/>
  <c r="J72" i="2"/>
  <c r="J71" i="2" s="1"/>
  <c r="J58" i="2"/>
  <c r="J38" i="2"/>
  <c r="F35" i="2"/>
  <c r="J30" i="2"/>
  <c r="F23" i="2"/>
  <c r="J15" i="2"/>
  <c r="J16" i="2"/>
  <c r="J13" i="3"/>
  <c r="I23" i="2"/>
  <c r="I47" i="2"/>
  <c r="J63" i="2"/>
  <c r="I105" i="2"/>
  <c r="J16" i="3"/>
  <c r="J23" i="3"/>
  <c r="J54" i="2"/>
  <c r="F76" i="2"/>
  <c r="J22" i="3"/>
  <c r="F71" i="2"/>
  <c r="J91" i="2"/>
  <c r="I90" i="3"/>
  <c r="I96" i="3"/>
  <c r="I110" i="3"/>
  <c r="F11" i="2"/>
  <c r="J24" i="2"/>
  <c r="J48" i="2"/>
  <c r="I71" i="2"/>
  <c r="J92" i="2"/>
  <c r="J78" i="3"/>
  <c r="J97" i="3"/>
  <c r="J49" i="2"/>
  <c r="J93" i="2"/>
  <c r="F11" i="3"/>
  <c r="J98" i="3"/>
  <c r="F47" i="2"/>
  <c r="J34" i="2"/>
  <c r="J17" i="3"/>
  <c r="J24" i="3"/>
  <c r="J19" i="2"/>
  <c r="J32" i="3"/>
  <c r="J18" i="3"/>
  <c r="I11" i="3"/>
  <c r="J99" i="3"/>
  <c r="J13" i="2"/>
  <c r="J20" i="2"/>
  <c r="F59" i="2"/>
  <c r="J44" i="2"/>
  <c r="J67" i="2"/>
  <c r="J19" i="3"/>
  <c r="J95" i="3"/>
  <c r="J25" i="3"/>
  <c r="J12" i="3"/>
  <c r="J14" i="2"/>
  <c r="J29" i="2"/>
  <c r="J52" i="2"/>
  <c r="F27" i="3"/>
  <c r="J68" i="2"/>
  <c r="I74" i="2"/>
  <c r="F90" i="2"/>
  <c r="J20" i="3"/>
  <c r="J83" i="3"/>
  <c r="J102" i="3"/>
  <c r="I103" i="3"/>
  <c r="J25" i="2"/>
  <c r="I76" i="2"/>
  <c r="J39" i="3"/>
  <c r="I74" i="3"/>
  <c r="J111" i="3"/>
  <c r="J21" i="2"/>
  <c r="I35" i="2"/>
  <c r="J40" i="2"/>
  <c r="I59" i="2"/>
  <c r="J64" i="2"/>
  <c r="J94" i="2"/>
  <c r="J98" i="2"/>
  <c r="J102" i="2"/>
  <c r="J105" i="2"/>
  <c r="J14" i="3"/>
  <c r="J34" i="3"/>
  <c r="J55" i="3"/>
  <c r="J58" i="3"/>
  <c r="J85" i="3"/>
  <c r="J81" i="2"/>
  <c r="J28" i="3"/>
  <c r="J45" i="2"/>
  <c r="J91" i="3"/>
  <c r="J29" i="3"/>
  <c r="J69" i="3"/>
  <c r="J26" i="2"/>
  <c r="J46" i="2"/>
  <c r="J50" i="2"/>
  <c r="J70" i="2"/>
  <c r="J84" i="2"/>
  <c r="J40" i="3"/>
  <c r="J64" i="3"/>
  <c r="J80" i="3"/>
  <c r="J92" i="3"/>
  <c r="J104" i="3"/>
  <c r="J108" i="3"/>
  <c r="J107" i="3" s="1"/>
  <c r="J112" i="3"/>
  <c r="I107" i="3"/>
  <c r="J79" i="3"/>
  <c r="J55" i="2"/>
  <c r="J22" i="2"/>
  <c r="J41" i="2"/>
  <c r="J65" i="2"/>
  <c r="J77" i="2"/>
  <c r="J103" i="2"/>
  <c r="J15" i="3"/>
  <c r="J35" i="3"/>
  <c r="J59" i="3"/>
  <c r="J75" i="3"/>
  <c r="J83" i="2"/>
  <c r="J31" i="2"/>
  <c r="J17" i="2"/>
  <c r="J32" i="2"/>
  <c r="J36" i="2"/>
  <c r="J56" i="2"/>
  <c r="J60" i="2"/>
  <c r="J30" i="3"/>
  <c r="J70" i="3"/>
  <c r="J100" i="3"/>
  <c r="J69" i="2"/>
  <c r="J27" i="2"/>
  <c r="J51" i="2"/>
  <c r="J85" i="2"/>
  <c r="J41" i="3"/>
  <c r="J65" i="3"/>
  <c r="J81" i="3"/>
  <c r="J93" i="3"/>
  <c r="J105" i="3"/>
  <c r="J88" i="2"/>
  <c r="J42" i="2"/>
  <c r="J66" i="2"/>
  <c r="J36" i="3"/>
  <c r="J60" i="3"/>
  <c r="J71" i="3"/>
  <c r="J76" i="3"/>
  <c r="I82" i="2"/>
  <c r="J33" i="3"/>
  <c r="J33" i="2"/>
  <c r="J31" i="3"/>
  <c r="J38" i="3"/>
  <c r="J86" i="2"/>
  <c r="J42" i="3"/>
  <c r="J96" i="2" l="1"/>
  <c r="J96" i="3"/>
  <c r="J44" i="3"/>
  <c r="J11" i="2"/>
  <c r="J11" i="3"/>
  <c r="J35" i="2"/>
  <c r="J90" i="2"/>
  <c r="J90" i="3"/>
  <c r="J82" i="2"/>
  <c r="J56" i="3"/>
  <c r="J27" i="3"/>
  <c r="J23" i="2"/>
  <c r="J103" i="3"/>
  <c r="J76" i="2"/>
  <c r="J110" i="3"/>
  <c r="J74" i="3"/>
  <c r="J47" i="2"/>
  <c r="J100" i="2"/>
  <c r="J59" i="2"/>
</calcChain>
</file>

<file path=xl/sharedStrings.xml><?xml version="1.0" encoding="utf-8"?>
<sst xmlns="http://schemas.openxmlformats.org/spreadsheetml/2006/main" count="371" uniqueCount="143">
  <si>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</si>
  <si>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</si>
  <si>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</si>
  <si>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</si>
  <si>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</si>
  <si>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</si>
  <si>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</si>
  <si>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</si>
  <si>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</si>
  <si>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</si>
  <si>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</si>
  <si>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</si>
  <si>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</si>
  <si>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</si>
  <si>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</si>
  <si>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</si>
  <si>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</si>
  <si>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</si>
  <si>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</si>
  <si>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</si>
  <si>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</si>
  <si>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</si>
  <si>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</si>
  <si>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</si>
  <si>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</si>
  <si>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</si>
  <si>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</si>
  <si>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</si>
  <si>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</si>
  <si>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</si>
  <si>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</si>
  <si>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</si>
  <si>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</si>
  <si>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</si>
  <si>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</si>
  <si>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</si>
  <si>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</si>
  <si>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</si>
  <si>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</si>
  <si>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</si>
  <si>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</si>
  <si>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</si>
  <si>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</si>
  <si>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</si>
  <si>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</si>
  <si>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</si>
  <si>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COMPAÑIA MINERA ARES S.A.C.</t>
  </si>
  <si>
    <t>PALTARUMI S.A.C.</t>
  </si>
  <si>
    <t>SHAHUINDO S.A.C.</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</si>
  <si>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</si>
  <si>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</si>
  <si>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</si>
  <si>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</si>
  <si>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</si>
  <si>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</si>
  <si>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</si>
  <si>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</si>
  <si>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</si>
  <si>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</si>
  <si>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</si>
  <si>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</si>
  <si>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</si>
  <si>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</si>
  <si>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</si>
  <si>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</si>
  <si>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</si>
  <si>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</si>
  <si>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</si>
  <si>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</si>
  <si>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</si>
  <si>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</si>
  <si>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</si>
  <si>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</si>
  <si>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</si>
  <si>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</si>
  <si>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</si>
  <si>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</si>
  <si>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</si>
  <si>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</si>
  <si>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</si>
  <si>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</si>
  <si>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</si>
  <si>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</si>
  <si>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</si>
  <si>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</si>
  <si>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</si>
  <si>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</si>
  <si>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</si>
  <si>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</si>
  <si>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</si>
  <si>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</si>
  <si>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</si>
  <si>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</si>
  <si>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</si>
  <si>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</si>
  <si>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</si>
  <si>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</si>
  <si>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</si>
  <si>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</si>
  <si>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</si>
  <si>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</si>
  <si>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</si>
  <si>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</si>
  <si>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</si>
  <si>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</si>
  <si>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</si>
  <si>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</si>
  <si>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</si>
  <si>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</si>
  <si>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</si>
  <si>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</si>
  <si>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</si>
  <si>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</si>
  <si>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</si>
  <si>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</si>
  <si>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</si>
  <si>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</si>
  <si>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</si>
  <si>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r>
      <t xml:space="preserve">Feb. 2026
</t>
    </r>
    <r>
      <rPr>
        <i/>
        <sz val="8"/>
        <color rgb="FF000000"/>
        <rFont val="Calibri Light"/>
        <family val="2"/>
        <scheme val="major"/>
      </rPr>
      <t>(Feb. 2026)</t>
    </r>
  </si>
  <si>
    <t>OTROS (2025: 3 titulares mineros, 2026: 3 titulares mineros)</t>
  </si>
  <si>
    <t>OTROS** (2025: 3 departamentos, 2026: 3 departamentos)</t>
  </si>
  <si>
    <t>COMPAÑIA MINERA COIMOLACHE S.A.</t>
  </si>
  <si>
    <t>EMPRESA MINERA LOS QUENUALES S.A.C.</t>
  </si>
  <si>
    <r>
      <t>Mar. /Mar</t>
    </r>
    <r>
      <rPr>
        <i/>
        <sz val="10"/>
        <color rgb="FF000000"/>
        <rFont val="Calibri Light"/>
        <family val="2"/>
        <scheme val="major"/>
      </rPr>
      <t>.</t>
    </r>
  </si>
  <si>
    <r>
      <t xml:space="preserve">VARIACIÓN INTERANUAL, MARZO / </t>
    </r>
    <r>
      <rPr>
        <i/>
        <sz val="8"/>
        <color rgb="FF000000"/>
        <rFont val="Calibri Light"/>
        <family val="2"/>
        <scheme val="major"/>
      </rPr>
      <t>YEAR-OVER-YEAR VARIATION, MARCH</t>
    </r>
  </si>
  <si>
    <r>
      <t xml:space="preserve">Mar. 2025
</t>
    </r>
    <r>
      <rPr>
        <i/>
        <sz val="10"/>
        <color rgb="FF000000"/>
        <rFont val="Calibri Light"/>
        <family val="2"/>
        <scheme val="major"/>
      </rPr>
      <t>(Mar</t>
    </r>
    <r>
      <rPr>
        <i/>
        <sz val="8"/>
        <color rgb="FF000000"/>
        <rFont val="Calibri Light"/>
        <family val="2"/>
        <scheme val="major"/>
      </rPr>
      <t>. 2025)</t>
    </r>
  </si>
  <si>
    <r>
      <t xml:space="preserve">Mar. 2026
</t>
    </r>
    <r>
      <rPr>
        <i/>
        <sz val="8"/>
        <color rgb="FF000000"/>
        <rFont val="Calibri Light"/>
        <family val="2"/>
        <scheme val="major"/>
      </rPr>
      <t>(Mar. 2026)</t>
    </r>
  </si>
  <si>
    <r>
      <t xml:space="preserve">VARIACIÓN INTERANUAL ACUMULADA ENERO-MARZO / </t>
    </r>
    <r>
      <rPr>
        <i/>
        <sz val="8"/>
        <color rgb="FF000000"/>
        <rFont val="Calibri Light"/>
        <family val="2"/>
        <scheme val="major"/>
      </rPr>
      <t>CUMULATIVE YEAR-OVER-YEAR VARIATION, JANUARY–MARCH</t>
    </r>
  </si>
  <si>
    <r>
      <t xml:space="preserve">Ene-Mar 2025
</t>
    </r>
    <r>
      <rPr>
        <i/>
        <sz val="8"/>
        <color theme="1"/>
        <rFont val="Calibri Light"/>
        <family val="2"/>
        <scheme val="major"/>
      </rPr>
      <t>(Jan-Mar. 2025)</t>
    </r>
  </si>
  <si>
    <r>
      <t xml:space="preserve">Ene-Mar 2026
</t>
    </r>
    <r>
      <rPr>
        <i/>
        <sz val="8"/>
        <color theme="1"/>
        <rFont val="Calibri Light"/>
        <family val="2"/>
        <scheme val="major"/>
      </rPr>
      <t>(Jan-Mar. 2026)</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</si>
  <si>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28 de abril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April 28,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</si>
  <si>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28 de abril de 2026. / </t>
    </r>
    <r>
      <rPr>
        <i/>
        <u/>
        <sz val="10"/>
        <color theme="1"/>
        <rFont val="Calibri Light"/>
        <family val="2"/>
        <scheme val="major"/>
      </rPr>
      <t>Date of consultation</t>
    </r>
    <r>
      <rPr>
        <i/>
        <sz val="10"/>
        <color theme="1"/>
        <rFont val="Calibri Light"/>
        <family val="2"/>
        <scheme val="major"/>
      </rPr>
      <t>: April 28,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</si>
  <si>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28 de abril de 2026. / </t>
    </r>
    <r>
      <rPr>
        <i/>
        <u/>
        <sz val="10"/>
        <color theme="1"/>
        <rFont val="Calibri Light"/>
        <family val="2"/>
        <scheme val="major"/>
      </rPr>
      <t>Date of consultation</t>
    </r>
    <r>
      <rPr>
        <i/>
        <sz val="10"/>
        <color theme="1"/>
        <rFont val="Calibri Light"/>
        <family val="2"/>
        <scheme val="major"/>
      </rPr>
      <t>: April 28,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</si>
  <si>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28 de abril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April 28,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</si>
  <si>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r>
      <t xml:space="preserve">MARZO
</t>
    </r>
    <r>
      <rPr>
        <i/>
        <sz val="8"/>
        <color theme="1"/>
        <rFont val="Calibri Light"/>
        <family val="2"/>
        <scheme val="major"/>
      </rPr>
      <t>March</t>
    </r>
  </si>
  <si>
    <r>
      <t xml:space="preserve">ENERO - MARZO
</t>
    </r>
    <r>
      <rPr>
        <i/>
        <sz val="8"/>
        <color theme="1"/>
        <rFont val="Calibri Light"/>
        <family val="2"/>
        <scheme val="major"/>
      </rPr>
      <t>January -March</t>
    </r>
  </si>
  <si>
    <t>OTROS (2025: 42 titulares mineros, 2026: 43 titulares mineros)</t>
  </si>
  <si>
    <t>OTROS (2025: 244 titulares mineros, 2026: 245 titulares mineros)</t>
  </si>
  <si>
    <t>SOBREANDES S.A.C.</t>
  </si>
  <si>
    <t>OTROS (2025: 25 titulares mineros, 2026: 27 titulares mineros)</t>
  </si>
  <si>
    <t>OTROS (2025: 74 titulares mineros, 2026: 71 titulares mineros)</t>
  </si>
  <si>
    <t>OTROS (2025: 26 titulares mineros, 2026: 27 titulares mineros)</t>
  </si>
  <si>
    <r>
      <t xml:space="preserve">2026
(Ene-Mar)
</t>
    </r>
    <r>
      <rPr>
        <i/>
        <sz val="10"/>
        <color rgb="FF000000"/>
        <rFont val="Calibri Light"/>
        <family val="2"/>
        <scheme val="major"/>
      </rPr>
      <t>(Jan-Mar)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</si>
</sst>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33"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7" fillId="3" borderId="0">
      <alignment horizontal="left"/>
    </xf>
    <xf numFmtId="167" fontId="1" fillId="0" borderId="0" applyFont="0" applyFill="0" applyBorder="0" applyAlignment="0" applyProtection="0"/>
  </cellStyleXfs>
  <cellXfs count="258">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4" fillId="3" borderId="5" xfId="0" applyFont="1" applyFill="1" applyBorder="1" applyAlignment="1">
      <alignment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0" fontId="26"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7" fillId="3" borderId="0" xfId="5" applyNumberFormat="1" applyFont="1" applyFill="1" applyAlignment="1">
      <alignment horizontal="center" vertical="center"/>
    </xf>
    <xf numFmtId="10" fontId="27"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2"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8"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8" fillId="9" borderId="12" xfId="0" applyFont="1" applyFill="1" applyBorder="1" applyAlignment="1">
      <alignment vertical="center"/>
    </xf>
    <xf numFmtId="0" fontId="5" fillId="2" borderId="0" xfId="3" applyFont="1" applyFill="1" applyAlignment="1">
      <alignment vertical="center"/>
    </xf>
    <xf numFmtId="0" fontId="29" fillId="3" borderId="0" xfId="0" applyFont="1" applyFill="1" applyAlignment="1">
      <alignment horizontal="left" vertical="center"/>
    </xf>
    <xf numFmtId="166" fontId="15" fillId="3" borderId="0" xfId="2" applyNumberFormat="1" applyFont="1" applyFill="1" applyAlignment="1">
      <alignment horizontal="center" vertical="center"/>
    </xf>
    <xf numFmtId="0" fontId="30"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2" fillId="0" borderId="0" xfId="0" applyNumberFormat="1" applyFont="1" applyAlignment="1">
      <alignment vertical="center"/>
    </xf>
    <xf numFmtId="166" fontId="22"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2"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0" fontId="22" fillId="4" borderId="11" xfId="0" applyFont="1" applyFill="1" applyBorder="1" applyAlignment="1">
      <alignment vertical="center"/>
    </xf>
    <xf numFmtId="0" fontId="22" fillId="0" borderId="8" xfId="0" applyFont="1" applyBorder="1" applyAlignment="1">
      <alignment vertical="center"/>
    </xf>
    <xf numFmtId="166" fontId="11" fillId="4" borderId="6" xfId="2" applyNumberFormat="1" applyFont="1" applyFill="1" applyBorder="1" applyAlignment="1">
      <alignment horizontal="center" vertical="center"/>
    </xf>
    <xf numFmtId="0" fontId="28" fillId="4" borderId="11" xfId="0" applyFont="1" applyFill="1" applyBorder="1" applyAlignment="1">
      <alignment vertical="center"/>
    </xf>
    <xf numFmtId="3" fontId="11" fillId="4" borderId="2" xfId="5"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3" fontId="7" fillId="0" borderId="6" xfId="3" applyNumberFormat="1" applyFont="1" applyBorder="1" applyAlignment="1">
      <alignment horizontal="center" vertical="center"/>
    </xf>
    <xf numFmtId="3" fontId="6" fillId="4" borderId="11" xfId="3" applyNumberFormat="1" applyFont="1" applyFill="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4" fontId="7" fillId="0" borderId="6" xfId="3" applyNumberFormat="1" applyFont="1" applyBorder="1" applyAlignment="1">
      <alignment horizontal="center" vertical="center"/>
    </xf>
    <xf numFmtId="2" fontId="7" fillId="0" borderId="4" xfId="3" applyNumberFormat="1" applyFont="1" applyBorder="1" applyAlignment="1">
      <alignment horizontal="center" vertical="center"/>
    </xf>
    <xf numFmtId="3" fontId="7" fillId="0" borderId="5" xfId="3" applyNumberFormat="1" applyFont="1" applyBorder="1" applyAlignment="1">
      <alignment horizontal="center" vertical="center"/>
    </xf>
    <xf numFmtId="164" fontId="7" fillId="0" borderId="5" xfId="3" applyNumberFormat="1" applyFont="1" applyBorder="1" applyAlignment="1">
      <alignment horizontal="center" vertical="center"/>
    </xf>
    <xf numFmtId="10" fontId="4" fillId="3" borderId="8" xfId="2" applyNumberFormat="1" applyFont="1" applyFill="1" applyBorder="1" applyAlignment="1">
      <alignment horizontal="center" vertical="center"/>
    </xf>
    <xf numFmtId="164" fontId="4" fillId="3" borderId="0" xfId="1"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3" fontId="4" fillId="0" borderId="7" xfId="1"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0" fontId="4" fillId="0" borderId="13" xfId="4" applyFont="1" applyFill="1" applyBorder="1" applyAlignment="1">
      <alignment horizontal="left" vertical="center" indent="1"/>
    </xf>
    <xf numFmtId="37" fontId="4" fillId="3" borderId="0" xfId="5" applyNumberFormat="1" applyFont="1" applyFill="1" applyBorder="1" applyAlignment="1">
      <alignment horizontal="center" vertical="center"/>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37" fontId="4" fillId="3" borderId="5" xfId="5" applyNumberFormat="1" applyFont="1" applyFill="1" applyBorder="1" applyAlignment="1">
      <alignment horizontal="center" vertical="center"/>
    </xf>
    <xf numFmtId="0" fontId="4" fillId="3" borderId="8" xfId="4" applyFont="1" applyBorder="1" applyAlignment="1">
      <alignment horizontal="left" vertical="center" indent="1"/>
    </xf>
    <xf numFmtId="37" fontId="4" fillId="3" borderId="2" xfId="5" applyNumberFormat="1" applyFont="1" applyFill="1" applyBorder="1" applyAlignment="1">
      <alignment horizontal="center" vertical="center"/>
    </xf>
    <xf numFmtId="37" fontId="4" fillId="3" borderId="1" xfId="5" applyNumberFormat="1" applyFont="1" applyFill="1" applyBorder="1" applyAlignment="1">
      <alignment horizontal="center" vertical="center"/>
    </xf>
    <xf numFmtId="0" fontId="22" fillId="0" borderId="0" xfId="0" applyFont="1" applyAlignment="1">
      <alignment horizontal="right" vertical="center"/>
    </xf>
    <xf numFmtId="0" fontId="4" fillId="0" borderId="4" xfId="0" applyFont="1" applyBorder="1" applyAlignment="1">
      <alignment horizontal="center" vertical="center"/>
    </xf>
    <xf numFmtId="3" fontId="4" fillId="0" borderId="0" xfId="0" applyNumberFormat="1" applyFont="1" applyAlignment="1">
      <alignment vertical="center"/>
    </xf>
    <xf numFmtId="0" fontId="4" fillId="0" borderId="0" xfId="0" applyFont="1" applyAlignment="1">
      <alignment vertical="center"/>
    </xf>
    <xf numFmtId="43" fontId="4" fillId="0" borderId="0" xfId="1" applyFont="1" applyFill="1" applyAlignment="1">
      <alignment vertical="center"/>
    </xf>
    <xf numFmtId="3" fontId="4" fillId="3" borderId="5" xfId="2" applyNumberFormat="1" applyFont="1" applyFill="1" applyBorder="1" applyAlignment="1">
      <alignment horizontal="center" vertical="center"/>
    </xf>
    <xf numFmtId="10" fontId="15" fillId="3" borderId="0" xfId="2"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3" fillId="0" borderId="0" xfId="0" applyFont="1" applyAlignment="1">
      <alignment horizontal="center" vertical="center" wrapText="1"/>
    </xf>
    <xf numFmtId="0" fontId="14" fillId="2" borderId="0" xfId="3" applyFont="1" applyFill="1" applyAlignment="1">
      <alignment horizontal="center" vertical="center"/>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164" fontId="4" fillId="3" borderId="1" xfId="5" applyNumberFormat="1" applyFont="1" applyFill="1" applyBorder="1" applyAlignment="1">
      <alignment horizontal="center" vertical="center"/>
    </xf>
    <xf numFmtId="164" fontId="4" fillId="3" borderId="2" xfId="5" applyNumberFormat="1" applyFont="1" applyFill="1" applyBorder="1" applyAlignment="1">
      <alignment horizontal="center" vertical="center"/>
    </xf>
    <xf numFmtId="0" fontId="6" fillId="0" borderId="0" xfId="3" applyFont="1" applyFill="1" applyAlignment="1">
      <alignment vertical="center"/>
    </xf>
    <xf numFmtId="0" fontId="22" fillId="0" borderId="0" xfId="0" applyFont="1" applyFill="1" applyAlignment="1">
      <alignment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FAFE7"/>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10"/>
            <c:invertIfNegative val="0"/>
            <c:bubble3D val="0"/>
            <c:spPr>
              <a:solidFill>
                <a:srgbClr val="C00000"/>
              </a:solidFill>
            </c:spPr>
            <c:extLst>
              <c:ext xmlns:c16="http://schemas.microsoft.com/office/drawing/2014/chart" uri="{C3380CC4-5D6E-409C-BE32-E72D297353CC}">
                <c16:uniqueId val="{00000002-045B-4CAF-9900-496C0291835D}"/>
              </c:ext>
            </c:extLst>
          </c:dPt>
          <c:dLbls>
            <c:dLbl>
              <c:idx val="10"/>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045B-4CAF-9900-496C0291835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(Ene-Mar)
(Jan-Mar)</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2769.8655786898944</c:v>
                </c:pt>
                <c:pt idx="10">
                  <c:v>688.21438633423634</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60</xdr:row>
      <xdr:rowOff>19050</xdr:rowOff>
    </xdr:from>
    <xdr:to>
      <xdr:col>15</xdr:col>
      <xdr:colOff>542924</xdr:colOff>
      <xdr:row>67</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69"/>
  <sheetViews>
    <sheetView showGridLines="0" tabSelected="1" view="pageBreakPreview" zoomScaleNormal="100" zoomScaleSheetLayoutView="100" workbookViewId="0"/>
  </sheetViews>
  <sheetFormatPr baseColWidth="10" defaultColWidth="11.42578125" defaultRowHeight="12.75" x14ac:dyDescent="0.25"/>
  <cols>
    <col min="1" max="2" width="2.7109375" style="2" customWidth="1"/>
    <col min="3" max="3" width="12.85546875" style="38"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35" t="s">
        <v>0</v>
      </c>
      <c r="D3" s="235"/>
      <c r="E3" s="235"/>
      <c r="F3" s="235"/>
      <c r="G3" s="235"/>
      <c r="H3" s="235"/>
      <c r="I3" s="235"/>
      <c r="J3" s="235"/>
      <c r="K3" s="235"/>
      <c r="L3" s="235"/>
      <c r="M3" s="235"/>
      <c r="N3" s="235"/>
      <c r="O3" s="235"/>
      <c r="P3" s="235"/>
      <c r="Q3" s="1"/>
    </row>
    <row r="4" spans="3:17" ht="14.25" customHeight="1" x14ac:dyDescent="0.25">
      <c r="C4" s="236" t="s">
        <v>1</v>
      </c>
      <c r="D4" s="236"/>
      <c r="E4" s="236"/>
      <c r="F4" s="236"/>
      <c r="G4" s="236"/>
      <c r="H4" s="236"/>
      <c r="I4" s="236"/>
      <c r="J4" s="236"/>
      <c r="K4" s="236"/>
      <c r="L4" s="236"/>
      <c r="M4" s="236"/>
      <c r="N4" s="236"/>
      <c r="O4" s="236"/>
      <c r="P4" s="236"/>
      <c r="Q4" s="3"/>
    </row>
    <row r="5" spans="3:17" ht="9" customHeight="1" x14ac:dyDescent="0.25">
      <c r="C5" s="256"/>
      <c r="D5" s="5"/>
      <c r="E5" s="5"/>
      <c r="F5" s="5"/>
      <c r="G5" s="5"/>
      <c r="H5" s="6"/>
      <c r="I5" s="7"/>
      <c r="J5" s="6"/>
      <c r="K5" s="5"/>
      <c r="L5" s="5"/>
      <c r="M5" s="5"/>
      <c r="N5" s="5"/>
      <c r="O5" s="5"/>
      <c r="P5" s="5"/>
    </row>
    <row r="6" spans="3:17" ht="14.45" customHeight="1" x14ac:dyDescent="0.25">
      <c r="C6" s="237" t="s">
        <v>2</v>
      </c>
      <c r="D6" s="237"/>
      <c r="E6" s="237"/>
      <c r="F6" s="237"/>
      <c r="G6" s="237"/>
      <c r="H6" s="237"/>
      <c r="I6" s="237"/>
      <c r="J6" s="237"/>
      <c r="K6" s="237"/>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s="228" customFormat="1" x14ac:dyDescent="0.25">
      <c r="C36" s="226">
        <v>2025</v>
      </c>
      <c r="D36" s="20">
        <v>2769865.5786898942</v>
      </c>
      <c r="E36" s="20">
        <v>109675602.05294405</v>
      </c>
      <c r="F36" s="20">
        <v>1510087.4171173284</v>
      </c>
      <c r="G36" s="20">
        <v>3761821.382447273</v>
      </c>
      <c r="H36" s="20">
        <v>316288.88028115389</v>
      </c>
      <c r="I36" s="20">
        <v>11892474.643507</v>
      </c>
      <c r="J36" s="20">
        <v>33816.185040000004</v>
      </c>
      <c r="K36" s="20">
        <v>38009.426725496101</v>
      </c>
      <c r="L36" s="20">
        <v>28040.647535969998</v>
      </c>
      <c r="M36" s="20">
        <v>283.76478187999999</v>
      </c>
      <c r="N36" s="20">
        <v>311.762111</v>
      </c>
      <c r="O36" s="20">
        <v>39204.828694800002</v>
      </c>
      <c r="P36" s="197">
        <v>35.532075999999996</v>
      </c>
      <c r="Q36" s="22">
        <f t="shared" si="0"/>
        <v>2769.8655786898944</v>
      </c>
      <c r="R36" s="227"/>
      <c r="AB36" s="229"/>
      <c r="AC36" s="229"/>
      <c r="AD36" s="229"/>
      <c r="AE36" s="229"/>
      <c r="AF36" s="229"/>
      <c r="AG36" s="229"/>
      <c r="AH36" s="229"/>
      <c r="AI36" s="229"/>
    </row>
    <row r="37" spans="3:35" ht="38.25" x14ac:dyDescent="0.25">
      <c r="C37" s="25" t="s">
        <v>142</v>
      </c>
      <c r="D37" s="26">
        <f t="shared" ref="D37:P37" si="1">SUM(D38:D40)</f>
        <v>688214.38633423636</v>
      </c>
      <c r="E37" s="26">
        <f t="shared" si="1"/>
        <v>24752697.695550196</v>
      </c>
      <c r="F37" s="26">
        <f t="shared" si="1"/>
        <v>327847.10057500191</v>
      </c>
      <c r="G37" s="26">
        <f t="shared" si="1"/>
        <v>879623.82122444338</v>
      </c>
      <c r="H37" s="26">
        <f t="shared" si="1"/>
        <v>67925.082693916003</v>
      </c>
      <c r="I37" s="26">
        <f t="shared" si="1"/>
        <v>3568874.68879</v>
      </c>
      <c r="J37" s="26">
        <f t="shared" si="1"/>
        <v>7992.7976840000001</v>
      </c>
      <c r="K37" s="26">
        <f t="shared" si="1"/>
        <v>9723.4797195119991</v>
      </c>
      <c r="L37" s="26">
        <f t="shared" si="1"/>
        <v>5699.8944035999994</v>
      </c>
      <c r="M37" s="26">
        <f t="shared" si="1"/>
        <v>60.780188599999995</v>
      </c>
      <c r="N37" s="26">
        <f t="shared" si="1"/>
        <v>71.499302</v>
      </c>
      <c r="O37" s="26">
        <f t="shared" si="1"/>
        <v>9988.0191307000005</v>
      </c>
      <c r="P37" s="198">
        <f t="shared" si="1"/>
        <v>13.545000000000002</v>
      </c>
      <c r="Q37" s="22">
        <f t="shared" si="0"/>
        <v>688.21438633423634</v>
      </c>
      <c r="R37" s="24"/>
      <c r="AB37" s="23"/>
      <c r="AC37" s="23"/>
      <c r="AD37" s="23"/>
      <c r="AE37" s="23"/>
      <c r="AF37" s="23"/>
      <c r="AG37" s="23"/>
      <c r="AH37" s="23"/>
      <c r="AI37" s="23"/>
    </row>
    <row r="38" spans="3:35" x14ac:dyDescent="0.25">
      <c r="C38" s="27" t="s">
        <v>22</v>
      </c>
      <c r="D38" s="20">
        <v>226465.13532835097</v>
      </c>
      <c r="E38" s="20">
        <v>8831175.3873815574</v>
      </c>
      <c r="F38" s="20">
        <v>107008.63932558298</v>
      </c>
      <c r="G38" s="20">
        <v>288278.05314713245</v>
      </c>
      <c r="H38" s="20">
        <v>22782.986056036996</v>
      </c>
      <c r="I38" s="20">
        <v>1175604.6615900001</v>
      </c>
      <c r="J38" s="20">
        <v>2638.101392</v>
      </c>
      <c r="K38" s="20">
        <v>3100.2304261199997</v>
      </c>
      <c r="L38" s="20">
        <v>1688.6074727999996</v>
      </c>
      <c r="M38" s="200">
        <v>17.800156399999999</v>
      </c>
      <c r="N38" s="20">
        <v>26.551486000000001</v>
      </c>
      <c r="O38" s="20">
        <v>3476.3602592999996</v>
      </c>
      <c r="P38" s="201">
        <v>3.9908700000000001</v>
      </c>
      <c r="Q38" s="28">
        <v>11138766.849174995</v>
      </c>
      <c r="T38" s="29"/>
      <c r="U38" s="29"/>
      <c r="V38" s="29"/>
      <c r="W38" s="29"/>
      <c r="X38" s="29"/>
      <c r="Y38" s="29"/>
      <c r="Z38" s="29"/>
      <c r="AA38" s="29"/>
      <c r="AB38" s="23"/>
      <c r="AC38" s="23"/>
      <c r="AD38" s="23"/>
      <c r="AE38" s="23"/>
      <c r="AF38" s="23"/>
      <c r="AG38" s="23"/>
      <c r="AH38" s="23"/>
      <c r="AI38" s="23"/>
    </row>
    <row r="39" spans="3:35" x14ac:dyDescent="0.25">
      <c r="C39" s="30" t="s">
        <v>23</v>
      </c>
      <c r="D39" s="20">
        <v>223285.27726754191</v>
      </c>
      <c r="E39" s="20">
        <v>7422557.0840030387</v>
      </c>
      <c r="F39" s="20">
        <v>108417.09502581699</v>
      </c>
      <c r="G39" s="20">
        <v>289673.50099068927</v>
      </c>
      <c r="H39" s="20">
        <v>21536.775960890009</v>
      </c>
      <c r="I39" s="20">
        <v>1138826.6746080001</v>
      </c>
      <c r="J39" s="20">
        <v>2611.0019500000003</v>
      </c>
      <c r="K39" s="20">
        <v>3116.1079425219996</v>
      </c>
      <c r="L39" s="20">
        <v>2087.2887541999999</v>
      </c>
      <c r="M39" s="200">
        <v>18.494443</v>
      </c>
      <c r="N39" s="20">
        <v>22.429242000000002</v>
      </c>
      <c r="O39" s="20">
        <v>3321.9614590000001</v>
      </c>
      <c r="P39" s="201">
        <v>4.047072</v>
      </c>
      <c r="Q39" s="28"/>
      <c r="T39" s="29"/>
      <c r="U39" s="29"/>
      <c r="V39" s="29"/>
      <c r="W39" s="29"/>
      <c r="X39" s="29"/>
      <c r="Y39" s="29"/>
      <c r="Z39" s="29"/>
      <c r="AA39" s="29"/>
      <c r="AB39" s="23"/>
      <c r="AC39" s="23"/>
      <c r="AD39" s="23"/>
      <c r="AE39" s="23"/>
      <c r="AF39" s="23"/>
      <c r="AG39" s="23"/>
      <c r="AH39" s="23"/>
      <c r="AI39" s="23"/>
    </row>
    <row r="40" spans="3:35" x14ac:dyDescent="0.25">
      <c r="C40" s="203" t="s">
        <v>123</v>
      </c>
      <c r="D40" s="204">
        <v>238463.97373834343</v>
      </c>
      <c r="E40" s="204">
        <v>8498965.2241655998</v>
      </c>
      <c r="F40" s="204">
        <v>112421.36622360196</v>
      </c>
      <c r="G40" s="204">
        <v>301672.26708662166</v>
      </c>
      <c r="H40" s="204">
        <v>23605.320676988995</v>
      </c>
      <c r="I40" s="204">
        <v>1254443.352592</v>
      </c>
      <c r="J40" s="204">
        <v>2743.6943419999998</v>
      </c>
      <c r="K40" s="204">
        <v>3507.1413508700002</v>
      </c>
      <c r="L40" s="204">
        <v>1923.9981766000001</v>
      </c>
      <c r="M40" s="205">
        <v>24.4855892</v>
      </c>
      <c r="N40" s="204">
        <v>22.518574000000001</v>
      </c>
      <c r="O40" s="204">
        <v>3189.6974124000003</v>
      </c>
      <c r="P40" s="202">
        <v>5.5070579999999998</v>
      </c>
      <c r="Q40" s="28"/>
      <c r="T40" s="29"/>
      <c r="U40" s="29"/>
      <c r="V40" s="29"/>
      <c r="W40" s="29"/>
      <c r="X40" s="29"/>
      <c r="Y40" s="29"/>
      <c r="Z40" s="29"/>
      <c r="AA40" s="29"/>
      <c r="AB40" s="23"/>
      <c r="AC40" s="23"/>
      <c r="AD40" s="23"/>
      <c r="AE40" s="23"/>
      <c r="AF40" s="23"/>
      <c r="AG40" s="23"/>
      <c r="AH40" s="23"/>
      <c r="AI40" s="23"/>
    </row>
    <row r="41" spans="3:35" x14ac:dyDescent="0.25">
      <c r="C41" s="30"/>
      <c r="D41" s="20"/>
      <c r="E41" s="20"/>
      <c r="F41" s="20"/>
      <c r="G41" s="20"/>
      <c r="H41" s="20"/>
      <c r="I41" s="20"/>
      <c r="J41" s="20"/>
      <c r="K41" s="20"/>
      <c r="L41" s="20"/>
      <c r="M41" s="200"/>
      <c r="N41" s="20"/>
      <c r="O41" s="20"/>
      <c r="P41" s="201"/>
      <c r="Q41" s="28"/>
      <c r="T41" s="29"/>
      <c r="U41" s="29"/>
      <c r="V41" s="29"/>
      <c r="W41" s="29"/>
      <c r="X41" s="29"/>
      <c r="Y41" s="29"/>
      <c r="Z41" s="29"/>
      <c r="AA41" s="29"/>
      <c r="AB41" s="23"/>
      <c r="AC41" s="23"/>
      <c r="AD41" s="23"/>
      <c r="AE41" s="23"/>
      <c r="AF41" s="23"/>
      <c r="AG41" s="23"/>
      <c r="AH41" s="23"/>
      <c r="AI41" s="23"/>
    </row>
    <row r="42" spans="3:35" x14ac:dyDescent="0.25">
      <c r="C42" s="34" t="s">
        <v>124</v>
      </c>
      <c r="D42" s="35"/>
      <c r="E42" s="35"/>
      <c r="F42" s="36"/>
      <c r="G42" s="35"/>
      <c r="H42" s="35"/>
      <c r="I42" s="35"/>
      <c r="J42" s="35"/>
      <c r="K42" s="35"/>
      <c r="L42" s="35"/>
      <c r="M42" s="35"/>
      <c r="N42" s="35"/>
      <c r="O42" s="35"/>
      <c r="P42" s="37"/>
      <c r="R42" s="24"/>
      <c r="S42" s="38"/>
    </row>
    <row r="43" spans="3:35" ht="25.5" x14ac:dyDescent="0.25">
      <c r="C43" s="39" t="s">
        <v>125</v>
      </c>
      <c r="D43" s="20">
        <v>229827.04957684444</v>
      </c>
      <c r="E43" s="20">
        <v>8959432.3840897381</v>
      </c>
      <c r="F43" s="20">
        <v>119527.14450190001</v>
      </c>
      <c r="G43" s="20">
        <v>288638.678638304</v>
      </c>
      <c r="H43" s="20">
        <v>25325.633509676998</v>
      </c>
      <c r="I43" s="20">
        <v>1218023.8837799998</v>
      </c>
      <c r="J43" s="20">
        <v>2922.6831999999999</v>
      </c>
      <c r="K43" s="20">
        <v>4034.7399693068</v>
      </c>
      <c r="L43" s="20">
        <v>1854.5507202000001</v>
      </c>
      <c r="M43" s="20">
        <v>25.131314</v>
      </c>
      <c r="N43" s="20">
        <v>28.990872000000003</v>
      </c>
      <c r="O43" s="20">
        <v>2962.1689506000002</v>
      </c>
      <c r="P43" s="21">
        <v>2.6791360000000002</v>
      </c>
      <c r="R43" s="24"/>
      <c r="S43" s="38"/>
    </row>
    <row r="44" spans="3:35" ht="24" x14ac:dyDescent="0.25">
      <c r="C44" s="40" t="s">
        <v>126</v>
      </c>
      <c r="D44" s="20">
        <v>238463.97373834343</v>
      </c>
      <c r="E44" s="20">
        <v>8498965.2241655998</v>
      </c>
      <c r="F44" s="20">
        <v>112421.36622360196</v>
      </c>
      <c r="G44" s="20">
        <v>301672.26708662166</v>
      </c>
      <c r="H44" s="20">
        <v>23605.320676988995</v>
      </c>
      <c r="I44" s="20">
        <v>1254443.352592</v>
      </c>
      <c r="J44" s="20">
        <v>2743.6943419999998</v>
      </c>
      <c r="K44" s="20">
        <v>3507.1413508700002</v>
      </c>
      <c r="L44" s="20">
        <v>1923.9981766000001</v>
      </c>
      <c r="M44" s="20">
        <v>24.4855892</v>
      </c>
      <c r="N44" s="20">
        <v>22.518574000000001</v>
      </c>
      <c r="O44" s="20">
        <v>3189.6974124000003</v>
      </c>
      <c r="P44" s="197">
        <v>5.5070579999999998</v>
      </c>
      <c r="Q44" s="41"/>
      <c r="R44" s="24"/>
      <c r="S44" s="23"/>
      <c r="T44" s="23"/>
      <c r="U44" s="23"/>
      <c r="V44" s="23"/>
      <c r="W44" s="23"/>
      <c r="X44" s="23"/>
      <c r="Y44" s="23"/>
      <c r="Z44" s="23"/>
    </row>
    <row r="45" spans="3:35" x14ac:dyDescent="0.25">
      <c r="C45" s="42" t="s">
        <v>24</v>
      </c>
      <c r="D45" s="43">
        <f t="shared" ref="D45:P45" si="2">+D44/D43-1</f>
        <v>3.7580102852998509E-2</v>
      </c>
      <c r="E45" s="43">
        <f>+E44/E43-1</f>
        <v>-5.1394679951136335E-2</v>
      </c>
      <c r="F45" s="44">
        <f>+F44/F43-1</f>
        <v>-5.9449075838878596E-2</v>
      </c>
      <c r="G45" s="44">
        <f>+G44/G43-1</f>
        <v>4.5155377338219393E-2</v>
      </c>
      <c r="H45" s="44">
        <f t="shared" si="2"/>
        <v>-6.7927731483228948E-2</v>
      </c>
      <c r="I45" s="43">
        <f t="shared" si="2"/>
        <v>2.9900455399098247E-2</v>
      </c>
      <c r="J45" s="43">
        <f t="shared" si="2"/>
        <v>-6.1241279246413094E-2</v>
      </c>
      <c r="K45" s="43">
        <f t="shared" si="2"/>
        <v>-0.13076397052855071</v>
      </c>
      <c r="L45" s="43">
        <f t="shared" si="2"/>
        <v>3.7447051538450626E-2</v>
      </c>
      <c r="M45" s="43">
        <f t="shared" si="2"/>
        <v>-2.5694032552376678E-2</v>
      </c>
      <c r="N45" s="43">
        <f t="shared" si="2"/>
        <v>-0.22325296044906828</v>
      </c>
      <c r="O45" s="43">
        <f t="shared" si="2"/>
        <v>7.6811439723555752E-2</v>
      </c>
      <c r="P45" s="45">
        <f t="shared" si="2"/>
        <v>1.0555350680219293</v>
      </c>
      <c r="R45" s="24"/>
      <c r="S45" s="23"/>
      <c r="T45" s="23"/>
      <c r="U45" s="23"/>
      <c r="V45" s="23"/>
      <c r="W45" s="23"/>
      <c r="X45" s="23"/>
      <c r="Y45" s="23"/>
      <c r="Z45" s="23"/>
    </row>
    <row r="46" spans="3:35" x14ac:dyDescent="0.25">
      <c r="C46" s="33"/>
      <c r="D46" s="31"/>
      <c r="E46" s="31"/>
      <c r="F46" s="31"/>
      <c r="G46" s="31"/>
      <c r="H46" s="31"/>
      <c r="I46" s="31"/>
      <c r="J46" s="31"/>
      <c r="K46" s="31"/>
      <c r="L46" s="31"/>
      <c r="M46" s="31"/>
      <c r="N46" s="31"/>
      <c r="O46" s="31"/>
      <c r="P46" s="32"/>
      <c r="Q46" s="28"/>
      <c r="T46" s="29"/>
      <c r="U46" s="29"/>
      <c r="V46" s="29"/>
      <c r="W46" s="29"/>
      <c r="X46" s="29"/>
      <c r="Y46" s="29"/>
      <c r="Z46" s="29"/>
      <c r="AA46" s="29"/>
      <c r="AB46" s="23"/>
      <c r="AC46" s="23"/>
      <c r="AD46" s="23"/>
      <c r="AE46" s="23"/>
      <c r="AF46" s="23"/>
      <c r="AG46" s="23"/>
      <c r="AH46" s="23"/>
      <c r="AI46" s="23"/>
    </row>
    <row r="47" spans="3:35" x14ac:dyDescent="0.25">
      <c r="C47" s="34" t="s">
        <v>127</v>
      </c>
      <c r="D47" s="35"/>
      <c r="E47" s="35"/>
      <c r="F47" s="36"/>
      <c r="G47" s="35"/>
      <c r="H47" s="35"/>
      <c r="I47" s="35"/>
      <c r="J47" s="35"/>
      <c r="K47" s="35"/>
      <c r="L47" s="35"/>
      <c r="M47" s="35"/>
      <c r="N47" s="35"/>
      <c r="O47" s="35"/>
      <c r="P47" s="37"/>
      <c r="R47" s="24"/>
      <c r="S47" s="23"/>
      <c r="T47" s="23"/>
      <c r="U47" s="23"/>
      <c r="V47" s="23"/>
      <c r="W47" s="23"/>
      <c r="X47" s="23"/>
      <c r="Y47" s="23"/>
      <c r="Z47" s="23"/>
    </row>
    <row r="48" spans="3:35" ht="24" x14ac:dyDescent="0.25">
      <c r="C48" s="46" t="s">
        <v>128</v>
      </c>
      <c r="D48" s="20">
        <v>666500.69666921091</v>
      </c>
      <c r="E48" s="20">
        <v>25614670.48064772</v>
      </c>
      <c r="F48" s="20">
        <v>321345.97605724598</v>
      </c>
      <c r="G48" s="20">
        <v>859836.57190291781</v>
      </c>
      <c r="H48" s="20">
        <v>70730.021700089885</v>
      </c>
      <c r="I48" s="20">
        <v>3501572.6128359996</v>
      </c>
      <c r="J48" s="20">
        <v>8057.7072399999997</v>
      </c>
      <c r="K48" s="20">
        <v>10714.430473104101</v>
      </c>
      <c r="L48" s="20">
        <v>6488.7815325000001</v>
      </c>
      <c r="M48" s="20">
        <v>61.6969998</v>
      </c>
      <c r="N48" s="20">
        <v>85.650774000000013</v>
      </c>
      <c r="O48" s="20">
        <v>9121.8663664000014</v>
      </c>
      <c r="P48" s="199">
        <v>7.7765240000000002</v>
      </c>
      <c r="R48" s="24"/>
      <c r="S48" s="23"/>
      <c r="T48" s="23"/>
      <c r="U48" s="23"/>
      <c r="V48" s="23"/>
      <c r="W48" s="23"/>
      <c r="X48" s="23"/>
      <c r="Y48" s="23"/>
      <c r="Z48" s="23"/>
    </row>
    <row r="49" spans="3:36" ht="24" x14ac:dyDescent="0.25">
      <c r="C49" s="46" t="s">
        <v>129</v>
      </c>
      <c r="D49" s="20">
        <v>688214.38633423636</v>
      </c>
      <c r="E49" s="20">
        <v>24752697.695550196</v>
      </c>
      <c r="F49" s="20">
        <v>327847.10057500191</v>
      </c>
      <c r="G49" s="20">
        <v>879623.82122444338</v>
      </c>
      <c r="H49" s="20">
        <v>67925.082693916003</v>
      </c>
      <c r="I49" s="20">
        <v>3568874.68879</v>
      </c>
      <c r="J49" s="20">
        <v>7992.7976840000001</v>
      </c>
      <c r="K49" s="20">
        <v>9723.4797195119991</v>
      </c>
      <c r="L49" s="20">
        <v>5699.8944035999994</v>
      </c>
      <c r="M49" s="20">
        <v>60.780188599999995</v>
      </c>
      <c r="N49" s="20">
        <v>71.499302</v>
      </c>
      <c r="O49" s="20">
        <v>9988.0191307000005</v>
      </c>
      <c r="P49" s="197">
        <v>13.545000000000002</v>
      </c>
      <c r="R49" s="24"/>
      <c r="S49" s="23"/>
      <c r="T49" s="23"/>
      <c r="U49" s="23"/>
      <c r="V49" s="23"/>
      <c r="W49" s="23"/>
      <c r="X49" s="23"/>
      <c r="Y49" s="23"/>
      <c r="Z49" s="23"/>
    </row>
    <row r="50" spans="3:36" x14ac:dyDescent="0.25">
      <c r="C50" s="47" t="s">
        <v>24</v>
      </c>
      <c r="D50" s="48">
        <f t="shared" ref="D50:P50" si="3">+D49/D48-1</f>
        <v>3.2578645114008209E-2</v>
      </c>
      <c r="E50" s="49">
        <f t="shared" si="3"/>
        <v>-3.3651527383448454E-2</v>
      </c>
      <c r="F50" s="48">
        <f t="shared" si="3"/>
        <v>2.0230919327266728E-2</v>
      </c>
      <c r="G50" s="48">
        <f t="shared" si="3"/>
        <v>2.3012802627985662E-2</v>
      </c>
      <c r="H50" s="48">
        <f t="shared" si="3"/>
        <v>-3.9656979296110118E-2</v>
      </c>
      <c r="I50" s="49">
        <f t="shared" si="3"/>
        <v>1.9220528429793493E-2</v>
      </c>
      <c r="J50" s="49">
        <f t="shared" si="3"/>
        <v>-8.055586293552075E-3</v>
      </c>
      <c r="K50" s="49">
        <f t="shared" si="3"/>
        <v>-9.2487487419852688E-2</v>
      </c>
      <c r="L50" s="49">
        <f t="shared" si="3"/>
        <v>-0.12157708268474532</v>
      </c>
      <c r="M50" s="49">
        <f>+M49/M48-1</f>
        <v>-1.485989923289599E-2</v>
      </c>
      <c r="N50" s="48">
        <f>+N49/N48-1</f>
        <v>-0.16522293190251858</v>
      </c>
      <c r="O50" s="48">
        <f>+O49/O48-1</f>
        <v>9.4953459030098886E-2</v>
      </c>
      <c r="P50" s="50">
        <f t="shared" si="3"/>
        <v>0.74178077506093998</v>
      </c>
      <c r="R50" s="24"/>
      <c r="S50" s="23"/>
      <c r="T50" s="23"/>
      <c r="U50" s="23"/>
      <c r="V50" s="23"/>
      <c r="W50" s="23"/>
      <c r="X50" s="23"/>
      <c r="Y50" s="23"/>
      <c r="Z50" s="23"/>
    </row>
    <row r="51" spans="3:36" x14ac:dyDescent="0.25">
      <c r="C51" s="33"/>
      <c r="D51" s="31"/>
      <c r="E51" s="31"/>
      <c r="F51" s="31"/>
      <c r="G51" s="31"/>
      <c r="H51" s="31"/>
      <c r="I51" s="31"/>
      <c r="J51" s="31"/>
      <c r="K51" s="31"/>
      <c r="L51" s="31"/>
      <c r="M51" s="31"/>
      <c r="N51" s="31"/>
      <c r="O51" s="31"/>
      <c r="P51" s="32"/>
      <c r="Q51" s="28"/>
      <c r="T51" s="29"/>
      <c r="U51" s="29"/>
      <c r="V51" s="29"/>
      <c r="W51" s="29"/>
      <c r="X51" s="29"/>
      <c r="Y51" s="29"/>
      <c r="Z51" s="29"/>
      <c r="AA51" s="29"/>
      <c r="AB51" s="23"/>
      <c r="AC51" s="23"/>
      <c r="AD51" s="23"/>
      <c r="AE51" s="23"/>
      <c r="AF51" s="23"/>
      <c r="AG51" s="23"/>
      <c r="AH51" s="23"/>
      <c r="AI51" s="23"/>
    </row>
    <row r="52" spans="3:36" x14ac:dyDescent="0.25">
      <c r="C52" s="34" t="s">
        <v>25</v>
      </c>
      <c r="D52" s="35"/>
      <c r="E52" s="35"/>
      <c r="F52" s="36"/>
      <c r="G52" s="35"/>
      <c r="H52" s="35"/>
      <c r="I52" s="35"/>
      <c r="J52" s="35"/>
      <c r="K52" s="35"/>
      <c r="L52" s="35"/>
      <c r="M52" s="35"/>
      <c r="N52" s="35"/>
      <c r="O52" s="35"/>
      <c r="P52" s="37"/>
      <c r="Q52" s="28"/>
      <c r="T52" s="29"/>
      <c r="U52" s="29"/>
      <c r="V52" s="29"/>
      <c r="W52" s="29"/>
      <c r="X52" s="29"/>
      <c r="Y52" s="29"/>
      <c r="Z52" s="29"/>
      <c r="AA52" s="29"/>
      <c r="AB52" s="23"/>
      <c r="AC52" s="23"/>
      <c r="AD52" s="23"/>
      <c r="AE52" s="23"/>
      <c r="AF52" s="23"/>
      <c r="AG52" s="23"/>
      <c r="AH52" s="23"/>
      <c r="AI52" s="23"/>
    </row>
    <row r="53" spans="3:36" ht="24" x14ac:dyDescent="0.25">
      <c r="C53" s="51" t="s">
        <v>118</v>
      </c>
      <c r="D53" s="20">
        <v>223285.27726754191</v>
      </c>
      <c r="E53" s="20">
        <v>7422557.0840030387</v>
      </c>
      <c r="F53" s="20">
        <v>108417.09502581699</v>
      </c>
      <c r="G53" s="20">
        <v>289673.50099068927</v>
      </c>
      <c r="H53" s="20">
        <v>21536.775960890009</v>
      </c>
      <c r="I53" s="20">
        <v>1138826.6746080001</v>
      </c>
      <c r="J53" s="20">
        <v>2611.0019500000003</v>
      </c>
      <c r="K53" s="20">
        <v>3116.1079425219996</v>
      </c>
      <c r="L53" s="20">
        <v>2087.2887541999999</v>
      </c>
      <c r="M53" s="20">
        <v>18.494443</v>
      </c>
      <c r="N53" s="20">
        <v>22.429242000000002</v>
      </c>
      <c r="O53" s="20">
        <v>3321.9614590000001</v>
      </c>
      <c r="P53" s="199">
        <v>4.047072</v>
      </c>
      <c r="Q53" s="28"/>
      <c r="T53" s="29"/>
      <c r="U53" s="29"/>
      <c r="V53" s="29"/>
      <c r="W53" s="29"/>
      <c r="X53" s="29"/>
      <c r="Y53" s="29"/>
      <c r="Z53" s="29"/>
      <c r="AA53" s="29"/>
      <c r="AB53" s="23"/>
      <c r="AC53" s="23"/>
      <c r="AD53" s="23"/>
      <c r="AE53" s="23"/>
      <c r="AF53" s="23"/>
      <c r="AG53" s="23"/>
      <c r="AH53" s="23"/>
      <c r="AI53" s="23"/>
    </row>
    <row r="54" spans="3:36" ht="24" x14ac:dyDescent="0.25">
      <c r="C54" s="53" t="s">
        <v>126</v>
      </c>
      <c r="D54" s="20">
        <v>238463.97373834343</v>
      </c>
      <c r="E54" s="20">
        <v>8498965.2241655998</v>
      </c>
      <c r="F54" s="20">
        <v>112421.36622360196</v>
      </c>
      <c r="G54" s="20">
        <v>301672.26708662166</v>
      </c>
      <c r="H54" s="20">
        <v>23605.320676988995</v>
      </c>
      <c r="I54" s="20">
        <v>1254443.352592</v>
      </c>
      <c r="J54" s="20">
        <v>2743.6943419999998</v>
      </c>
      <c r="K54" s="20">
        <v>3507.1413508700002</v>
      </c>
      <c r="L54" s="20">
        <v>1923.9981766000001</v>
      </c>
      <c r="M54" s="20">
        <v>24.4855892</v>
      </c>
      <c r="N54" s="20">
        <v>22.518574000000001</v>
      </c>
      <c r="O54" s="20">
        <v>3189.6974124000003</v>
      </c>
      <c r="P54" s="197">
        <v>5.5070579999999998</v>
      </c>
      <c r="Q54" s="28"/>
      <c r="T54" s="29"/>
      <c r="U54" s="29"/>
      <c r="V54" s="29"/>
      <c r="W54" s="29"/>
      <c r="X54" s="29"/>
      <c r="Y54" s="29"/>
      <c r="Z54" s="29"/>
      <c r="AA54" s="29"/>
      <c r="AB54" s="23"/>
      <c r="AC54" s="23"/>
      <c r="AD54" s="23"/>
      <c r="AE54" s="23"/>
      <c r="AF54" s="23"/>
      <c r="AG54" s="23"/>
      <c r="AH54" s="23"/>
      <c r="AI54" s="23"/>
    </row>
    <row r="55" spans="3:36" x14ac:dyDescent="0.25">
      <c r="C55" s="54" t="s">
        <v>24</v>
      </c>
      <c r="D55" s="49">
        <f t="shared" ref="D55:M55" si="4">+D54/D53-1</f>
        <v>6.7978940020368306E-2</v>
      </c>
      <c r="E55" s="49">
        <f t="shared" si="4"/>
        <v>0.1450185061536835</v>
      </c>
      <c r="F55" s="49">
        <f t="shared" si="4"/>
        <v>3.693394659607363E-2</v>
      </c>
      <c r="G55" s="49">
        <f t="shared" si="4"/>
        <v>4.1421690471846295E-2</v>
      </c>
      <c r="H55" s="49">
        <f t="shared" si="4"/>
        <v>9.6047092650050736E-2</v>
      </c>
      <c r="I55" s="49">
        <f t="shared" si="4"/>
        <v>0.10152262900216735</v>
      </c>
      <c r="J55" s="49">
        <f t="shared" si="4"/>
        <v>5.0820487514380952E-2</v>
      </c>
      <c r="K55" s="49">
        <f t="shared" si="4"/>
        <v>0.12548776087375213</v>
      </c>
      <c r="L55" s="49">
        <f t="shared" si="4"/>
        <v>-7.8230947812768958E-2</v>
      </c>
      <c r="M55" s="49">
        <f t="shared" si="4"/>
        <v>0.3239430460273931</v>
      </c>
      <c r="N55" s="49">
        <f>+N54/N53-1</f>
        <v>3.982836334816886E-3</v>
      </c>
      <c r="O55" s="49">
        <f>+O54/O53-1</f>
        <v>-3.9815045488160172E-2</v>
      </c>
      <c r="P55" s="50">
        <f>+P54/P53-1</f>
        <v>0.36075118011243679</v>
      </c>
      <c r="Q55" s="28"/>
      <c r="T55" s="29"/>
      <c r="U55" s="29"/>
      <c r="V55" s="29"/>
      <c r="W55" s="29"/>
      <c r="X55" s="29"/>
      <c r="Y55" s="29"/>
      <c r="Z55" s="29"/>
      <c r="AA55" s="29"/>
      <c r="AB55" s="23"/>
      <c r="AC55" s="23"/>
      <c r="AD55" s="23"/>
      <c r="AE55" s="23"/>
      <c r="AF55" s="23"/>
      <c r="AG55" s="23"/>
      <c r="AH55" s="23"/>
      <c r="AI55" s="23"/>
    </row>
    <row r="56" spans="3:36" x14ac:dyDescent="0.25">
      <c r="C56" s="55"/>
      <c r="D56" s="56"/>
      <c r="E56" s="57"/>
      <c r="F56" s="56"/>
      <c r="G56" s="56"/>
      <c r="H56" s="56"/>
      <c r="I56" s="56"/>
      <c r="J56" s="56"/>
      <c r="K56" s="56"/>
      <c r="L56" s="56"/>
      <c r="M56" s="56"/>
      <c r="N56" s="56"/>
      <c r="O56" s="56"/>
      <c r="P56" s="58"/>
      <c r="R56" s="24"/>
      <c r="S56" s="23"/>
      <c r="T56" s="23"/>
      <c r="U56" s="23"/>
      <c r="V56" s="23"/>
      <c r="W56" s="23"/>
      <c r="X56" s="23"/>
      <c r="Y56" s="23"/>
      <c r="Z56" s="23"/>
    </row>
    <row r="57" spans="3:36" s="60" customFormat="1" ht="77.25" customHeight="1" x14ac:dyDescent="0.25">
      <c r="C57" s="238" t="s">
        <v>130</v>
      </c>
      <c r="D57" s="239"/>
      <c r="E57" s="239"/>
      <c r="F57" s="239"/>
      <c r="G57" s="239"/>
      <c r="H57" s="239"/>
      <c r="I57" s="239"/>
      <c r="J57" s="239"/>
      <c r="K57" s="239"/>
      <c r="L57" s="239"/>
      <c r="M57" s="239"/>
      <c r="N57" s="239"/>
      <c r="O57" s="239"/>
      <c r="P57" s="240"/>
      <c r="Q57" s="59"/>
    </row>
    <row r="58" spans="3:36" s="60" customFormat="1" ht="41.25" customHeight="1" x14ac:dyDescent="0.25">
      <c r="C58" s="241"/>
      <c r="D58" s="242"/>
      <c r="E58" s="242"/>
      <c r="F58" s="242"/>
      <c r="G58" s="242"/>
      <c r="H58" s="242"/>
      <c r="I58" s="242"/>
      <c r="J58" s="242"/>
      <c r="K58" s="242"/>
      <c r="L58" s="242"/>
      <c r="M58" s="242"/>
      <c r="N58" s="242"/>
      <c r="O58" s="242"/>
      <c r="P58" s="243"/>
      <c r="Q58" s="59"/>
    </row>
    <row r="59" spans="3:36" s="60" customFormat="1" ht="15" x14ac:dyDescent="0.25">
      <c r="Q59" s="59"/>
    </row>
    <row r="60" spans="3:36" ht="36.6" customHeight="1" x14ac:dyDescent="0.25">
      <c r="C60" s="244" t="s">
        <v>26</v>
      </c>
      <c r="D60" s="244"/>
      <c r="E60" s="244"/>
      <c r="F60" s="244"/>
      <c r="G60" s="244"/>
      <c r="H60" s="244"/>
      <c r="I60" s="244"/>
      <c r="J60" s="244"/>
      <c r="K60" s="244"/>
      <c r="L60" s="244"/>
      <c r="M60" s="244"/>
      <c r="N60" s="244"/>
      <c r="O60" s="244"/>
      <c r="P60" s="244"/>
    </row>
    <row r="61" spans="3:36" ht="36.75" customHeight="1" x14ac:dyDescent="0.25"/>
    <row r="62" spans="3:36" ht="36.75" customHeight="1" x14ac:dyDescent="0.25"/>
    <row r="63" spans="3:36" ht="36.75" customHeight="1" x14ac:dyDescent="0.25"/>
    <row r="64" spans="3:36" s="8" customFormat="1" ht="36.75" customHeight="1" x14ac:dyDescent="0.25">
      <c r="C64" s="38"/>
      <c r="D64" s="2"/>
      <c r="E64" s="2"/>
      <c r="F64" s="2"/>
      <c r="G64" s="2"/>
      <c r="H64" s="2"/>
      <c r="I64" s="2"/>
      <c r="J64" s="2"/>
      <c r="K64" s="2"/>
      <c r="L64" s="2"/>
      <c r="M64" s="2"/>
      <c r="N64" s="2"/>
      <c r="O64" s="2"/>
      <c r="P64" s="2"/>
      <c r="R64" s="2"/>
      <c r="S64" s="2"/>
      <c r="T64" s="2"/>
      <c r="U64" s="2"/>
      <c r="V64" s="2"/>
      <c r="W64" s="2"/>
      <c r="X64" s="2"/>
      <c r="Y64" s="2"/>
      <c r="Z64" s="2"/>
      <c r="AA64" s="2"/>
      <c r="AB64" s="2"/>
      <c r="AC64" s="2"/>
      <c r="AD64" s="2"/>
      <c r="AE64" s="2"/>
      <c r="AF64" s="2"/>
      <c r="AG64" s="2"/>
      <c r="AH64" s="2"/>
      <c r="AI64" s="2"/>
      <c r="AJ64" s="2"/>
    </row>
    <row r="65" spans="3:36" s="8" customFormat="1" ht="36.75" customHeight="1" x14ac:dyDescent="0.25">
      <c r="C65" s="38"/>
      <c r="D65" s="2"/>
      <c r="E65" s="2"/>
      <c r="F65" s="2"/>
      <c r="G65" s="2"/>
      <c r="H65" s="2"/>
      <c r="I65" s="2"/>
      <c r="J65" s="2"/>
      <c r="K65" s="2"/>
      <c r="L65" s="2"/>
      <c r="M65" s="2"/>
      <c r="N65" s="2"/>
      <c r="O65" s="2"/>
      <c r="P65" s="2"/>
      <c r="R65" s="2"/>
      <c r="S65" s="2"/>
      <c r="T65" s="2"/>
      <c r="U65" s="2"/>
      <c r="V65" s="2"/>
      <c r="W65" s="2"/>
      <c r="X65" s="2"/>
      <c r="Y65" s="2"/>
      <c r="Z65" s="2"/>
      <c r="AA65" s="2"/>
      <c r="AB65" s="2"/>
      <c r="AC65" s="2"/>
      <c r="AD65" s="2"/>
      <c r="AE65" s="2"/>
      <c r="AF65" s="2"/>
      <c r="AG65" s="2"/>
      <c r="AH65" s="2"/>
      <c r="AI65" s="2"/>
      <c r="AJ65" s="2"/>
    </row>
    <row r="66" spans="3:36" ht="36.75" customHeight="1" x14ac:dyDescent="0.25"/>
    <row r="67" spans="3:36" s="8" customFormat="1" ht="36.75" customHeight="1" x14ac:dyDescent="0.25">
      <c r="C67" s="2"/>
      <c r="D67" s="2"/>
      <c r="E67" s="2"/>
      <c r="F67" s="2"/>
      <c r="G67" s="2"/>
      <c r="H67" s="2"/>
      <c r="I67" s="2"/>
      <c r="J67" s="2"/>
      <c r="K67" s="2"/>
      <c r="L67" s="2"/>
      <c r="M67" s="2"/>
      <c r="N67" s="2"/>
      <c r="O67" s="2"/>
      <c r="P67" s="2"/>
      <c r="R67" s="2"/>
      <c r="S67" s="2"/>
      <c r="T67" s="2"/>
      <c r="U67" s="2"/>
      <c r="V67" s="2"/>
      <c r="W67" s="2"/>
      <c r="X67" s="2"/>
      <c r="Y67" s="2"/>
      <c r="Z67" s="2"/>
      <c r="AA67" s="2"/>
      <c r="AB67" s="2"/>
      <c r="AC67" s="2"/>
      <c r="AD67" s="2"/>
      <c r="AE67" s="2"/>
      <c r="AF67" s="2"/>
      <c r="AG67" s="2"/>
      <c r="AH67" s="2"/>
      <c r="AI67" s="2"/>
      <c r="AJ67" s="2"/>
    </row>
    <row r="68" spans="3:36" s="8" customFormat="1" x14ac:dyDescent="0.25">
      <c r="C68" s="38"/>
      <c r="D68" s="2"/>
      <c r="E68" s="2"/>
      <c r="F68" s="2"/>
      <c r="G68" s="2"/>
      <c r="H68" s="2"/>
      <c r="I68" s="2"/>
      <c r="J68" s="2"/>
      <c r="K68" s="61"/>
      <c r="L68" s="61"/>
      <c r="M68" s="61"/>
      <c r="N68" s="61"/>
      <c r="O68" s="61"/>
      <c r="P68" s="61"/>
      <c r="R68" s="2"/>
      <c r="S68" s="2"/>
      <c r="T68" s="2"/>
      <c r="U68" s="2"/>
      <c r="V68" s="2"/>
      <c r="W68" s="2"/>
      <c r="X68" s="2"/>
      <c r="Y68" s="2"/>
      <c r="Z68" s="2"/>
      <c r="AA68" s="2"/>
      <c r="AB68" s="2"/>
      <c r="AC68" s="2"/>
      <c r="AD68" s="2"/>
      <c r="AE68" s="2"/>
      <c r="AF68" s="2"/>
      <c r="AG68" s="2"/>
      <c r="AH68" s="2"/>
      <c r="AI68" s="2"/>
      <c r="AJ68" s="2"/>
    </row>
    <row r="69" spans="3:36" s="8" customFormat="1" ht="67.5" customHeight="1" x14ac:dyDescent="0.25">
      <c r="C69" s="232" t="s">
        <v>131</v>
      </c>
      <c r="D69" s="233"/>
      <c r="E69" s="233"/>
      <c r="F69" s="233"/>
      <c r="G69" s="233"/>
      <c r="H69" s="233"/>
      <c r="I69" s="233"/>
      <c r="J69" s="233"/>
      <c r="K69" s="233"/>
      <c r="L69" s="233"/>
      <c r="M69" s="233"/>
      <c r="N69" s="233"/>
      <c r="O69" s="233"/>
      <c r="P69" s="234"/>
      <c r="R69" s="2"/>
      <c r="S69" s="2"/>
      <c r="T69" s="2"/>
      <c r="U69" s="2"/>
      <c r="V69" s="2"/>
      <c r="W69" s="2"/>
      <c r="X69" s="2"/>
      <c r="Y69" s="2"/>
      <c r="Z69" s="2"/>
      <c r="AA69" s="2"/>
      <c r="AB69" s="2"/>
      <c r="AC69" s="2"/>
      <c r="AD69" s="2"/>
      <c r="AE69" s="2"/>
      <c r="AF69" s="2"/>
      <c r="AG69" s="2"/>
      <c r="AH69" s="2"/>
      <c r="AI69" s="2"/>
      <c r="AJ69" s="2"/>
    </row>
  </sheetData>
  <mergeCells count="7">
    <mergeCell ref="C69:P69"/>
    <mergeCell ref="C3:P3"/>
    <mergeCell ref="C4:P4"/>
    <mergeCell ref="C6:K6"/>
    <mergeCell ref="C57:P57"/>
    <mergeCell ref="C58:P58"/>
    <mergeCell ref="C60:P60"/>
  </mergeCells>
  <conditionalFormatting sqref="D50 F50:G50 O50 D56:P56">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7"/>
  <sheetViews>
    <sheetView showGridLines="0" view="pageBreakPreview" zoomScaleNormal="100" zoomScaleSheetLayoutView="100" workbookViewId="0"/>
  </sheetViews>
  <sheetFormatPr baseColWidth="10" defaultColWidth="11.5703125" defaultRowHeight="15" x14ac:dyDescent="0.25"/>
  <cols>
    <col min="1" max="2" width="3.7109375" style="60" customWidth="1"/>
    <col min="3" max="3" width="51.7109375" style="60" customWidth="1"/>
    <col min="4" max="4" width="14.42578125" style="60" customWidth="1"/>
    <col min="5" max="5" width="13.140625" style="60" customWidth="1"/>
    <col min="6" max="6" width="14" style="62" customWidth="1"/>
    <col min="7" max="8" width="12.42578125" style="60" customWidth="1"/>
    <col min="9" max="9" width="12" style="60" customWidth="1"/>
    <col min="10" max="10" width="10.85546875" style="63" customWidth="1"/>
    <col min="11" max="11" width="3.7109375" style="60" customWidth="1"/>
    <col min="12" max="16384" width="11.5703125" style="60"/>
  </cols>
  <sheetData>
    <row r="1" spans="2:17" ht="10.5" customHeight="1" x14ac:dyDescent="0.25"/>
    <row r="2" spans="2:17" ht="10.5" customHeight="1" x14ac:dyDescent="0.25"/>
    <row r="3" spans="2:17" ht="15.75" x14ac:dyDescent="0.25">
      <c r="C3" s="235" t="s">
        <v>0</v>
      </c>
      <c r="D3" s="235"/>
      <c r="E3" s="235"/>
      <c r="F3" s="235"/>
      <c r="G3" s="235"/>
      <c r="H3" s="235"/>
      <c r="I3" s="235"/>
      <c r="J3" s="235"/>
      <c r="K3" s="4"/>
      <c r="L3" s="4"/>
      <c r="M3" s="4"/>
      <c r="N3" s="4"/>
      <c r="O3" s="4"/>
      <c r="P3" s="4"/>
      <c r="Q3" s="4"/>
    </row>
    <row r="4" spans="2:17" x14ac:dyDescent="0.25">
      <c r="B4" s="236" t="s">
        <v>1</v>
      </c>
      <c r="C4" s="245"/>
      <c r="D4" s="245"/>
      <c r="E4" s="245"/>
      <c r="F4" s="245"/>
      <c r="G4" s="245"/>
      <c r="H4" s="245"/>
      <c r="I4" s="245"/>
      <c r="J4" s="245"/>
      <c r="K4" s="245"/>
      <c r="L4" s="4"/>
      <c r="M4" s="4"/>
      <c r="N4" s="4"/>
      <c r="O4" s="4"/>
      <c r="P4" s="4"/>
      <c r="Q4" s="4"/>
    </row>
    <row r="5" spans="2:17" x14ac:dyDescent="0.25">
      <c r="C5" s="256"/>
      <c r="D5" s="4"/>
      <c r="E5" s="4"/>
      <c r="F5" s="3"/>
      <c r="G5" s="4"/>
      <c r="H5" s="4"/>
      <c r="I5" s="4"/>
      <c r="J5" s="3"/>
      <c r="K5" s="4"/>
      <c r="L5" s="4"/>
      <c r="M5" s="4"/>
      <c r="N5" s="4"/>
      <c r="O5" s="4"/>
      <c r="P5" s="4"/>
      <c r="Q5" s="4"/>
    </row>
    <row r="6" spans="2:17" ht="15.75" x14ac:dyDescent="0.25">
      <c r="C6" s="64" t="s">
        <v>27</v>
      </c>
      <c r="D6" s="65"/>
      <c r="E6" s="65"/>
      <c r="F6" s="66"/>
    </row>
    <row r="7" spans="2:17" x14ac:dyDescent="0.25">
      <c r="C7" s="67" t="s">
        <v>28</v>
      </c>
      <c r="D7" s="68"/>
      <c r="E7" s="68"/>
      <c r="F7" s="69"/>
    </row>
    <row r="8" spans="2:17" ht="27" customHeight="1" x14ac:dyDescent="0.25">
      <c r="C8" s="70"/>
      <c r="D8" s="246" t="s">
        <v>134</v>
      </c>
      <c r="E8" s="247"/>
      <c r="F8" s="247"/>
      <c r="G8" s="248" t="s">
        <v>135</v>
      </c>
      <c r="H8" s="249"/>
      <c r="I8" s="249"/>
      <c r="J8" s="250"/>
    </row>
    <row r="9" spans="2:17" ht="25.5" customHeight="1" x14ac:dyDescent="0.25">
      <c r="C9" s="71" t="s">
        <v>29</v>
      </c>
      <c r="D9" s="96">
        <v>2025</v>
      </c>
      <c r="E9" s="95">
        <v>2026</v>
      </c>
      <c r="F9" s="137" t="s">
        <v>24</v>
      </c>
      <c r="G9" s="96">
        <v>2025</v>
      </c>
      <c r="H9" s="95">
        <v>2026</v>
      </c>
      <c r="I9" s="137" t="s">
        <v>24</v>
      </c>
      <c r="J9" s="138" t="s">
        <v>30</v>
      </c>
    </row>
    <row r="10" spans="2:17" ht="6.75" customHeight="1" x14ac:dyDescent="0.25">
      <c r="D10" s="63"/>
      <c r="E10" s="63"/>
      <c r="F10" s="63"/>
      <c r="G10" s="63"/>
      <c r="H10" s="63"/>
      <c r="I10" s="63"/>
    </row>
    <row r="11" spans="2:17" x14ac:dyDescent="0.25">
      <c r="C11" s="72" t="s">
        <v>31</v>
      </c>
      <c r="D11" s="106">
        <f>SUM(D12:D22)</f>
        <v>229827.04957684453</v>
      </c>
      <c r="E11" s="97">
        <f>SUM(E12:E22)</f>
        <v>238463.9737383436</v>
      </c>
      <c r="F11" s="107">
        <f t="shared" ref="F11:F74" si="0">(E11-D11)/D11</f>
        <v>3.7580102852998815E-2</v>
      </c>
      <c r="G11" s="106">
        <f>SUM(G12:G22)</f>
        <v>666500.69666921091</v>
      </c>
      <c r="H11" s="97">
        <f>SUM(H12:H22)</f>
        <v>688214.38633423659</v>
      </c>
      <c r="I11" s="107">
        <f t="shared" ref="I11:I74" si="1">(H11-G11)/G11</f>
        <v>3.2578645114008549E-2</v>
      </c>
      <c r="J11" s="108">
        <f>SUM(J12:J22)</f>
        <v>0.99999999999999978</v>
      </c>
    </row>
    <row r="12" spans="2:17" x14ac:dyDescent="0.25">
      <c r="B12" s="183"/>
      <c r="C12" s="213" t="s">
        <v>34</v>
      </c>
      <c r="D12" s="214">
        <v>32848.44529055</v>
      </c>
      <c r="E12" s="214">
        <v>52497.867525000001</v>
      </c>
      <c r="F12" s="109">
        <f t="shared" si="0"/>
        <v>0.59818423857347192</v>
      </c>
      <c r="G12" s="214">
        <v>97774.209043609997</v>
      </c>
      <c r="H12" s="214">
        <v>138510.25271470001</v>
      </c>
      <c r="I12" s="110">
        <f t="shared" si="1"/>
        <v>0.41663383493003364</v>
      </c>
      <c r="J12" s="111">
        <f>(H12/$H$11)</f>
        <v>0.20126032739953717</v>
      </c>
    </row>
    <row r="13" spans="2:17" x14ac:dyDescent="0.25">
      <c r="B13" s="183"/>
      <c r="C13" s="215" t="s">
        <v>33</v>
      </c>
      <c r="D13" s="214">
        <v>34161.767727999999</v>
      </c>
      <c r="E13" s="214">
        <v>33636.36275</v>
      </c>
      <c r="F13" s="112">
        <f t="shared" si="0"/>
        <v>-1.5379911899856434E-2</v>
      </c>
      <c r="G13" s="214">
        <v>95733.304979999986</v>
      </c>
      <c r="H13" s="214">
        <v>101004.76521</v>
      </c>
      <c r="I13" s="110">
        <f t="shared" si="1"/>
        <v>5.5064015925296764E-2</v>
      </c>
      <c r="J13" s="113">
        <f t="shared" ref="J13:J22" si="2">(H13/$H$11)</f>
        <v>0.14676351906562188</v>
      </c>
    </row>
    <row r="14" spans="2:17" x14ac:dyDescent="0.25">
      <c r="B14" s="183"/>
      <c r="C14" s="215" t="s">
        <v>72</v>
      </c>
      <c r="D14" s="214">
        <v>36296.876177999999</v>
      </c>
      <c r="E14" s="214">
        <v>36174.610681599996</v>
      </c>
      <c r="F14" s="112">
        <f t="shared" si="0"/>
        <v>-3.36848537048788E-3</v>
      </c>
      <c r="G14" s="214">
        <v>100146.6542237</v>
      </c>
      <c r="H14" s="214">
        <v>97825.474703399988</v>
      </c>
      <c r="I14" s="110">
        <f t="shared" si="1"/>
        <v>-2.3177803974510549E-2</v>
      </c>
      <c r="J14" s="113">
        <f t="shared" si="2"/>
        <v>0.14214389679423281</v>
      </c>
    </row>
    <row r="15" spans="2:17" x14ac:dyDescent="0.25">
      <c r="B15" s="183"/>
      <c r="C15" s="215" t="s">
        <v>32</v>
      </c>
      <c r="D15" s="214">
        <v>36749.676319366001</v>
      </c>
      <c r="E15" s="214">
        <v>32764.216376355998</v>
      </c>
      <c r="F15" s="112">
        <f t="shared" si="0"/>
        <v>-0.10844884478369629</v>
      </c>
      <c r="G15" s="214">
        <v>105094.180694718</v>
      </c>
      <c r="H15" s="214">
        <v>94815.310941032003</v>
      </c>
      <c r="I15" s="110">
        <f t="shared" si="1"/>
        <v>-9.7806269440783702E-2</v>
      </c>
      <c r="J15" s="113">
        <f t="shared" si="2"/>
        <v>0.13777002170219704</v>
      </c>
    </row>
    <row r="16" spans="2:17" x14ac:dyDescent="0.25">
      <c r="B16" s="183"/>
      <c r="C16" s="215" t="s">
        <v>35</v>
      </c>
      <c r="D16" s="214">
        <v>28494.1549236555</v>
      </c>
      <c r="E16" s="214">
        <v>22560.462710600001</v>
      </c>
      <c r="F16" s="112">
        <f t="shared" si="0"/>
        <v>-0.20824243529782385</v>
      </c>
      <c r="G16" s="214">
        <v>79950.155181772905</v>
      </c>
      <c r="H16" s="214">
        <v>73408.942964646994</v>
      </c>
      <c r="I16" s="110">
        <f t="shared" si="1"/>
        <v>-8.1816129090105646E-2</v>
      </c>
      <c r="J16" s="113">
        <f t="shared" si="2"/>
        <v>0.10666580708325295</v>
      </c>
    </row>
    <row r="17" spans="2:10" x14ac:dyDescent="0.25">
      <c r="B17" s="183"/>
      <c r="C17" s="215" t="s">
        <v>36</v>
      </c>
      <c r="D17" s="214">
        <v>13877.974109999999</v>
      </c>
      <c r="E17" s="214">
        <v>15551.43701</v>
      </c>
      <c r="F17" s="112">
        <f t="shared" si="0"/>
        <v>0.12058409150613414</v>
      </c>
      <c r="G17" s="214">
        <v>54802.997329999998</v>
      </c>
      <c r="H17" s="214">
        <v>55339.620811000008</v>
      </c>
      <c r="I17" s="110">
        <f t="shared" si="1"/>
        <v>9.7918637144734002E-3</v>
      </c>
      <c r="J17" s="113">
        <f t="shared" si="2"/>
        <v>8.04104388252702E-2</v>
      </c>
    </row>
    <row r="18" spans="2:10" x14ac:dyDescent="0.25">
      <c r="B18" s="183"/>
      <c r="C18" s="215" t="s">
        <v>61</v>
      </c>
      <c r="D18" s="214">
        <v>13192.70123296</v>
      </c>
      <c r="E18" s="214">
        <v>9204.3236792499993</v>
      </c>
      <c r="F18" s="112">
        <f t="shared" si="0"/>
        <v>-0.30231697688610071</v>
      </c>
      <c r="G18" s="214">
        <v>34955.477402649994</v>
      </c>
      <c r="H18" s="214">
        <v>25570.930035649999</v>
      </c>
      <c r="I18" s="110">
        <f t="shared" si="1"/>
        <v>-0.26847144036684067</v>
      </c>
      <c r="J18" s="113">
        <f t="shared" si="2"/>
        <v>3.7155471526617113E-2</v>
      </c>
    </row>
    <row r="19" spans="2:10" x14ac:dyDescent="0.25">
      <c r="B19" s="183"/>
      <c r="C19" s="215" t="s">
        <v>37</v>
      </c>
      <c r="D19" s="214">
        <v>7859.7120000000004</v>
      </c>
      <c r="E19" s="214">
        <v>7637.7841799999997</v>
      </c>
      <c r="F19" s="112">
        <f t="shared" si="0"/>
        <v>-2.8236126209204713E-2</v>
      </c>
      <c r="G19" s="214">
        <v>22127.119139999999</v>
      </c>
      <c r="H19" s="214">
        <v>23935.694656399999</v>
      </c>
      <c r="I19" s="110">
        <f t="shared" si="1"/>
        <v>8.1735697492158949E-2</v>
      </c>
      <c r="J19" s="113">
        <f t="shared" si="2"/>
        <v>3.4779416315158872E-2</v>
      </c>
    </row>
    <row r="20" spans="2:10" x14ac:dyDescent="0.25">
      <c r="B20" s="183"/>
      <c r="C20" s="215" t="s">
        <v>38</v>
      </c>
      <c r="D20" s="214">
        <v>6776.0518701600004</v>
      </c>
      <c r="E20" s="214">
        <v>7710.8543884999999</v>
      </c>
      <c r="F20" s="112">
        <f t="shared" si="0"/>
        <v>0.13795681264729256</v>
      </c>
      <c r="G20" s="214">
        <v>20293.324468250001</v>
      </c>
      <c r="H20" s="214">
        <v>20572.714194939999</v>
      </c>
      <c r="I20" s="110">
        <f t="shared" si="1"/>
        <v>1.3767568104827712E-2</v>
      </c>
      <c r="J20" s="113">
        <f t="shared" si="2"/>
        <v>2.9892886001003621E-2</v>
      </c>
    </row>
    <row r="21" spans="2:10" x14ac:dyDescent="0.25">
      <c r="B21" s="183"/>
      <c r="C21" s="215" t="s">
        <v>39</v>
      </c>
      <c r="D21" s="214">
        <v>3526.7589594000001</v>
      </c>
      <c r="E21" s="214">
        <v>4656.7876752000002</v>
      </c>
      <c r="F21" s="112">
        <f t="shared" si="0"/>
        <v>0.32041563622829766</v>
      </c>
      <c r="G21" s="214">
        <v>12062.609854600001</v>
      </c>
      <c r="H21" s="214">
        <v>11018.5996366</v>
      </c>
      <c r="I21" s="110">
        <f t="shared" si="1"/>
        <v>-8.6549281671567488E-2</v>
      </c>
      <c r="J21" s="113">
        <f t="shared" si="2"/>
        <v>1.6010417473674741E-2</v>
      </c>
    </row>
    <row r="22" spans="2:10" x14ac:dyDescent="0.2">
      <c r="B22" s="183"/>
      <c r="C22" s="216" t="s">
        <v>136</v>
      </c>
      <c r="D22" s="214">
        <v>16042.930964752997</v>
      </c>
      <c r="E22" s="214">
        <v>16069.266761837602</v>
      </c>
      <c r="F22" s="114">
        <f t="shared" si="0"/>
        <v>1.6415826473644643E-3</v>
      </c>
      <c r="G22" s="214">
        <v>43560.664349910017</v>
      </c>
      <c r="H22" s="214">
        <v>46212.08046586749</v>
      </c>
      <c r="I22" s="110">
        <f t="shared" si="1"/>
        <v>6.0867210257846985E-2</v>
      </c>
      <c r="J22" s="123">
        <f t="shared" si="2"/>
        <v>6.7147797813433441E-2</v>
      </c>
    </row>
    <row r="23" spans="2:10" x14ac:dyDescent="0.25">
      <c r="B23" s="183"/>
      <c r="C23" s="182" t="s">
        <v>40</v>
      </c>
      <c r="D23" s="106">
        <f>SUM(D24:D34)</f>
        <v>8959432.3840897381</v>
      </c>
      <c r="E23" s="97">
        <f>SUM(E24:E34)</f>
        <v>8498965.2241655998</v>
      </c>
      <c r="F23" s="107">
        <f t="shared" si="0"/>
        <v>-5.1394679951136321E-2</v>
      </c>
      <c r="G23" s="106">
        <f>SUM(G24:G34)</f>
        <v>25614670.48064772</v>
      </c>
      <c r="H23" s="97">
        <f>SUM(H24:H34)</f>
        <v>24752697.6955502</v>
      </c>
      <c r="I23" s="107">
        <f t="shared" si="1"/>
        <v>-3.3651527383448267E-2</v>
      </c>
      <c r="J23" s="108">
        <f>SUM(J24:J34)</f>
        <v>1.0000000000000002</v>
      </c>
    </row>
    <row r="24" spans="2:10" x14ac:dyDescent="0.25">
      <c r="B24" s="183"/>
      <c r="C24" s="217" t="s">
        <v>41</v>
      </c>
      <c r="D24" s="214">
        <v>1214007.6243999999</v>
      </c>
      <c r="E24" s="214">
        <v>1369820.4165000001</v>
      </c>
      <c r="F24" s="109">
        <f t="shared" si="0"/>
        <v>0.12834581016491367</v>
      </c>
      <c r="G24" s="214">
        <v>3262732.1974999998</v>
      </c>
      <c r="H24" s="214">
        <v>4472181.4352000002</v>
      </c>
      <c r="I24" s="109">
        <f t="shared" si="1"/>
        <v>0.37068602768768932</v>
      </c>
      <c r="J24" s="111">
        <f>(H24/$H$23)</f>
        <v>0.18067450627831833</v>
      </c>
    </row>
    <row r="25" spans="2:10" x14ac:dyDescent="0.25">
      <c r="B25" s="183"/>
      <c r="C25" s="218" t="s">
        <v>42</v>
      </c>
      <c r="D25" s="214">
        <v>788676.51951000001</v>
      </c>
      <c r="E25" s="214">
        <v>673845.00982000004</v>
      </c>
      <c r="F25" s="112">
        <f t="shared" si="0"/>
        <v>-0.14560026430271325</v>
      </c>
      <c r="G25" s="214">
        <v>2192304.8154600002</v>
      </c>
      <c r="H25" s="214">
        <v>1946543.8984100001</v>
      </c>
      <c r="I25" s="112">
        <f t="shared" si="1"/>
        <v>-0.112101618040023</v>
      </c>
      <c r="J25" s="113">
        <f t="shared" ref="J25:J34" si="3">(H25/$H$23)</f>
        <v>7.8639666768924782E-2</v>
      </c>
    </row>
    <row r="26" spans="2:10" x14ac:dyDescent="0.25">
      <c r="B26" s="183"/>
      <c r="C26" s="218" t="s">
        <v>44</v>
      </c>
      <c r="D26" s="214">
        <v>471364.16399999999</v>
      </c>
      <c r="E26" s="214">
        <v>430642.92599999998</v>
      </c>
      <c r="F26" s="112">
        <f t="shared" si="0"/>
        <v>-8.6390186420705534E-2</v>
      </c>
      <c r="G26" s="214">
        <v>1312068.618</v>
      </c>
      <c r="H26" s="214">
        <v>1168675.155</v>
      </c>
      <c r="I26" s="112">
        <f t="shared" si="1"/>
        <v>-0.10928808221827312</v>
      </c>
      <c r="J26" s="113">
        <f t="shared" si="3"/>
        <v>4.7214051954025726E-2</v>
      </c>
    </row>
    <row r="27" spans="2:10" x14ac:dyDescent="0.25">
      <c r="B27" s="183"/>
      <c r="C27" s="218" t="s">
        <v>47</v>
      </c>
      <c r="D27" s="214">
        <v>327034.57375615602</v>
      </c>
      <c r="E27" s="214">
        <v>428836.94438296801</v>
      </c>
      <c r="F27" s="112">
        <f t="shared" si="0"/>
        <v>0.31128932166883988</v>
      </c>
      <c r="G27" s="214">
        <v>954227.48604361108</v>
      </c>
      <c r="H27" s="214">
        <v>1071456.2493343381</v>
      </c>
      <c r="I27" s="112">
        <f t="shared" si="1"/>
        <v>0.12285200856745111</v>
      </c>
      <c r="J27" s="193">
        <f t="shared" si="3"/>
        <v>4.3286443462158639E-2</v>
      </c>
    </row>
    <row r="28" spans="2:10" x14ac:dyDescent="0.25">
      <c r="B28" s="183"/>
      <c r="C28" s="218" t="s">
        <v>45</v>
      </c>
      <c r="D28" s="214">
        <v>414916.49200000003</v>
      </c>
      <c r="E28" s="214">
        <v>414320.55</v>
      </c>
      <c r="F28" s="112">
        <f t="shared" si="0"/>
        <v>-1.4362938362065373E-3</v>
      </c>
      <c r="G28" s="214">
        <v>1302121.456</v>
      </c>
      <c r="H28" s="214">
        <v>1060986.405</v>
      </c>
      <c r="I28" s="112">
        <f t="shared" si="1"/>
        <v>-0.18518629724507049</v>
      </c>
      <c r="J28" s="193">
        <f t="shared" si="3"/>
        <v>4.2863465552311651E-2</v>
      </c>
    </row>
    <row r="29" spans="2:10" x14ac:dyDescent="0.25">
      <c r="B29" s="183"/>
      <c r="C29" s="218" t="s">
        <v>46</v>
      </c>
      <c r="D29" s="214">
        <v>364095</v>
      </c>
      <c r="E29" s="214">
        <v>384257.25</v>
      </c>
      <c r="F29" s="112">
        <f t="shared" si="0"/>
        <v>5.5376344086021503E-2</v>
      </c>
      <c r="G29" s="214">
        <v>1081731.69</v>
      </c>
      <c r="H29" s="214">
        <v>1012784.1599999999</v>
      </c>
      <c r="I29" s="112">
        <f t="shared" si="1"/>
        <v>-6.3738106812790171E-2</v>
      </c>
      <c r="J29" s="113">
        <f t="shared" si="3"/>
        <v>4.0916112354980542E-2</v>
      </c>
    </row>
    <row r="30" spans="2:10" x14ac:dyDescent="0.25">
      <c r="B30" s="183"/>
      <c r="C30" s="218" t="s">
        <v>49</v>
      </c>
      <c r="D30" s="214">
        <v>294823.772650083</v>
      </c>
      <c r="E30" s="214">
        <v>336005.02302305197</v>
      </c>
      <c r="F30" s="112">
        <f t="shared" si="0"/>
        <v>0.13968090158674445</v>
      </c>
      <c r="G30" s="214">
        <v>850839.50356381503</v>
      </c>
      <c r="H30" s="214">
        <v>993538.17313657189</v>
      </c>
      <c r="I30" s="112">
        <f t="shared" si="1"/>
        <v>0.16771514366111484</v>
      </c>
      <c r="J30" s="113">
        <f t="shared" si="3"/>
        <v>4.0138581473290511E-2</v>
      </c>
    </row>
    <row r="31" spans="2:10" x14ac:dyDescent="0.25">
      <c r="B31" s="183"/>
      <c r="C31" s="218" t="s">
        <v>48</v>
      </c>
      <c r="D31" s="214">
        <v>344699.73461699998</v>
      </c>
      <c r="E31" s="214">
        <v>259431.317388</v>
      </c>
      <c r="F31" s="112">
        <f t="shared" si="0"/>
        <v>-0.24737012728989405</v>
      </c>
      <c r="G31" s="214">
        <v>924722.44576100004</v>
      </c>
      <c r="H31" s="214">
        <v>839424.25010800001</v>
      </c>
      <c r="I31" s="112">
        <f t="shared" si="1"/>
        <v>-9.2241943562648046E-2</v>
      </c>
      <c r="J31" s="113">
        <f t="shared" si="3"/>
        <v>3.3912434936693936E-2</v>
      </c>
    </row>
    <row r="32" spans="2:10" x14ac:dyDescent="0.25">
      <c r="B32" s="183"/>
      <c r="C32" s="218" t="s">
        <v>33</v>
      </c>
      <c r="D32" s="214">
        <v>260896.0068</v>
      </c>
      <c r="E32" s="214">
        <v>238367.92499999999</v>
      </c>
      <c r="F32" s="112">
        <f t="shared" si="0"/>
        <v>-8.6348894627849906E-2</v>
      </c>
      <c r="G32" s="214">
        <v>597484.11239999998</v>
      </c>
      <c r="H32" s="214">
        <v>763164.42100000009</v>
      </c>
      <c r="I32" s="112">
        <f t="shared" si="1"/>
        <v>0.27729659276543484</v>
      </c>
      <c r="J32" s="113">
        <f t="shared" si="3"/>
        <v>3.0831565528196728E-2</v>
      </c>
    </row>
    <row r="33" spans="2:10" x14ac:dyDescent="0.25">
      <c r="B33" s="183"/>
      <c r="C33" s="218" t="s">
        <v>121</v>
      </c>
      <c r="D33" s="214">
        <v>129771.99460000001</v>
      </c>
      <c r="E33" s="214">
        <v>257991.39799999999</v>
      </c>
      <c r="F33" s="112">
        <f t="shared" si="0"/>
        <v>0.98803600726962992</v>
      </c>
      <c r="G33" s="214">
        <v>398279.22620000003</v>
      </c>
      <c r="H33" s="214">
        <v>730011.37339999992</v>
      </c>
      <c r="I33" s="112">
        <f t="shared" si="1"/>
        <v>0.83291350735279668</v>
      </c>
      <c r="J33" s="113">
        <f t="shared" si="3"/>
        <v>2.9492194441951041E-2</v>
      </c>
    </row>
    <row r="34" spans="2:10" x14ac:dyDescent="0.2">
      <c r="B34" s="183"/>
      <c r="C34" s="219" t="s">
        <v>137</v>
      </c>
      <c r="D34" s="214">
        <v>4349146.5017565005</v>
      </c>
      <c r="E34" s="214">
        <v>3705446.4640515801</v>
      </c>
      <c r="F34" s="116">
        <f t="shared" si="0"/>
        <v>-0.14800605991197299</v>
      </c>
      <c r="G34" s="214">
        <v>12738158.929719297</v>
      </c>
      <c r="H34" s="214">
        <v>10693932.174961291</v>
      </c>
      <c r="I34" s="116">
        <f t="shared" si="1"/>
        <v>-0.16048055029276145</v>
      </c>
      <c r="J34" s="123">
        <f t="shared" si="3"/>
        <v>0.43203097724914818</v>
      </c>
    </row>
    <row r="35" spans="2:10" x14ac:dyDescent="0.25">
      <c r="C35" s="75" t="s">
        <v>50</v>
      </c>
      <c r="D35" s="106">
        <f>SUM(D36:D46)</f>
        <v>119527.14450189999</v>
      </c>
      <c r="E35" s="97">
        <f>SUM(E36:E46)</f>
        <v>112421.366223602</v>
      </c>
      <c r="F35" s="107">
        <f t="shared" si="0"/>
        <v>-5.9449075838878082E-2</v>
      </c>
      <c r="G35" s="106">
        <f>SUM(G36:G46)</f>
        <v>321345.97605724604</v>
      </c>
      <c r="H35" s="97">
        <f>SUM(H36:H46)</f>
        <v>327847.10057500203</v>
      </c>
      <c r="I35" s="107">
        <f t="shared" si="1"/>
        <v>2.0230919327266915E-2</v>
      </c>
      <c r="J35" s="108">
        <f>SUM(J36:J46)</f>
        <v>1</v>
      </c>
    </row>
    <row r="36" spans="2:10" x14ac:dyDescent="0.25">
      <c r="B36" s="183"/>
      <c r="C36" s="217" t="s">
        <v>34</v>
      </c>
      <c r="D36" s="214">
        <v>41964.463284600002</v>
      </c>
      <c r="E36" s="214">
        <v>32623.433254000003</v>
      </c>
      <c r="F36" s="109">
        <f t="shared" si="0"/>
        <v>-0.22259381627854496</v>
      </c>
      <c r="G36" s="214">
        <v>103588.66426285001</v>
      </c>
      <c r="H36" s="214">
        <v>83008.460887099995</v>
      </c>
      <c r="I36" s="119">
        <f t="shared" si="1"/>
        <v>-0.19867235012828227</v>
      </c>
      <c r="J36" s="120">
        <f>(H36/$H$35)</f>
        <v>0.25319260332488447</v>
      </c>
    </row>
    <row r="37" spans="2:10" x14ac:dyDescent="0.25">
      <c r="B37" s="183"/>
      <c r="C37" s="218" t="s">
        <v>51</v>
      </c>
      <c r="D37" s="214">
        <v>14049.100789158001</v>
      </c>
      <c r="E37" s="214">
        <v>13342.632037356001</v>
      </c>
      <c r="F37" s="112">
        <f t="shared" si="0"/>
        <v>-5.028569176094156E-2</v>
      </c>
      <c r="G37" s="214">
        <v>40398.574412141999</v>
      </c>
      <c r="H37" s="214">
        <v>35208.87063053</v>
      </c>
      <c r="I37" s="121">
        <f t="shared" si="1"/>
        <v>-0.12846254743217392</v>
      </c>
      <c r="J37" s="122">
        <f t="shared" ref="J37:J46" si="4">(H37/$H$35)</f>
        <v>0.10739418030166541</v>
      </c>
    </row>
    <row r="38" spans="2:10" x14ac:dyDescent="0.25">
      <c r="B38" s="183"/>
      <c r="C38" s="218" t="s">
        <v>52</v>
      </c>
      <c r="D38" s="214">
        <v>7585.3042000000005</v>
      </c>
      <c r="E38" s="214">
        <v>6254.3124000000007</v>
      </c>
      <c r="F38" s="112">
        <f t="shared" si="0"/>
        <v>-0.17546979856127584</v>
      </c>
      <c r="G38" s="214">
        <v>18502.304199999999</v>
      </c>
      <c r="H38" s="214">
        <v>23185.184999999998</v>
      </c>
      <c r="I38" s="121">
        <f t="shared" si="1"/>
        <v>0.25309716829755718</v>
      </c>
      <c r="J38" s="122">
        <f t="shared" si="4"/>
        <v>7.0719506011601568E-2</v>
      </c>
    </row>
    <row r="39" spans="2:10" x14ac:dyDescent="0.25">
      <c r="B39" s="183"/>
      <c r="C39" s="218" t="s">
        <v>54</v>
      </c>
      <c r="D39" s="214">
        <v>4521.4942710000005</v>
      </c>
      <c r="E39" s="214">
        <v>5430.0924960000002</v>
      </c>
      <c r="F39" s="112">
        <f t="shared" si="0"/>
        <v>0.20095087387980892</v>
      </c>
      <c r="G39" s="214">
        <v>12302.053348000001</v>
      </c>
      <c r="H39" s="214">
        <v>20265.457766</v>
      </c>
      <c r="I39" s="121">
        <f t="shared" si="1"/>
        <v>0.64732319009937023</v>
      </c>
      <c r="J39" s="122">
        <f t="shared" si="4"/>
        <v>6.1813747110945831E-2</v>
      </c>
    </row>
    <row r="40" spans="2:10" x14ac:dyDescent="0.25">
      <c r="B40" s="183"/>
      <c r="C40" s="218" t="s">
        <v>122</v>
      </c>
      <c r="D40" s="214">
        <v>4010.1149093999998</v>
      </c>
      <c r="E40" s="214">
        <v>5290.2627842000002</v>
      </c>
      <c r="F40" s="121">
        <f t="shared" si="0"/>
        <v>0.31922972376657865</v>
      </c>
      <c r="G40" s="214">
        <v>7622.4550063000006</v>
      </c>
      <c r="H40" s="214">
        <v>15979.8254595</v>
      </c>
      <c r="I40" s="121">
        <f t="shared" si="1"/>
        <v>1.0964145339385523</v>
      </c>
      <c r="J40" s="122">
        <f t="shared" si="4"/>
        <v>4.8741701334168955E-2</v>
      </c>
    </row>
    <row r="41" spans="2:10" x14ac:dyDescent="0.25">
      <c r="B41" s="183"/>
      <c r="C41" s="218" t="s">
        <v>36</v>
      </c>
      <c r="D41" s="214">
        <v>2395.2378450000001</v>
      </c>
      <c r="E41" s="214">
        <v>3592.9160200000001</v>
      </c>
      <c r="F41" s="121">
        <f t="shared" si="0"/>
        <v>0.50002473762683886</v>
      </c>
      <c r="G41" s="214">
        <v>10596.327886999999</v>
      </c>
      <c r="H41" s="214">
        <v>15311.155426000001</v>
      </c>
      <c r="I41" s="121">
        <f t="shared" si="1"/>
        <v>0.44494919270895172</v>
      </c>
      <c r="J41" s="122">
        <f t="shared" si="4"/>
        <v>4.6702122419707802E-2</v>
      </c>
    </row>
    <row r="42" spans="2:10" x14ac:dyDescent="0.25">
      <c r="B42" s="183"/>
      <c r="C42" s="218" t="s">
        <v>56</v>
      </c>
      <c r="D42" s="214">
        <v>4068.4461005000003</v>
      </c>
      <c r="E42" s="214">
        <v>5055.4985606999999</v>
      </c>
      <c r="F42" s="121">
        <f t="shared" si="0"/>
        <v>0.24261165954212682</v>
      </c>
      <c r="G42" s="214">
        <v>11856.956973600001</v>
      </c>
      <c r="H42" s="214">
        <v>14833.507534099999</v>
      </c>
      <c r="I42" s="121">
        <f t="shared" si="1"/>
        <v>0.25103832012947414</v>
      </c>
      <c r="J42" s="122">
        <f t="shared" si="4"/>
        <v>4.5245199692429544E-2</v>
      </c>
    </row>
    <row r="43" spans="2:10" x14ac:dyDescent="0.25">
      <c r="B43" s="183"/>
      <c r="C43" s="218" t="s">
        <v>57</v>
      </c>
      <c r="D43" s="214">
        <v>3697.8211343999997</v>
      </c>
      <c r="E43" s="214">
        <v>4542.9715094000003</v>
      </c>
      <c r="F43" s="121">
        <f t="shared" si="0"/>
        <v>0.22855361151402281</v>
      </c>
      <c r="G43" s="214">
        <v>9925.7467781599989</v>
      </c>
      <c r="H43" s="214">
        <v>12303.472281100001</v>
      </c>
      <c r="I43" s="121">
        <f t="shared" si="1"/>
        <v>0.2395512958452459</v>
      </c>
      <c r="J43" s="122">
        <f t="shared" si="4"/>
        <v>3.7528080192020238E-2</v>
      </c>
    </row>
    <row r="44" spans="2:10" x14ac:dyDescent="0.25">
      <c r="B44" s="183"/>
      <c r="C44" s="218" t="s">
        <v>138</v>
      </c>
      <c r="D44" s="214">
        <v>4250.8474667999999</v>
      </c>
      <c r="E44" s="214">
        <v>3369.8119237999999</v>
      </c>
      <c r="F44" s="121">
        <f t="shared" si="0"/>
        <v>-0.20726115201287984</v>
      </c>
      <c r="G44" s="214">
        <v>11312.5903915</v>
      </c>
      <c r="H44" s="214">
        <v>11300.8061096</v>
      </c>
      <c r="I44" s="121">
        <f t="shared" si="1"/>
        <v>-1.0416961537698904E-3</v>
      </c>
      <c r="J44" s="122">
        <f t="shared" si="4"/>
        <v>3.4469745469091616E-2</v>
      </c>
    </row>
    <row r="45" spans="2:10" x14ac:dyDescent="0.25">
      <c r="B45" s="183"/>
      <c r="C45" s="218" t="s">
        <v>53</v>
      </c>
      <c r="D45" s="214">
        <v>4672.0219059999999</v>
      </c>
      <c r="E45" s="214">
        <v>4166.6848970000001</v>
      </c>
      <c r="F45" s="121">
        <f t="shared" si="0"/>
        <v>-0.10816238005027878</v>
      </c>
      <c r="G45" s="214">
        <v>12604.396409999999</v>
      </c>
      <c r="H45" s="214">
        <v>10616.04097</v>
      </c>
      <c r="I45" s="121">
        <f t="shared" si="1"/>
        <v>-0.15775094461663314</v>
      </c>
      <c r="J45" s="122">
        <f t="shared" si="4"/>
        <v>3.2381073224014539E-2</v>
      </c>
    </row>
    <row r="46" spans="2:10" x14ac:dyDescent="0.2">
      <c r="B46" s="183"/>
      <c r="C46" s="220" t="s">
        <v>139</v>
      </c>
      <c r="D46" s="214">
        <v>28312.292595042003</v>
      </c>
      <c r="E46" s="214">
        <v>28752.750341145998</v>
      </c>
      <c r="F46" s="116">
        <f>(E46-D46)/D46</f>
        <v>1.5557120449550859E-2</v>
      </c>
      <c r="G46" s="221">
        <v>82635.90638769402</v>
      </c>
      <c r="H46" s="221">
        <v>85834.318511072008</v>
      </c>
      <c r="I46" s="114">
        <f t="shared" si="1"/>
        <v>3.8704871322792066E-2</v>
      </c>
      <c r="J46" s="123">
        <f t="shared" si="4"/>
        <v>0.26181204091946997</v>
      </c>
    </row>
    <row r="47" spans="2:10" x14ac:dyDescent="0.25">
      <c r="B47" s="183"/>
      <c r="C47" s="185" t="s">
        <v>58</v>
      </c>
      <c r="D47" s="97">
        <f>SUM(D48:D58)</f>
        <v>288638.67863830406</v>
      </c>
      <c r="E47" s="97">
        <f>SUM(E48:E58)</f>
        <v>301672.26708662161</v>
      </c>
      <c r="F47" s="184">
        <f t="shared" si="0"/>
        <v>4.5155377338218984E-2</v>
      </c>
      <c r="G47" s="106">
        <f>SUM(G48:G58)</f>
        <v>859836.57190291793</v>
      </c>
      <c r="H47" s="97">
        <f>SUM(H48:H58)</f>
        <v>879623.82122444361</v>
      </c>
      <c r="I47" s="107">
        <f t="shared" si="1"/>
        <v>2.3012802627985697E-2</v>
      </c>
      <c r="J47" s="108">
        <f>SUM(J48:J58)</f>
        <v>0.99999999999999989</v>
      </c>
    </row>
    <row r="48" spans="2:10" x14ac:dyDescent="0.25">
      <c r="B48" s="183"/>
      <c r="C48" s="213" t="s">
        <v>34</v>
      </c>
      <c r="D48" s="214">
        <v>38473.319802011603</v>
      </c>
      <c r="E48" s="214">
        <v>55024.393190088798</v>
      </c>
      <c r="F48" s="109">
        <f t="shared" si="0"/>
        <v>0.43019613262518125</v>
      </c>
      <c r="G48" s="214">
        <v>106205.3007758435</v>
      </c>
      <c r="H48" s="214">
        <v>148557.05312152539</v>
      </c>
      <c r="I48" s="112">
        <f t="shared" si="1"/>
        <v>0.39877249098017559</v>
      </c>
      <c r="J48" s="111">
        <f>(H48/$H$47)</f>
        <v>0.168887028223875</v>
      </c>
    </row>
    <row r="49" spans="2:10" x14ac:dyDescent="0.25">
      <c r="B49" s="183"/>
      <c r="C49" s="215" t="s">
        <v>59</v>
      </c>
      <c r="D49" s="214">
        <v>32218.009079853102</v>
      </c>
      <c r="E49" s="214">
        <v>34630.805699449054</v>
      </c>
      <c r="F49" s="112">
        <f t="shared" si="0"/>
        <v>7.4889687119268564E-2</v>
      </c>
      <c r="G49" s="214">
        <v>99283.405469961086</v>
      </c>
      <c r="H49" s="214">
        <v>101841.81687974656</v>
      </c>
      <c r="I49" s="112">
        <f t="shared" si="1"/>
        <v>2.5768771706360761E-2</v>
      </c>
      <c r="J49" s="113">
        <f t="shared" ref="J49:J58" si="5">(H49/$H$47)</f>
        <v>0.115778830020749</v>
      </c>
    </row>
    <row r="50" spans="2:10" x14ac:dyDescent="0.25">
      <c r="B50" s="183"/>
      <c r="C50" s="215" t="s">
        <v>36</v>
      </c>
      <c r="D50" s="214">
        <v>11832.852922316601</v>
      </c>
      <c r="E50" s="214">
        <v>14070.5576654694</v>
      </c>
      <c r="F50" s="112">
        <f t="shared" si="0"/>
        <v>0.1891094867690376</v>
      </c>
      <c r="G50" s="214">
        <v>51916.972676937497</v>
      </c>
      <c r="H50" s="214">
        <v>51920.853684798203</v>
      </c>
      <c r="I50" s="206">
        <f t="shared" si="1"/>
        <v>7.4754124915101981E-5</v>
      </c>
      <c r="J50" s="113">
        <f t="shared" si="5"/>
        <v>5.9026202374242144E-2</v>
      </c>
    </row>
    <row r="51" spans="2:10" x14ac:dyDescent="0.25">
      <c r="B51" s="183"/>
      <c r="C51" s="215" t="s">
        <v>33</v>
      </c>
      <c r="D51" s="214">
        <v>12484.266007926601</v>
      </c>
      <c r="E51" s="214">
        <v>14004.3567765353</v>
      </c>
      <c r="F51" s="112">
        <f t="shared" si="0"/>
        <v>0.12176052381802441</v>
      </c>
      <c r="G51" s="214">
        <v>33264.531076829197</v>
      </c>
      <c r="H51" s="214">
        <v>45842.800314118802</v>
      </c>
      <c r="I51" s="112">
        <f t="shared" si="1"/>
        <v>0.37812856006412032</v>
      </c>
      <c r="J51" s="113">
        <f t="shared" si="5"/>
        <v>5.2116369757136918E-2</v>
      </c>
    </row>
    <row r="52" spans="2:10" x14ac:dyDescent="0.25">
      <c r="B52" s="183"/>
      <c r="C52" s="215" t="s">
        <v>32</v>
      </c>
      <c r="D52" s="214">
        <v>14856.526041306599</v>
      </c>
      <c r="E52" s="214">
        <v>14040.240005219301</v>
      </c>
      <c r="F52" s="112">
        <f t="shared" si="0"/>
        <v>-5.4944610457230939E-2</v>
      </c>
      <c r="G52" s="214">
        <v>43702.101785342798</v>
      </c>
      <c r="H52" s="214">
        <v>41772.768288611594</v>
      </c>
      <c r="I52" s="112">
        <f t="shared" si="1"/>
        <v>-4.4147384631699364E-2</v>
      </c>
      <c r="J52" s="113">
        <f t="shared" si="5"/>
        <v>4.7489355427486668E-2</v>
      </c>
    </row>
    <row r="53" spans="2:10" x14ac:dyDescent="0.25">
      <c r="B53" s="183"/>
      <c r="C53" s="215" t="s">
        <v>51</v>
      </c>
      <c r="D53" s="214">
        <v>18034.331554133598</v>
      </c>
      <c r="E53" s="214">
        <v>15950.603395882199</v>
      </c>
      <c r="F53" s="112">
        <f t="shared" si="0"/>
        <v>-0.1155423006390161</v>
      </c>
      <c r="G53" s="214">
        <v>51765.500412056594</v>
      </c>
      <c r="H53" s="214">
        <v>39522.436869099896</v>
      </c>
      <c r="I53" s="112">
        <f t="shared" si="1"/>
        <v>-0.23651009737182394</v>
      </c>
      <c r="J53" s="113">
        <f t="shared" si="5"/>
        <v>4.4931067025997931E-2</v>
      </c>
    </row>
    <row r="54" spans="2:10" x14ac:dyDescent="0.25">
      <c r="B54" s="183"/>
      <c r="C54" s="215" t="s">
        <v>46</v>
      </c>
      <c r="D54" s="214">
        <v>14970.290023953001</v>
      </c>
      <c r="E54" s="214">
        <v>12610.4099528754</v>
      </c>
      <c r="F54" s="112">
        <f t="shared" si="0"/>
        <v>-0.15763756529110048</v>
      </c>
      <c r="G54" s="214">
        <v>44918.338944153998</v>
      </c>
      <c r="H54" s="214">
        <v>37648.845384442197</v>
      </c>
      <c r="I54" s="112">
        <f t="shared" si="1"/>
        <v>-0.16183798712480901</v>
      </c>
      <c r="J54" s="113">
        <f t="shared" si="5"/>
        <v>4.2801075273330699E-2</v>
      </c>
    </row>
    <row r="55" spans="2:10" x14ac:dyDescent="0.25">
      <c r="B55" s="183"/>
      <c r="C55" s="215" t="s">
        <v>60</v>
      </c>
      <c r="D55" s="214">
        <v>10574.850225782702</v>
      </c>
      <c r="E55" s="214">
        <v>10238.683003362899</v>
      </c>
      <c r="F55" s="112">
        <f t="shared" si="0"/>
        <v>-3.1789312873688594E-2</v>
      </c>
      <c r="G55" s="214">
        <v>30778.380554804</v>
      </c>
      <c r="H55" s="214">
        <v>31596.615468101503</v>
      </c>
      <c r="I55" s="112">
        <f t="shared" si="1"/>
        <v>2.658472923357854E-2</v>
      </c>
      <c r="J55" s="113">
        <f t="shared" si="5"/>
        <v>3.5920600040274892E-2</v>
      </c>
    </row>
    <row r="56" spans="2:10" x14ac:dyDescent="0.25">
      <c r="B56" s="183"/>
      <c r="C56" s="215" t="s">
        <v>122</v>
      </c>
      <c r="D56" s="214">
        <v>10984.392164901401</v>
      </c>
      <c r="E56" s="214">
        <v>10061.0563215235</v>
      </c>
      <c r="F56" s="112">
        <f t="shared" si="0"/>
        <v>-8.405889279228855E-2</v>
      </c>
      <c r="G56" s="214">
        <v>27381.665283354901</v>
      </c>
      <c r="H56" s="214">
        <v>30825.135532360204</v>
      </c>
      <c r="I56" s="112">
        <f t="shared" si="1"/>
        <v>0.12575824784106759</v>
      </c>
      <c r="J56" s="113">
        <f t="shared" si="5"/>
        <v>3.5043543374543178E-2</v>
      </c>
    </row>
    <row r="57" spans="2:10" x14ac:dyDescent="0.25">
      <c r="B57" s="183"/>
      <c r="C57" s="215" t="s">
        <v>53</v>
      </c>
      <c r="D57" s="214">
        <v>11672.7664902447</v>
      </c>
      <c r="E57" s="214">
        <v>11222.3786217169</v>
      </c>
      <c r="F57" s="112">
        <f t="shared" si="0"/>
        <v>-3.8584500846838919E-2</v>
      </c>
      <c r="G57" s="214">
        <v>31896.526621234898</v>
      </c>
      <c r="H57" s="214">
        <v>27482.700964664698</v>
      </c>
      <c r="I57" s="112">
        <f t="shared" si="1"/>
        <v>-0.13837950786878861</v>
      </c>
      <c r="J57" s="113">
        <f t="shared" si="5"/>
        <v>3.1243697932610046E-2</v>
      </c>
    </row>
    <row r="58" spans="2:10" x14ac:dyDescent="0.2">
      <c r="B58" s="183"/>
      <c r="C58" s="216" t="s">
        <v>140</v>
      </c>
      <c r="D58" s="214">
        <v>112537.07432587414</v>
      </c>
      <c r="E58" s="214">
        <v>109818.78245449885</v>
      </c>
      <c r="F58" s="116">
        <f t="shared" si="0"/>
        <v>-2.4154634263051099E-2</v>
      </c>
      <c r="G58" s="214">
        <v>338723.84830239951</v>
      </c>
      <c r="H58" s="214">
        <v>322612.79471697449</v>
      </c>
      <c r="I58" s="114">
        <f t="shared" si="1"/>
        <v>-4.756397775406028E-2</v>
      </c>
      <c r="J58" s="123">
        <f t="shared" si="5"/>
        <v>0.36676223054975343</v>
      </c>
    </row>
    <row r="59" spans="2:10" x14ac:dyDescent="0.25">
      <c r="C59" s="75" t="s">
        <v>62</v>
      </c>
      <c r="D59" s="106">
        <f>SUM(D60:D70)</f>
        <v>25325.633509676998</v>
      </c>
      <c r="E59" s="97">
        <f>SUM(E60:E70)</f>
        <v>23605.320676988998</v>
      </c>
      <c r="F59" s="107">
        <f t="shared" si="0"/>
        <v>-6.7927731483228768E-2</v>
      </c>
      <c r="G59" s="106">
        <f>SUM(G60:G70)</f>
        <v>70730.021700089899</v>
      </c>
      <c r="H59" s="97">
        <f>SUM(H60:H70)</f>
        <v>67925.082693915989</v>
      </c>
      <c r="I59" s="107">
        <f t="shared" si="1"/>
        <v>-3.9656979296110485E-2</v>
      </c>
      <c r="J59" s="108">
        <f>SUM(J60:J70)</f>
        <v>1</v>
      </c>
    </row>
    <row r="60" spans="2:10" x14ac:dyDescent="0.25">
      <c r="B60" s="183"/>
      <c r="C60" s="217" t="s">
        <v>51</v>
      </c>
      <c r="D60" s="214">
        <v>2408.5966255109997</v>
      </c>
      <c r="E60" s="214">
        <v>2663.7530324059999</v>
      </c>
      <c r="F60" s="109">
        <f t="shared" si="0"/>
        <v>0.10593571550855553</v>
      </c>
      <c r="G60" s="214">
        <v>7117.0604569929992</v>
      </c>
      <c r="H60" s="214">
        <v>6260.9214049040002</v>
      </c>
      <c r="I60" s="109">
        <f t="shared" si="1"/>
        <v>-0.1202939130926988</v>
      </c>
      <c r="J60" s="111">
        <f>(H60/$H$59)</f>
        <v>9.2173923926113788E-2</v>
      </c>
    </row>
    <row r="61" spans="2:10" x14ac:dyDescent="0.25">
      <c r="B61" s="183"/>
      <c r="C61" s="218" t="s">
        <v>59</v>
      </c>
      <c r="D61" s="214">
        <v>1989.6672619000001</v>
      </c>
      <c r="E61" s="214">
        <v>1878.1907721999999</v>
      </c>
      <c r="F61" s="112">
        <f t="shared" si="0"/>
        <v>-5.6027704649242498E-2</v>
      </c>
      <c r="G61" s="214">
        <v>4683.1858232000004</v>
      </c>
      <c r="H61" s="214">
        <v>5624.4761430999997</v>
      </c>
      <c r="I61" s="112">
        <f t="shared" si="1"/>
        <v>0.20099358757812855</v>
      </c>
      <c r="J61" s="113">
        <f t="shared" ref="J61:J70" si="6">(H61/$H$59)</f>
        <v>8.2804111824861734E-2</v>
      </c>
    </row>
    <row r="62" spans="2:10" x14ac:dyDescent="0.25">
      <c r="B62" s="183"/>
      <c r="C62" s="218" t="s">
        <v>53</v>
      </c>
      <c r="D62" s="214">
        <v>2277.7880359999999</v>
      </c>
      <c r="E62" s="214">
        <v>2127.034208</v>
      </c>
      <c r="F62" s="112">
        <f t="shared" si="0"/>
        <v>-6.618430934633282E-2</v>
      </c>
      <c r="G62" s="214">
        <v>6177.3149009999997</v>
      </c>
      <c r="H62" s="214">
        <v>5291.2049989999996</v>
      </c>
      <c r="I62" s="112">
        <f t="shared" si="1"/>
        <v>-0.14344580391337253</v>
      </c>
      <c r="J62" s="113">
        <f t="shared" si="6"/>
        <v>7.7897660027051091E-2</v>
      </c>
    </row>
    <row r="63" spans="2:10" x14ac:dyDescent="0.25">
      <c r="B63" s="183"/>
      <c r="C63" s="218" t="s">
        <v>63</v>
      </c>
      <c r="D63" s="214">
        <v>1860.295239</v>
      </c>
      <c r="E63" s="214">
        <v>1758.7500246999998</v>
      </c>
      <c r="F63" s="112">
        <f t="shared" si="0"/>
        <v>-5.4585536839080316E-2</v>
      </c>
      <c r="G63" s="214">
        <v>5398.1107362000002</v>
      </c>
      <c r="H63" s="214">
        <v>5044.6658871</v>
      </c>
      <c r="I63" s="112">
        <f t="shared" si="1"/>
        <v>-6.5475657386904182E-2</v>
      </c>
      <c r="J63" s="113">
        <f t="shared" si="6"/>
        <v>7.4268086059346788E-2</v>
      </c>
    </row>
    <row r="64" spans="2:10" x14ac:dyDescent="0.25">
      <c r="B64" s="183"/>
      <c r="C64" s="218" t="s">
        <v>55</v>
      </c>
      <c r="D64" s="214">
        <v>2168.9962894400001</v>
      </c>
      <c r="E64" s="214">
        <v>1571.959508852</v>
      </c>
      <c r="F64" s="112">
        <f t="shared" si="0"/>
        <v>-0.27525947531341577</v>
      </c>
      <c r="G64" s="214">
        <v>6382.4036182950003</v>
      </c>
      <c r="H64" s="214">
        <v>4515.4496444719998</v>
      </c>
      <c r="I64" s="112">
        <f t="shared" si="1"/>
        <v>-0.29251581151518274</v>
      </c>
      <c r="J64" s="113">
        <f t="shared" si="6"/>
        <v>6.6476910522428351E-2</v>
      </c>
    </row>
    <row r="65" spans="2:10" x14ac:dyDescent="0.25">
      <c r="B65" s="183"/>
      <c r="C65" s="218" t="s">
        <v>65</v>
      </c>
      <c r="D65" s="214">
        <v>1491.061185</v>
      </c>
      <c r="E65" s="214">
        <v>1250.3990740000002</v>
      </c>
      <c r="F65" s="112">
        <f t="shared" si="0"/>
        <v>-0.16140324315396881</v>
      </c>
      <c r="G65" s="214">
        <v>4060.9554199999998</v>
      </c>
      <c r="H65" s="214">
        <v>3741.9855459999999</v>
      </c>
      <c r="I65" s="112">
        <f t="shared" si="1"/>
        <v>-7.8545524639125411E-2</v>
      </c>
      <c r="J65" s="113">
        <f t="shared" si="6"/>
        <v>5.5089893123312569E-2</v>
      </c>
    </row>
    <row r="66" spans="2:10" x14ac:dyDescent="0.25">
      <c r="B66" s="183"/>
      <c r="C66" s="218" t="s">
        <v>138</v>
      </c>
      <c r="D66" s="214">
        <v>1338.2819582999998</v>
      </c>
      <c r="E66" s="214">
        <v>1115.6915653000001</v>
      </c>
      <c r="F66" s="112">
        <f t="shared" si="0"/>
        <v>-0.16632548292196442</v>
      </c>
      <c r="G66" s="214">
        <v>3520.4161170999996</v>
      </c>
      <c r="H66" s="214">
        <v>3319.2988169</v>
      </c>
      <c r="I66" s="112">
        <f t="shared" si="1"/>
        <v>-5.7128843156664465E-2</v>
      </c>
      <c r="J66" s="113">
        <f t="shared" si="6"/>
        <v>4.8867055957184838E-2</v>
      </c>
    </row>
    <row r="67" spans="2:10" x14ac:dyDescent="0.25">
      <c r="B67" s="183"/>
      <c r="C67" s="218" t="s">
        <v>64</v>
      </c>
      <c r="D67" s="214">
        <v>1578.3555770999999</v>
      </c>
      <c r="E67" s="214">
        <v>1164.447897</v>
      </c>
      <c r="F67" s="112">
        <f t="shared" si="0"/>
        <v>-0.26223981852080214</v>
      </c>
      <c r="G67" s="214">
        <v>4516.8510292000001</v>
      </c>
      <c r="H67" s="214">
        <v>3207.0852052</v>
      </c>
      <c r="I67" s="112">
        <f t="shared" si="1"/>
        <v>-0.28997321707817725</v>
      </c>
      <c r="J67" s="113">
        <f t="shared" si="6"/>
        <v>4.7215035712974654E-2</v>
      </c>
    </row>
    <row r="68" spans="2:10" x14ac:dyDescent="0.25">
      <c r="B68" s="183"/>
      <c r="C68" s="218" t="s">
        <v>80</v>
      </c>
      <c r="D68" s="214">
        <v>697.62642099999994</v>
      </c>
      <c r="E68" s="214">
        <v>1118.5160699999999</v>
      </c>
      <c r="F68" s="112">
        <f t="shared" si="0"/>
        <v>0.60331666968215358</v>
      </c>
      <c r="G68" s="214">
        <v>2371.4222399999999</v>
      </c>
      <c r="H68" s="214">
        <v>3068.8286230000003</v>
      </c>
      <c r="I68" s="112">
        <f t="shared" si="1"/>
        <v>0.29408781415493535</v>
      </c>
      <c r="J68" s="193">
        <f t="shared" si="6"/>
        <v>4.517960819906184E-2</v>
      </c>
    </row>
    <row r="69" spans="2:10" x14ac:dyDescent="0.25">
      <c r="B69" s="183"/>
      <c r="C69" s="218" t="s">
        <v>60</v>
      </c>
      <c r="D69" s="214">
        <v>1311.4088230360001</v>
      </c>
      <c r="E69" s="214">
        <v>1075.173606761</v>
      </c>
      <c r="F69" s="112">
        <f t="shared" si="0"/>
        <v>-0.18013849847990163</v>
      </c>
      <c r="G69" s="214">
        <v>3702.4412672870003</v>
      </c>
      <c r="H69" s="214">
        <v>3037.2134935899999</v>
      </c>
      <c r="I69" s="112">
        <f t="shared" si="1"/>
        <v>-0.17967274175950737</v>
      </c>
      <c r="J69" s="193">
        <f t="shared" si="6"/>
        <v>4.4714167037179647E-2</v>
      </c>
    </row>
    <row r="70" spans="2:10" x14ac:dyDescent="0.2">
      <c r="B70" s="183"/>
      <c r="C70" s="219" t="s">
        <v>141</v>
      </c>
      <c r="D70" s="214">
        <v>8203.5560933899997</v>
      </c>
      <c r="E70" s="214">
        <v>7881.404917769999</v>
      </c>
      <c r="F70" s="121">
        <f t="shared" si="0"/>
        <v>-3.9269698646855526E-2</v>
      </c>
      <c r="G70" s="214">
        <v>22799.860090814898</v>
      </c>
      <c r="H70" s="214">
        <v>24813.952930649997</v>
      </c>
      <c r="I70" s="114">
        <f t="shared" si="1"/>
        <v>8.8337947330058036E-2</v>
      </c>
      <c r="J70" s="123">
        <f t="shared" si="6"/>
        <v>0.36531354761048485</v>
      </c>
    </row>
    <row r="71" spans="2:10" x14ac:dyDescent="0.25">
      <c r="C71" s="75" t="s">
        <v>67</v>
      </c>
      <c r="D71" s="106">
        <f>SUM(D72:D73)</f>
        <v>1218023.8837799998</v>
      </c>
      <c r="E71" s="97">
        <f>SUM(E72:E73)</f>
        <v>1254443.352592</v>
      </c>
      <c r="F71" s="107">
        <f t="shared" si="0"/>
        <v>2.9900455399098188E-2</v>
      </c>
      <c r="G71" s="97">
        <f>SUM(G72:G73)</f>
        <v>3501572.6128359996</v>
      </c>
      <c r="H71" s="97">
        <f>SUM(H72:H73)</f>
        <v>3568874.68879</v>
      </c>
      <c r="I71" s="107">
        <f t="shared" si="1"/>
        <v>1.9220528429793451E-2</v>
      </c>
      <c r="J71" s="108">
        <f>SUM(J72:J73)</f>
        <v>1</v>
      </c>
    </row>
    <row r="72" spans="2:10" x14ac:dyDescent="0.25">
      <c r="B72" s="183"/>
      <c r="C72" s="217" t="s">
        <v>68</v>
      </c>
      <c r="D72" s="214">
        <v>1195254.8953799999</v>
      </c>
      <c r="E72" s="214">
        <v>1232273.6416</v>
      </c>
      <c r="F72" s="109">
        <f t="shared" si="0"/>
        <v>3.0971424056147414E-2</v>
      </c>
      <c r="G72" s="214">
        <v>3446586.7315799994</v>
      </c>
      <c r="H72" s="214">
        <v>3505396.2652000003</v>
      </c>
      <c r="I72" s="109">
        <f t="shared" si="1"/>
        <v>1.7063123083817217E-2</v>
      </c>
      <c r="J72" s="111">
        <f>(H72/$H$71)</f>
        <v>0.98221332237038517</v>
      </c>
    </row>
    <row r="73" spans="2:10" x14ac:dyDescent="0.25">
      <c r="B73" s="183"/>
      <c r="C73" s="222" t="s">
        <v>54</v>
      </c>
      <c r="D73" s="214">
        <v>22768.988399999998</v>
      </c>
      <c r="E73" s="214">
        <v>22169.710992</v>
      </c>
      <c r="F73" s="114">
        <f t="shared" si="0"/>
        <v>-2.6319896056515104E-2</v>
      </c>
      <c r="G73" s="214">
        <v>54985.881255999993</v>
      </c>
      <c r="H73" s="214">
        <v>63478.423589999999</v>
      </c>
      <c r="I73" s="114">
        <f t="shared" si="1"/>
        <v>0.15444950849220607</v>
      </c>
      <c r="J73" s="115">
        <f>(H73/$H$71)</f>
        <v>1.778667762961492E-2</v>
      </c>
    </row>
    <row r="74" spans="2:10" x14ac:dyDescent="0.25">
      <c r="B74" s="183"/>
      <c r="C74" s="185" t="s">
        <v>69</v>
      </c>
      <c r="D74" s="97">
        <f>SUM(D75:D75)</f>
        <v>2922.6831999999999</v>
      </c>
      <c r="E74" s="97">
        <f>SUM(E75:E75)</f>
        <v>2743.6943419999998</v>
      </c>
      <c r="F74" s="107">
        <f t="shared" si="0"/>
        <v>-6.124127924641308E-2</v>
      </c>
      <c r="G74" s="106">
        <f>SUM(G75:G75)</f>
        <v>8057.7072399999997</v>
      </c>
      <c r="H74" s="97">
        <f>SUM(H75:H75)</f>
        <v>7992.7976840000001</v>
      </c>
      <c r="I74" s="107">
        <f t="shared" si="1"/>
        <v>-8.0555862935521114E-3</v>
      </c>
      <c r="J74" s="108">
        <f>SUM(J75:J75)</f>
        <v>1</v>
      </c>
    </row>
    <row r="75" spans="2:10" x14ac:dyDescent="0.25">
      <c r="C75" s="213" t="s">
        <v>70</v>
      </c>
      <c r="D75" s="223">
        <v>2922.6831999999999</v>
      </c>
      <c r="E75" s="223">
        <v>2743.6943419999998</v>
      </c>
      <c r="F75" s="133">
        <f t="shared" ref="F75:F88" si="7">(E75-D75)/D75</f>
        <v>-6.124127924641308E-2</v>
      </c>
      <c r="G75" s="224">
        <v>8057.7072399999997</v>
      </c>
      <c r="H75" s="223">
        <v>7992.7976840000001</v>
      </c>
      <c r="I75" s="109">
        <f t="shared" ref="I75:I88" si="8">(H75-G75)/G75</f>
        <v>-8.0555862935521114E-3</v>
      </c>
      <c r="J75" s="111">
        <f>(H75/$H$74)</f>
        <v>1</v>
      </c>
    </row>
    <row r="76" spans="2:10" x14ac:dyDescent="0.25">
      <c r="C76" s="75" t="s">
        <v>71</v>
      </c>
      <c r="D76" s="106">
        <f>SUM(D77:D81)</f>
        <v>4034.7399693068</v>
      </c>
      <c r="E76" s="97">
        <f>SUM(E77:E81)</f>
        <v>3507.1413508699998</v>
      </c>
      <c r="F76" s="107">
        <f t="shared" si="7"/>
        <v>-0.13076397052855079</v>
      </c>
      <c r="G76" s="106">
        <f>SUM(G77:G81)</f>
        <v>10714.430473104101</v>
      </c>
      <c r="H76" s="97">
        <f>SUM(H77:H81)</f>
        <v>9723.4797195119991</v>
      </c>
      <c r="I76" s="107">
        <f t="shared" si="8"/>
        <v>-9.2487487419852701E-2</v>
      </c>
      <c r="J76" s="108">
        <f>SUM(J77:J81)</f>
        <v>1</v>
      </c>
    </row>
    <row r="77" spans="2:10" x14ac:dyDescent="0.25">
      <c r="B77" s="183"/>
      <c r="C77" s="213" t="s">
        <v>32</v>
      </c>
      <c r="D77" s="99">
        <v>1125.5636011000001</v>
      </c>
      <c r="E77" s="99">
        <v>1302.8703410999999</v>
      </c>
      <c r="F77" s="109">
        <f t="shared" si="7"/>
        <v>0.1575270733939157</v>
      </c>
      <c r="G77" s="98">
        <v>3498.0794330000003</v>
      </c>
      <c r="H77" s="99">
        <v>3649.6466701999998</v>
      </c>
      <c r="I77" s="109">
        <f t="shared" si="8"/>
        <v>4.3328700820842524E-2</v>
      </c>
      <c r="J77" s="111">
        <f>(H77/$H$76)</f>
        <v>0.37534368101537707</v>
      </c>
    </row>
    <row r="78" spans="2:10" x14ac:dyDescent="0.25">
      <c r="B78" s="183"/>
      <c r="C78" s="215" t="s">
        <v>72</v>
      </c>
      <c r="D78" s="101">
        <v>1032.9720808</v>
      </c>
      <c r="E78" s="101">
        <v>1173.487545</v>
      </c>
      <c r="F78" s="112">
        <f t="shared" si="7"/>
        <v>0.13603026336508126</v>
      </c>
      <c r="G78" s="100">
        <v>2656.7095850999999</v>
      </c>
      <c r="H78" s="101">
        <v>2732.5870005000002</v>
      </c>
      <c r="I78" s="112">
        <f t="shared" si="8"/>
        <v>2.8560673633864345E-2</v>
      </c>
      <c r="J78" s="113">
        <f t="shared" ref="J78:J81" si="9">(H78/$H$76)</f>
        <v>0.28102974236852141</v>
      </c>
    </row>
    <row r="79" spans="2:10" x14ac:dyDescent="0.25">
      <c r="B79" s="183"/>
      <c r="C79" s="215" t="s">
        <v>35</v>
      </c>
      <c r="D79" s="101">
        <v>430.32419830679999</v>
      </c>
      <c r="E79" s="101">
        <v>439.53295752000002</v>
      </c>
      <c r="F79" s="112">
        <f t="shared" si="7"/>
        <v>2.1399584893049977E-2</v>
      </c>
      <c r="G79" s="128">
        <v>1243.9679431940999</v>
      </c>
      <c r="H79" s="129">
        <v>1491.0696901819999</v>
      </c>
      <c r="I79" s="112">
        <f t="shared" si="8"/>
        <v>0.19863996362593084</v>
      </c>
      <c r="J79" s="113">
        <f t="shared" si="9"/>
        <v>0.1533473337934656</v>
      </c>
    </row>
    <row r="80" spans="2:10" x14ac:dyDescent="0.25">
      <c r="B80" s="183"/>
      <c r="C80" s="215" t="s">
        <v>33</v>
      </c>
      <c r="D80" s="103">
        <v>274.74642799999998</v>
      </c>
      <c r="E80" s="101">
        <v>175.938974</v>
      </c>
      <c r="F80" s="112">
        <f t="shared" si="7"/>
        <v>-0.35963144168702343</v>
      </c>
      <c r="G80" s="128">
        <v>675.77678399999991</v>
      </c>
      <c r="H80" s="129">
        <v>691.72157900000002</v>
      </c>
      <c r="I80" s="112">
        <f t="shared" si="8"/>
        <v>2.3594765871684808E-2</v>
      </c>
      <c r="J80" s="113">
        <f t="shared" si="9"/>
        <v>7.1139303927577488E-2</v>
      </c>
    </row>
    <row r="81" spans="2:10" x14ac:dyDescent="0.25">
      <c r="B81" s="183"/>
      <c r="C81" s="215" t="s">
        <v>119</v>
      </c>
      <c r="D81" s="143">
        <v>1171.1336610999999</v>
      </c>
      <c r="E81" s="103">
        <v>415.31153325000002</v>
      </c>
      <c r="F81" s="112">
        <f t="shared" si="7"/>
        <v>-0.64537648686494575</v>
      </c>
      <c r="G81" s="100">
        <v>2639.8967278099999</v>
      </c>
      <c r="H81" s="101">
        <v>1158.4547796299998</v>
      </c>
      <c r="I81" s="112">
        <f t="shared" si="8"/>
        <v>-0.56117420525346517</v>
      </c>
      <c r="J81" s="113">
        <f t="shared" si="9"/>
        <v>0.11913993889505847</v>
      </c>
    </row>
    <row r="82" spans="2:10" x14ac:dyDescent="0.25">
      <c r="B82" s="183"/>
      <c r="C82" s="75" t="s">
        <v>73</v>
      </c>
      <c r="D82" s="186">
        <f>SUM(D83:D89)</f>
        <v>1854.5507202000001</v>
      </c>
      <c r="E82" s="97">
        <f>SUM(E83:E89)</f>
        <v>1923.9981766000003</v>
      </c>
      <c r="F82" s="107">
        <f t="shared" si="7"/>
        <v>3.7447051538450661E-2</v>
      </c>
      <c r="G82" s="106">
        <f>SUM(G83:G89)</f>
        <v>6488.7815324999992</v>
      </c>
      <c r="H82" s="97">
        <f>SUM(H83:H89)</f>
        <v>5699.8944036000012</v>
      </c>
      <c r="I82" s="107">
        <f t="shared" si="8"/>
        <v>-0.12157708268474489</v>
      </c>
      <c r="J82" s="108">
        <f>SUM(J83:J89)</f>
        <v>0.99999999999999989</v>
      </c>
    </row>
    <row r="83" spans="2:10" x14ac:dyDescent="0.25">
      <c r="C83" s="215" t="s">
        <v>39</v>
      </c>
      <c r="D83" s="131">
        <v>1167.4451403</v>
      </c>
      <c r="E83" s="132">
        <v>1332.6027624000001</v>
      </c>
      <c r="F83" s="133">
        <f t="shared" si="7"/>
        <v>0.14146927885413035</v>
      </c>
      <c r="G83" s="98">
        <v>4150.6847079999998</v>
      </c>
      <c r="H83" s="101">
        <v>3471.2642947000004</v>
      </c>
      <c r="I83" s="110">
        <f t="shared" si="8"/>
        <v>-0.16368875525295606</v>
      </c>
      <c r="J83" s="111">
        <f>(H83/$H$82)</f>
        <v>0.60900501814692942</v>
      </c>
    </row>
    <row r="84" spans="2:10" x14ac:dyDescent="0.25">
      <c r="C84" s="215" t="s">
        <v>36</v>
      </c>
      <c r="D84" s="134">
        <v>498.462965</v>
      </c>
      <c r="E84" s="132">
        <v>455.32995</v>
      </c>
      <c r="F84" s="110">
        <f t="shared" si="7"/>
        <v>-8.6532035534475471E-2</v>
      </c>
      <c r="G84" s="100">
        <v>1784.967772</v>
      </c>
      <c r="H84" s="101">
        <v>1791.075644</v>
      </c>
      <c r="I84" s="110">
        <f t="shared" si="8"/>
        <v>3.4218388117766211E-3</v>
      </c>
      <c r="J84" s="113">
        <f t="shared" ref="J84:J88" si="10">(H84/$H$82)</f>
        <v>0.31422961851166453</v>
      </c>
    </row>
    <row r="85" spans="2:10" x14ac:dyDescent="0.25">
      <c r="C85" s="215" t="s">
        <v>66</v>
      </c>
      <c r="D85" s="134">
        <v>119.65204</v>
      </c>
      <c r="E85" s="132">
        <v>87.023861799999992</v>
      </c>
      <c r="F85" s="110">
        <f t="shared" si="7"/>
        <v>-0.27269220148691159</v>
      </c>
      <c r="G85" s="100">
        <v>368.81969100000003</v>
      </c>
      <c r="H85" s="101">
        <v>292.15533679999999</v>
      </c>
      <c r="I85" s="110">
        <f t="shared" si="8"/>
        <v>-0.20786404866870312</v>
      </c>
      <c r="J85" s="113">
        <f t="shared" si="10"/>
        <v>5.1256271803119258E-2</v>
      </c>
    </row>
    <row r="86" spans="2:10" x14ac:dyDescent="0.25">
      <c r="C86" s="215" t="s">
        <v>59</v>
      </c>
      <c r="D86" s="134">
        <v>63.997304899999996</v>
      </c>
      <c r="E86" s="132">
        <v>45.318284400000003</v>
      </c>
      <c r="F86" s="110">
        <f t="shared" si="7"/>
        <v>-0.29187198631547362</v>
      </c>
      <c r="G86" s="100">
        <v>174.63380649999999</v>
      </c>
      <c r="H86" s="101">
        <v>133.03520210000002</v>
      </c>
      <c r="I86" s="110">
        <f t="shared" si="8"/>
        <v>-0.23820476248967276</v>
      </c>
      <c r="J86" s="113">
        <f t="shared" si="10"/>
        <v>2.333994152873713E-2</v>
      </c>
    </row>
    <row r="87" spans="2:10" x14ac:dyDescent="0.25">
      <c r="C87" s="215" t="s">
        <v>74</v>
      </c>
      <c r="D87" s="139">
        <v>3.7426699999999999</v>
      </c>
      <c r="E87" s="132">
        <v>3.3783180000000002</v>
      </c>
      <c r="F87" s="110">
        <f t="shared" si="7"/>
        <v>-9.7350821739560209E-2</v>
      </c>
      <c r="G87" s="100">
        <v>3.7426699999999999</v>
      </c>
      <c r="H87" s="101">
        <v>11.055126</v>
      </c>
      <c r="I87" s="110">
        <f t="shared" si="8"/>
        <v>1.9538073086860448</v>
      </c>
      <c r="J87" s="113">
        <f t="shared" si="10"/>
        <v>1.9395317206258563E-3</v>
      </c>
    </row>
    <row r="88" spans="2:10" x14ac:dyDescent="0.25">
      <c r="C88" s="215" t="s">
        <v>76</v>
      </c>
      <c r="D88" s="134">
        <v>1.2505999999999999</v>
      </c>
      <c r="E88" s="135">
        <v>0.34499999999999997</v>
      </c>
      <c r="F88" s="110">
        <f t="shared" si="7"/>
        <v>-0.72413241644010873</v>
      </c>
      <c r="G88" s="100">
        <v>3.2549000000000001</v>
      </c>
      <c r="H88" s="101">
        <v>1.3088</v>
      </c>
      <c r="I88" s="110">
        <f t="shared" si="8"/>
        <v>-0.59789855295093552</v>
      </c>
      <c r="J88" s="193">
        <f t="shared" si="10"/>
        <v>2.2961828892362879E-4</v>
      </c>
    </row>
    <row r="89" spans="2:10" x14ac:dyDescent="0.25">
      <c r="C89" s="215" t="s">
        <v>77</v>
      </c>
      <c r="D89" s="139">
        <v>0</v>
      </c>
      <c r="E89" s="140">
        <v>0</v>
      </c>
      <c r="F89" s="110" t="s">
        <v>43</v>
      </c>
      <c r="G89" s="100">
        <v>2.6779850000000001</v>
      </c>
      <c r="H89" s="101">
        <v>0</v>
      </c>
      <c r="I89" s="110" t="s">
        <v>43</v>
      </c>
      <c r="J89" s="113" t="s">
        <v>43</v>
      </c>
    </row>
    <row r="90" spans="2:10" x14ac:dyDescent="0.25">
      <c r="C90" s="75" t="s">
        <v>78</v>
      </c>
      <c r="D90" s="106">
        <f>SUM(D91:D95)</f>
        <v>25.131314</v>
      </c>
      <c r="E90" s="97">
        <f>SUM(E91:E95)</f>
        <v>24.4855892</v>
      </c>
      <c r="F90" s="107">
        <f t="shared" ref="F90:F95" si="11">(E90-D90)/D90</f>
        <v>-2.5694032552376688E-2</v>
      </c>
      <c r="G90" s="106">
        <f>SUM(G91:G95)</f>
        <v>61.696999800000007</v>
      </c>
      <c r="H90" s="97">
        <f>SUM(H91:H95)</f>
        <v>60.780188600000002</v>
      </c>
      <c r="I90" s="107">
        <f t="shared" ref="I90:I95" si="12">(H90-G90)/G90</f>
        <v>-1.4859899232896004E-2</v>
      </c>
      <c r="J90" s="108">
        <f>SUM(J91:J95)</f>
        <v>1</v>
      </c>
    </row>
    <row r="91" spans="2:10" x14ac:dyDescent="0.25">
      <c r="B91" s="183"/>
      <c r="C91" s="213" t="s">
        <v>53</v>
      </c>
      <c r="D91" s="132">
        <v>18.91113</v>
      </c>
      <c r="E91" s="136">
        <v>15.641504000000001</v>
      </c>
      <c r="F91" s="110">
        <f t="shared" si="11"/>
        <v>-0.17289426914203429</v>
      </c>
      <c r="G91" s="131">
        <v>43.968510000000002</v>
      </c>
      <c r="H91" s="132">
        <v>36.397040000000004</v>
      </c>
      <c r="I91" s="110">
        <f t="shared" si="12"/>
        <v>-0.17220210555236004</v>
      </c>
      <c r="J91" s="111">
        <f>(H91/$H$90)</f>
        <v>0.59883065252614243</v>
      </c>
    </row>
    <row r="92" spans="2:10" x14ac:dyDescent="0.25">
      <c r="B92" s="183"/>
      <c r="C92" s="215" t="s">
        <v>79</v>
      </c>
      <c r="D92" s="135">
        <v>4.9111140000000004</v>
      </c>
      <c r="E92" s="135">
        <v>5.4995909999999997</v>
      </c>
      <c r="F92" s="110">
        <f t="shared" si="11"/>
        <v>0.11982556299853744</v>
      </c>
      <c r="G92" s="134">
        <v>13.5309858</v>
      </c>
      <c r="H92" s="132">
        <v>16.394849399999998</v>
      </c>
      <c r="I92" s="110">
        <f t="shared" si="12"/>
        <v>0.21165225079166061</v>
      </c>
      <c r="J92" s="113">
        <f t="shared" ref="J92:J95" si="13">(H92/$H$90)</f>
        <v>0.26974002183336426</v>
      </c>
    </row>
    <row r="93" spans="2:10" x14ac:dyDescent="0.25">
      <c r="B93" s="183"/>
      <c r="C93" s="215" t="s">
        <v>80</v>
      </c>
      <c r="D93" s="132">
        <v>0.78185400000000005</v>
      </c>
      <c r="E93" s="132">
        <v>2.478084</v>
      </c>
      <c r="F93" s="110">
        <f t="shared" si="11"/>
        <v>2.1694971183878318</v>
      </c>
      <c r="G93" s="134">
        <v>2.65029</v>
      </c>
      <c r="H93" s="132">
        <v>5.011533</v>
      </c>
      <c r="I93" s="110">
        <f t="shared" si="12"/>
        <v>0.890937595508416</v>
      </c>
      <c r="J93" s="113">
        <f t="shared" si="13"/>
        <v>8.2453396664846801E-2</v>
      </c>
    </row>
    <row r="94" spans="2:10" x14ac:dyDescent="0.25">
      <c r="B94" s="183"/>
      <c r="C94" s="215" t="s">
        <v>66</v>
      </c>
      <c r="D94" s="207">
        <v>0.35821599999999998</v>
      </c>
      <c r="E94" s="132">
        <v>0.83191020000000004</v>
      </c>
      <c r="F94" s="110">
        <f t="shared" si="11"/>
        <v>1.3223703017173998</v>
      </c>
      <c r="G94" s="134">
        <v>1.102414</v>
      </c>
      <c r="H94" s="132">
        <v>2.8060662000000001</v>
      </c>
      <c r="I94" s="110">
        <f t="shared" si="12"/>
        <v>1.5453833133468915</v>
      </c>
      <c r="J94" s="113">
        <f t="shared" si="13"/>
        <v>4.6167448055598824E-2</v>
      </c>
    </row>
    <row r="95" spans="2:10" x14ac:dyDescent="0.25">
      <c r="B95" s="183"/>
      <c r="C95" s="215" t="s">
        <v>76</v>
      </c>
      <c r="D95" s="135">
        <v>0.16900000000000001</v>
      </c>
      <c r="E95" s="208">
        <v>3.4500000000000003E-2</v>
      </c>
      <c r="F95" s="110">
        <f t="shared" si="11"/>
        <v>-0.79585798816568043</v>
      </c>
      <c r="G95" s="181">
        <v>0.44480000000000008</v>
      </c>
      <c r="H95" s="135">
        <v>0.17069999999999999</v>
      </c>
      <c r="I95" s="110">
        <f t="shared" si="12"/>
        <v>-0.6162320143884894</v>
      </c>
      <c r="J95" s="113">
        <f t="shared" si="13"/>
        <v>2.8084809200476877E-3</v>
      </c>
    </row>
    <row r="96" spans="2:10" x14ac:dyDescent="0.25">
      <c r="B96" s="183"/>
      <c r="C96" s="75" t="s">
        <v>81</v>
      </c>
      <c r="D96" s="97">
        <f>SUM(D97:D99)</f>
        <v>28.990872000000003</v>
      </c>
      <c r="E96" s="97">
        <f>SUM(E97:E99)</f>
        <v>22.518574000000001</v>
      </c>
      <c r="F96" s="107">
        <f t="shared" ref="F96:F99" si="14">(E96-D96)/D96</f>
        <v>-0.22325296044906828</v>
      </c>
      <c r="G96" s="106">
        <f>SUM(G97:G99)</f>
        <v>85.650773999999984</v>
      </c>
      <c r="H96" s="97">
        <f>SUM(H97:H99)</f>
        <v>71.499302</v>
      </c>
      <c r="I96" s="107">
        <f t="shared" ref="I96:I105" si="15">(H96-G96)/G96</f>
        <v>-0.16522293190251833</v>
      </c>
      <c r="J96" s="108">
        <f>SUM(J97:J99)</f>
        <v>1</v>
      </c>
    </row>
    <row r="97" spans="2:10" x14ac:dyDescent="0.25">
      <c r="B97" s="183"/>
      <c r="C97" s="215" t="s">
        <v>65</v>
      </c>
      <c r="D97" s="136">
        <v>17.082198000000002</v>
      </c>
      <c r="E97" s="136">
        <v>11.422354</v>
      </c>
      <c r="F97" s="109">
        <f t="shared" si="14"/>
        <v>-0.33132996116776076</v>
      </c>
      <c r="G97" s="98">
        <v>49.347347999999997</v>
      </c>
      <c r="H97" s="99">
        <v>40.994749999999996</v>
      </c>
      <c r="I97" s="109">
        <f t="shared" si="15"/>
        <v>-0.16926133497589377</v>
      </c>
      <c r="J97" s="111">
        <f>(H97/$H$96)</f>
        <v>0.57335874411752996</v>
      </c>
    </row>
    <row r="98" spans="2:10" x14ac:dyDescent="0.25">
      <c r="B98" s="183"/>
      <c r="C98" s="215" t="s">
        <v>66</v>
      </c>
      <c r="D98" s="132">
        <v>7.8899699999999999</v>
      </c>
      <c r="E98" s="132">
        <v>5.589162</v>
      </c>
      <c r="F98" s="112">
        <f t="shared" si="14"/>
        <v>-0.29161175517777632</v>
      </c>
      <c r="G98" s="100">
        <v>24.638640000000002</v>
      </c>
      <c r="H98" s="101">
        <v>16.959552000000002</v>
      </c>
      <c r="I98" s="112">
        <f t="shared" si="15"/>
        <v>-0.31166850118350686</v>
      </c>
      <c r="J98" s="113">
        <f t="shared" ref="J98:J99" si="16">(H98/$H$96)</f>
        <v>0.23719884706007344</v>
      </c>
    </row>
    <row r="99" spans="2:10" x14ac:dyDescent="0.25">
      <c r="B99" s="183"/>
      <c r="C99" s="215" t="s">
        <v>79</v>
      </c>
      <c r="D99" s="230">
        <v>4.0187039999999996</v>
      </c>
      <c r="E99" s="230">
        <v>5.5070579999999998</v>
      </c>
      <c r="F99" s="114">
        <f t="shared" si="14"/>
        <v>0.37035671201461973</v>
      </c>
      <c r="G99" s="124">
        <v>11.664785999999999</v>
      </c>
      <c r="H99" s="125">
        <v>13.545000000000002</v>
      </c>
      <c r="I99" s="114">
        <f t="shared" si="15"/>
        <v>0.1611871833739601</v>
      </c>
      <c r="J99" s="115">
        <f t="shared" si="16"/>
        <v>0.18944240882239663</v>
      </c>
    </row>
    <row r="100" spans="2:10" x14ac:dyDescent="0.25">
      <c r="B100" s="183"/>
      <c r="C100" s="75" t="s">
        <v>82</v>
      </c>
      <c r="D100" s="97">
        <f>SUM(D101:D104)</f>
        <v>2962.1689506000002</v>
      </c>
      <c r="E100" s="97">
        <f>SUM(E101:E104)</f>
        <v>3189.6974124000003</v>
      </c>
      <c r="F100" s="107">
        <f t="shared" ref="F100:F105" si="17">(E100-D100)/D100</f>
        <v>7.6811439723555669E-2</v>
      </c>
      <c r="G100" s="106">
        <f>SUM(G101:G104)</f>
        <v>9121.8663663999996</v>
      </c>
      <c r="H100" s="97">
        <f>SUM(H101:H104)</f>
        <v>9988.0191307000005</v>
      </c>
      <c r="I100" s="107">
        <f t="shared" si="15"/>
        <v>9.4953459030099052E-2</v>
      </c>
      <c r="J100" s="108">
        <f>SUM(J101:J104)</f>
        <v>0.99999999999999989</v>
      </c>
    </row>
    <row r="101" spans="2:10" x14ac:dyDescent="0.25">
      <c r="C101" s="215" t="s">
        <v>59</v>
      </c>
      <c r="D101" s="117">
        <v>2863.7146745999999</v>
      </c>
      <c r="E101" s="118">
        <v>3114.9524163999999</v>
      </c>
      <c r="F101" s="109">
        <f t="shared" si="17"/>
        <v>8.7731415433380311E-2</v>
      </c>
      <c r="G101" s="98">
        <v>8835.3991353999991</v>
      </c>
      <c r="H101" s="99">
        <v>9740.660664699999</v>
      </c>
      <c r="I101" s="109">
        <f t="shared" si="15"/>
        <v>0.1024584758908027</v>
      </c>
      <c r="J101" s="111">
        <f>(H101/$H$100)</f>
        <v>0.97523448215675723</v>
      </c>
    </row>
    <row r="102" spans="2:10" x14ac:dyDescent="0.25">
      <c r="C102" s="215" t="s">
        <v>65</v>
      </c>
      <c r="D102" s="102">
        <v>86.545602000000002</v>
      </c>
      <c r="E102" s="103">
        <v>57.128087000000001</v>
      </c>
      <c r="F102" s="112">
        <f t="shared" si="17"/>
        <v>-0.33990768242619657</v>
      </c>
      <c r="G102" s="100">
        <v>249.61501699999999</v>
      </c>
      <c r="H102" s="101">
        <v>199.26426799999999</v>
      </c>
      <c r="I102" s="112">
        <f t="shared" si="15"/>
        <v>-0.20171362126021453</v>
      </c>
      <c r="J102" s="113">
        <f t="shared" ref="J102:J104" si="18">(H102/$H$100)</f>
        <v>1.9950329028458193E-2</v>
      </c>
    </row>
    <row r="103" spans="2:10" x14ac:dyDescent="0.25">
      <c r="C103" s="215" t="s">
        <v>66</v>
      </c>
      <c r="D103" s="102">
        <v>7.8899699999999999</v>
      </c>
      <c r="E103" s="103">
        <v>12.109851000000001</v>
      </c>
      <c r="F103" s="112">
        <f t="shared" si="17"/>
        <v>0.53484119711481803</v>
      </c>
      <c r="G103" s="100">
        <v>26.059376999999998</v>
      </c>
      <c r="H103" s="101">
        <v>34.549197999999997</v>
      </c>
      <c r="I103" s="112">
        <f t="shared" si="15"/>
        <v>0.32578756583474733</v>
      </c>
      <c r="J103" s="113">
        <f t="shared" si="18"/>
        <v>3.4590640594396468E-3</v>
      </c>
    </row>
    <row r="104" spans="2:10" x14ac:dyDescent="0.25">
      <c r="C104" s="215" t="s">
        <v>79</v>
      </c>
      <c r="D104" s="104">
        <v>4.0187039999999996</v>
      </c>
      <c r="E104" s="105">
        <v>5.5070579999999998</v>
      </c>
      <c r="F104" s="114">
        <f t="shared" si="17"/>
        <v>0.37035671201461973</v>
      </c>
      <c r="G104" s="124">
        <v>10.792836999999999</v>
      </c>
      <c r="H104" s="125">
        <v>13.545000000000002</v>
      </c>
      <c r="I104" s="114">
        <f t="shared" si="15"/>
        <v>0.25499903315504563</v>
      </c>
      <c r="J104" s="115">
        <f t="shared" si="18"/>
        <v>1.3561247553448281E-3</v>
      </c>
    </row>
    <row r="105" spans="2:10" x14ac:dyDescent="0.25">
      <c r="C105" s="78" t="s">
        <v>83</v>
      </c>
      <c r="D105" s="106">
        <f>SUM(D106:D106)</f>
        <v>2.6791360000000002</v>
      </c>
      <c r="E105" s="97">
        <f>SUM(E106:E106)</f>
        <v>5.5070579999999998</v>
      </c>
      <c r="F105" s="107">
        <f t="shared" si="17"/>
        <v>1.0555350680219293</v>
      </c>
      <c r="G105" s="106">
        <f>SUM(G106:G106)</f>
        <v>7.7765240000000002</v>
      </c>
      <c r="H105" s="97">
        <f>SUM(H106:H106)</f>
        <v>13.545000000000002</v>
      </c>
      <c r="I105" s="107">
        <f t="shared" si="15"/>
        <v>0.74178077506093998</v>
      </c>
      <c r="J105" s="108">
        <f>SUM(J106:J106)</f>
        <v>1</v>
      </c>
    </row>
    <row r="106" spans="2:10" x14ac:dyDescent="0.25">
      <c r="C106" s="215" t="s">
        <v>79</v>
      </c>
      <c r="D106" s="117">
        <v>2.6791360000000002</v>
      </c>
      <c r="E106" s="118">
        <v>5.5070579999999998</v>
      </c>
      <c r="F106" s="109">
        <f>(E106-D106)/D106</f>
        <v>1.0555350680219293</v>
      </c>
      <c r="G106" s="98">
        <v>7.7765240000000002</v>
      </c>
      <c r="H106" s="99">
        <v>13.545000000000002</v>
      </c>
      <c r="I106" s="109">
        <f>(H106-G106)/G106</f>
        <v>0.74178077506093998</v>
      </c>
      <c r="J106" s="111">
        <f>H106/H105</f>
        <v>1</v>
      </c>
    </row>
    <row r="107" spans="2:10" ht="98.25" customHeight="1" x14ac:dyDescent="0.25">
      <c r="C107" s="251" t="s">
        <v>132</v>
      </c>
      <c r="D107" s="252"/>
      <c r="E107" s="252"/>
      <c r="F107" s="252"/>
      <c r="G107" s="252"/>
      <c r="H107" s="252"/>
      <c r="I107" s="252"/>
      <c r="J107" s="253"/>
    </row>
  </sheetData>
  <mergeCells count="5">
    <mergeCell ref="C3:J3"/>
    <mergeCell ref="B4:K4"/>
    <mergeCell ref="D8:F8"/>
    <mergeCell ref="G8:J8"/>
    <mergeCell ref="C107:J107"/>
  </mergeCells>
  <printOptions horizontalCentered="1" verticalCentered="1"/>
  <pageMargins left="0" right="0" top="0" bottom="0" header="0.31496062992125984" footer="0.31496062992125984"/>
  <pageSetup paperSize="9" scale="47" orientation="portrait" r:id="rId1"/>
  <ignoredErrors>
    <ignoredError sqref="F11 I11:I68 F76:F79 F81:F86 I76:I86 F95 F88 I70:I75 F23:F75 I90:I95 F90:F91 I88 F96:F105 I96:I10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1"/>
  <sheetViews>
    <sheetView showGridLines="0" view="pageBreakPreview" zoomScaleNormal="100" zoomScaleSheetLayoutView="100" zoomScalePageLayoutView="70" workbookViewId="0"/>
  </sheetViews>
  <sheetFormatPr baseColWidth="10" defaultColWidth="11.42578125" defaultRowHeight="15" x14ac:dyDescent="0.25"/>
  <cols>
    <col min="1" max="2" width="3.28515625" style="60" customWidth="1"/>
    <col min="3" max="3" width="48.85546875" style="60" customWidth="1"/>
    <col min="4" max="4" width="14.7109375" style="60" customWidth="1"/>
    <col min="5" max="5" width="13" style="60" customWidth="1"/>
    <col min="6" max="6" width="11.140625" style="94" customWidth="1"/>
    <col min="7" max="7" width="12.42578125" style="63" customWidth="1"/>
    <col min="8" max="8" width="11.7109375" style="60" customWidth="1"/>
    <col min="9" max="9" width="9.7109375" style="63" customWidth="1"/>
    <col min="10" max="10" width="9.85546875" style="63" customWidth="1"/>
    <col min="11" max="11" width="3.28515625" style="60" customWidth="1"/>
    <col min="12" max="12" width="15.42578125" style="60" customWidth="1"/>
    <col min="13" max="16384" width="11.42578125" style="60"/>
  </cols>
  <sheetData>
    <row r="1" spans="3:19" ht="10.5" customHeight="1" x14ac:dyDescent="0.25">
      <c r="F1" s="63"/>
      <c r="H1" s="62"/>
    </row>
    <row r="2" spans="3:19" ht="10.5" customHeight="1" x14ac:dyDescent="0.25">
      <c r="F2" s="63"/>
      <c r="H2" s="62"/>
    </row>
    <row r="3" spans="3:19" ht="15.75" x14ac:dyDescent="0.25">
      <c r="C3" s="235" t="s">
        <v>0</v>
      </c>
      <c r="D3" s="235"/>
      <c r="E3" s="235"/>
      <c r="F3" s="235"/>
      <c r="G3" s="235"/>
      <c r="H3" s="235"/>
      <c r="I3" s="235"/>
      <c r="J3" s="235"/>
      <c r="K3" s="1"/>
      <c r="L3" s="1"/>
      <c r="M3" s="4"/>
      <c r="N3" s="4"/>
      <c r="O3" s="4"/>
      <c r="P3" s="4"/>
      <c r="Q3" s="4"/>
      <c r="R3" s="4"/>
      <c r="S3" s="4"/>
    </row>
    <row r="4" spans="3:19" ht="15.75" x14ac:dyDescent="0.25">
      <c r="C4" s="236" t="s">
        <v>1</v>
      </c>
      <c r="D4" s="236"/>
      <c r="E4" s="236"/>
      <c r="F4" s="236"/>
      <c r="G4" s="236"/>
      <c r="H4" s="236"/>
      <c r="I4" s="236"/>
      <c r="J4" s="236"/>
      <c r="K4" s="79"/>
      <c r="L4" s="1"/>
      <c r="M4" s="4"/>
      <c r="N4" s="4"/>
      <c r="O4" s="4"/>
      <c r="P4" s="4"/>
      <c r="Q4" s="4"/>
      <c r="R4" s="4"/>
      <c r="S4" s="4"/>
    </row>
    <row r="5" spans="3:19" ht="9" customHeight="1" x14ac:dyDescent="0.25">
      <c r="C5" s="257"/>
      <c r="E5" s="4"/>
      <c r="F5" s="3"/>
      <c r="G5" s="3"/>
      <c r="H5" s="4"/>
      <c r="I5" s="3"/>
      <c r="J5" s="3"/>
      <c r="K5" s="4"/>
      <c r="L5" s="4"/>
      <c r="M5" s="4"/>
      <c r="N5" s="4"/>
      <c r="O5" s="4"/>
      <c r="P5" s="4"/>
      <c r="Q5" s="4"/>
      <c r="R5" s="4"/>
      <c r="S5" s="4"/>
    </row>
    <row r="6" spans="3:19" ht="15.75" customHeight="1" x14ac:dyDescent="0.25">
      <c r="C6" s="80" t="s">
        <v>84</v>
      </c>
      <c r="D6" s="52"/>
      <c r="E6" s="52"/>
      <c r="F6" s="81"/>
    </row>
    <row r="7" spans="3:19" x14ac:dyDescent="0.25">
      <c r="C7" s="82" t="s">
        <v>85</v>
      </c>
      <c r="D7" s="83"/>
      <c r="E7" s="83"/>
      <c r="F7" s="81"/>
    </row>
    <row r="8" spans="3:19" ht="26.25" customHeight="1" x14ac:dyDescent="0.25">
      <c r="C8" s="84"/>
      <c r="D8" s="246" t="s">
        <v>134</v>
      </c>
      <c r="E8" s="247"/>
      <c r="F8" s="247"/>
      <c r="G8" s="248" t="s">
        <v>135</v>
      </c>
      <c r="H8" s="249"/>
      <c r="I8" s="249"/>
      <c r="J8" s="250"/>
    </row>
    <row r="9" spans="3:19" ht="24" x14ac:dyDescent="0.25">
      <c r="C9" s="85" t="s">
        <v>86</v>
      </c>
      <c r="D9" s="96">
        <v>2025</v>
      </c>
      <c r="E9" s="95">
        <v>2026</v>
      </c>
      <c r="F9" s="107" t="s">
        <v>24</v>
      </c>
      <c r="G9" s="96">
        <v>2025</v>
      </c>
      <c r="H9" s="95">
        <v>2026</v>
      </c>
      <c r="I9" s="161" t="s">
        <v>24</v>
      </c>
      <c r="J9" s="138" t="s">
        <v>30</v>
      </c>
    </row>
    <row r="10" spans="3:19" ht="4.5" customHeight="1" x14ac:dyDescent="0.25">
      <c r="D10" s="225"/>
      <c r="E10" s="225"/>
      <c r="F10" s="63"/>
      <c r="H10" s="225"/>
    </row>
    <row r="11" spans="3:19" x14ac:dyDescent="0.25">
      <c r="C11" s="86" t="s">
        <v>87</v>
      </c>
      <c r="D11" s="141">
        <f>+SUM(D12:D26)</f>
        <v>229827.04957684453</v>
      </c>
      <c r="E11" s="141">
        <f>+SUM(E12:E26)</f>
        <v>238463.9737383436</v>
      </c>
      <c r="F11" s="162">
        <f>(E11-D11)/D11</f>
        <v>3.7580102852998815E-2</v>
      </c>
      <c r="G11" s="145">
        <f>+SUM(G12:G26)</f>
        <v>666500.6966692108</v>
      </c>
      <c r="H11" s="141">
        <f>+SUM(H12:H26)</f>
        <v>688214.38633423636</v>
      </c>
      <c r="I11" s="164">
        <f>(H11-G11)/G11</f>
        <v>3.2578645114008382E-2</v>
      </c>
      <c r="J11" s="164">
        <f>SUM(J12:J26)</f>
        <v>1.0000000000000002</v>
      </c>
    </row>
    <row r="12" spans="3:19" x14ac:dyDescent="0.25">
      <c r="C12" s="87" t="s">
        <v>91</v>
      </c>
      <c r="D12" s="142">
        <v>33728.041760649998</v>
      </c>
      <c r="E12" s="142">
        <v>53507.607345299999</v>
      </c>
      <c r="F12" s="163">
        <f t="shared" ref="F12:F75" si="0">+E12/D12-1</f>
        <v>0.58644275066471607</v>
      </c>
      <c r="G12" s="151">
        <v>99974.708015709999</v>
      </c>
      <c r="H12" s="142">
        <v>141381.6644826</v>
      </c>
      <c r="I12" s="166">
        <f t="shared" ref="I12:I76" si="1">+H12/G12-1</f>
        <v>0.41417431757223366</v>
      </c>
      <c r="J12" s="166">
        <f t="shared" ref="J12:J26" si="2">(H12/$H$11)</f>
        <v>0.20543259090480123</v>
      </c>
    </row>
    <row r="13" spans="3:19" x14ac:dyDescent="0.25">
      <c r="C13" s="87" t="s">
        <v>88</v>
      </c>
      <c r="D13" s="142">
        <v>43099.044754797505</v>
      </c>
      <c r="E13" s="142">
        <v>35694.153170268997</v>
      </c>
      <c r="F13" s="163">
        <f t="shared" si="0"/>
        <v>-0.1718110372667655</v>
      </c>
      <c r="G13" s="151">
        <v>122251.92972526292</v>
      </c>
      <c r="H13" s="142">
        <v>110666.299976055</v>
      </c>
      <c r="I13" s="166">
        <f t="shared" si="1"/>
        <v>-9.4768481571164798E-2</v>
      </c>
      <c r="J13" s="166">
        <f t="shared" si="2"/>
        <v>0.16080207297833077</v>
      </c>
    </row>
    <row r="14" spans="3:19" x14ac:dyDescent="0.25">
      <c r="C14" s="87" t="s">
        <v>89</v>
      </c>
      <c r="D14" s="142">
        <v>34181.927728000002</v>
      </c>
      <c r="E14" s="142">
        <v>33636.36275</v>
      </c>
      <c r="F14" s="163">
        <f t="shared" si="0"/>
        <v>-1.5960626397121036E-2</v>
      </c>
      <c r="G14" s="151">
        <v>95822.554980000001</v>
      </c>
      <c r="H14" s="142">
        <v>101004.76521</v>
      </c>
      <c r="I14" s="166">
        <f t="shared" si="1"/>
        <v>5.4081319696407837E-2</v>
      </c>
      <c r="J14" s="166">
        <f t="shared" si="2"/>
        <v>0.14676351906562193</v>
      </c>
    </row>
    <row r="15" spans="3:19" x14ac:dyDescent="0.25">
      <c r="C15" s="88" t="s">
        <v>90</v>
      </c>
      <c r="D15" s="143">
        <v>36604.721433439998</v>
      </c>
      <c r="E15" s="143">
        <v>36474.279864099997</v>
      </c>
      <c r="F15" s="163">
        <f t="shared" si="0"/>
        <v>-3.563517607344413E-3</v>
      </c>
      <c r="G15" s="151">
        <v>100738.75021353</v>
      </c>
      <c r="H15" s="142">
        <v>98688.868081460008</v>
      </c>
      <c r="I15" s="166">
        <f t="shared" si="1"/>
        <v>-2.0348496757454093E-2</v>
      </c>
      <c r="J15" s="166">
        <f t="shared" si="2"/>
        <v>0.14339843810462141</v>
      </c>
    </row>
    <row r="16" spans="3:19" x14ac:dyDescent="0.25">
      <c r="C16" s="89" t="s">
        <v>93</v>
      </c>
      <c r="D16" s="143">
        <v>14298.631327024999</v>
      </c>
      <c r="E16" s="143">
        <v>16557.883384115001</v>
      </c>
      <c r="F16" s="163">
        <f t="shared" si="0"/>
        <v>0.15800477719989336</v>
      </c>
      <c r="G16" s="151">
        <v>56112.385458051998</v>
      </c>
      <c r="H16" s="142">
        <v>58166.325146233998</v>
      </c>
      <c r="I16" s="166">
        <f t="shared" si="1"/>
        <v>3.6604034410860464E-2</v>
      </c>
      <c r="J16" s="166">
        <f t="shared" si="2"/>
        <v>8.4517740839531202E-2</v>
      </c>
    </row>
    <row r="17" spans="3:10" x14ac:dyDescent="0.25">
      <c r="C17" s="89" t="s">
        <v>92</v>
      </c>
      <c r="D17" s="143">
        <v>22144.786488223999</v>
      </c>
      <c r="E17" s="143">
        <v>19725.324020687</v>
      </c>
      <c r="F17" s="163">
        <f t="shared" si="0"/>
        <v>-0.10925652721120638</v>
      </c>
      <c r="G17" s="151">
        <v>62792.406151228002</v>
      </c>
      <c r="H17" s="142">
        <v>57652.752033623998</v>
      </c>
      <c r="I17" s="166">
        <f t="shared" si="1"/>
        <v>-8.18515236575863E-2</v>
      </c>
      <c r="J17" s="166">
        <f t="shared" si="2"/>
        <v>8.3771500826523723E-2</v>
      </c>
    </row>
    <row r="18" spans="3:10" x14ac:dyDescent="0.25">
      <c r="C18" s="89" t="s">
        <v>95</v>
      </c>
      <c r="D18" s="143">
        <v>14635.763870160001</v>
      </c>
      <c r="E18" s="143">
        <v>15348.638568499999</v>
      </c>
      <c r="F18" s="163">
        <f t="shared" si="0"/>
        <v>4.8707720667278354E-2</v>
      </c>
      <c r="G18" s="151">
        <v>42420.443608250003</v>
      </c>
      <c r="H18" s="142">
        <v>44508.765611340001</v>
      </c>
      <c r="I18" s="166">
        <f t="shared" si="1"/>
        <v>4.9229141080548544E-2</v>
      </c>
      <c r="J18" s="166">
        <f t="shared" si="2"/>
        <v>6.467282070114122E-2</v>
      </c>
    </row>
    <row r="19" spans="3:10" x14ac:dyDescent="0.25">
      <c r="C19" s="89" t="s">
        <v>94</v>
      </c>
      <c r="D19" s="143">
        <v>18080.487148459997</v>
      </c>
      <c r="E19" s="143">
        <v>14961.05668025</v>
      </c>
      <c r="F19" s="163">
        <f t="shared" si="0"/>
        <v>-0.17253022236603255</v>
      </c>
      <c r="G19" s="151">
        <v>47818.435297949996</v>
      </c>
      <c r="H19" s="142">
        <v>42236.693607950001</v>
      </c>
      <c r="I19" s="166">
        <f t="shared" si="1"/>
        <v>-0.1167278196206325</v>
      </c>
      <c r="J19" s="166">
        <f t="shared" si="2"/>
        <v>6.1371419206917653E-2</v>
      </c>
    </row>
    <row r="20" spans="3:10" x14ac:dyDescent="0.25">
      <c r="C20" s="89" t="s">
        <v>96</v>
      </c>
      <c r="D20" s="143">
        <v>4319.7417270879996</v>
      </c>
      <c r="E20" s="143">
        <v>5430.0520209030001</v>
      </c>
      <c r="F20" s="163">
        <f t="shared" si="0"/>
        <v>0.25703163845480104</v>
      </c>
      <c r="G20" s="151">
        <v>14086.849041679001</v>
      </c>
      <c r="H20" s="142">
        <v>13070.647785061999</v>
      </c>
      <c r="I20" s="166">
        <f t="shared" si="1"/>
        <v>-7.2138293922959562E-2</v>
      </c>
      <c r="J20" s="166">
        <f t="shared" si="2"/>
        <v>1.8992116475045822E-2</v>
      </c>
    </row>
    <row r="21" spans="3:10" x14ac:dyDescent="0.25">
      <c r="C21" s="89" t="s">
        <v>97</v>
      </c>
      <c r="D21" s="143">
        <v>4632.4187758999997</v>
      </c>
      <c r="E21" s="143">
        <v>3722.3484395299997</v>
      </c>
      <c r="F21" s="163">
        <f t="shared" si="0"/>
        <v>-0.19645683613593179</v>
      </c>
      <c r="G21" s="151">
        <v>13251.813263064001</v>
      </c>
      <c r="H21" s="142">
        <v>11247.831075589998</v>
      </c>
      <c r="I21" s="166">
        <f t="shared" si="1"/>
        <v>-0.15122324376993634</v>
      </c>
      <c r="J21" s="166">
        <f t="shared" si="2"/>
        <v>1.6343498913908794E-2</v>
      </c>
    </row>
    <row r="22" spans="3:10" x14ac:dyDescent="0.25">
      <c r="C22" s="89" t="s">
        <v>98</v>
      </c>
      <c r="D22" s="143">
        <v>2288.4065449999998</v>
      </c>
      <c r="E22" s="143">
        <v>1584.1907249000001</v>
      </c>
      <c r="F22" s="163">
        <f t="shared" si="0"/>
        <v>-0.30773195507531625</v>
      </c>
      <c r="G22" s="151">
        <v>5895.6737209999992</v>
      </c>
      <c r="H22" s="142">
        <v>4626.4352149000006</v>
      </c>
      <c r="I22" s="166">
        <f t="shared" si="1"/>
        <v>-0.21528303060243226</v>
      </c>
      <c r="J22" s="166">
        <f t="shared" si="2"/>
        <v>6.722375042961015E-3</v>
      </c>
    </row>
    <row r="23" spans="3:10" x14ac:dyDescent="0.25">
      <c r="C23" s="89" t="s">
        <v>99</v>
      </c>
      <c r="D23" s="143">
        <v>1464.6385026</v>
      </c>
      <c r="E23" s="143">
        <v>1598.0223080999999</v>
      </c>
      <c r="F23" s="163">
        <f t="shared" si="0"/>
        <v>9.1069438133177139E-2</v>
      </c>
      <c r="G23" s="151">
        <v>4494.5114371950003</v>
      </c>
      <c r="H23" s="142">
        <v>4247.1865082999993</v>
      </c>
      <c r="I23" s="166">
        <f t="shared" si="1"/>
        <v>-5.5028212154101253E-2</v>
      </c>
      <c r="J23" s="166">
        <f t="shared" si="2"/>
        <v>6.1713131730979564E-3</v>
      </c>
    </row>
    <row r="24" spans="3:10" x14ac:dyDescent="0.25">
      <c r="C24" s="89" t="s">
        <v>100</v>
      </c>
      <c r="D24" s="143">
        <v>144.84432420000002</v>
      </c>
      <c r="E24" s="143">
        <v>177.62655899999999</v>
      </c>
      <c r="F24" s="163">
        <f t="shared" si="0"/>
        <v>0.22632736892565086</v>
      </c>
      <c r="G24" s="151">
        <v>427.92768119999999</v>
      </c>
      <c r="H24" s="142">
        <v>522.24900529999991</v>
      </c>
      <c r="I24" s="166">
        <f t="shared" si="1"/>
        <v>0.22041416866397356</v>
      </c>
      <c r="J24" s="166">
        <f t="shared" si="2"/>
        <v>7.5884639390023717E-4</v>
      </c>
    </row>
    <row r="25" spans="3:10" x14ac:dyDescent="0.25">
      <c r="C25" s="89" t="s">
        <v>102</v>
      </c>
      <c r="D25" s="143">
        <v>32.333759299999997</v>
      </c>
      <c r="E25" s="143">
        <v>0</v>
      </c>
      <c r="F25" s="163" t="s">
        <v>43</v>
      </c>
      <c r="G25" s="151">
        <v>84.02599588999999</v>
      </c>
      <c r="H25" s="142">
        <v>114.91147240000001</v>
      </c>
      <c r="I25" s="166">
        <f t="shared" si="1"/>
        <v>0.36757049033292954</v>
      </c>
      <c r="J25" s="171">
        <f t="shared" si="2"/>
        <v>1.6697045961517056E-4</v>
      </c>
    </row>
    <row r="26" spans="3:10" x14ac:dyDescent="0.25">
      <c r="C26" s="74" t="s">
        <v>101</v>
      </c>
      <c r="D26" s="144">
        <v>171.26143200000001</v>
      </c>
      <c r="E26" s="144">
        <v>46.427902689600003</v>
      </c>
      <c r="F26" s="163">
        <f t="shared" si="0"/>
        <v>-0.72890625666612441</v>
      </c>
      <c r="G26" s="156">
        <v>328.2820792</v>
      </c>
      <c r="H26" s="157">
        <v>78.991123421500006</v>
      </c>
      <c r="I26" s="166">
        <f t="shared" si="1"/>
        <v>-0.75938033652645387</v>
      </c>
      <c r="J26" s="171">
        <f t="shared" si="2"/>
        <v>1.1477691398205877E-4</v>
      </c>
    </row>
    <row r="27" spans="3:10" x14ac:dyDescent="0.25">
      <c r="C27" s="86" t="s">
        <v>103</v>
      </c>
      <c r="D27" s="145">
        <f>+SUM(D28:D43)</f>
        <v>8959432.3840897419</v>
      </c>
      <c r="E27" s="141">
        <f>+SUM(E28:E43)</f>
        <v>8498965.2241656017</v>
      </c>
      <c r="F27" s="164">
        <f>+E27/D27-1</f>
        <v>-5.1394679951136557E-2</v>
      </c>
      <c r="G27" s="145">
        <f>+SUM(G28:G43)</f>
        <v>25614670.480647732</v>
      </c>
      <c r="H27" s="141">
        <f>+SUM(H28:H43)</f>
        <v>24752697.695550192</v>
      </c>
      <c r="I27" s="164">
        <f>+H27/G27-1</f>
        <v>-3.3651527383449009E-2</v>
      </c>
      <c r="J27" s="172">
        <f>SUM(J28:J43)</f>
        <v>1</v>
      </c>
    </row>
    <row r="28" spans="3:10" x14ac:dyDescent="0.25">
      <c r="C28" s="90" t="s">
        <v>98</v>
      </c>
      <c r="D28" s="142">
        <v>2091255.4863169999</v>
      </c>
      <c r="E28" s="146">
        <v>2091829.061058</v>
      </c>
      <c r="F28" s="231">
        <f t="shared" si="0"/>
        <v>2.7427291631898498E-4</v>
      </c>
      <c r="G28" s="149">
        <v>5591214.4557210002</v>
      </c>
      <c r="H28" s="150">
        <v>6674414.8040380003</v>
      </c>
      <c r="I28" s="165">
        <f t="shared" si="1"/>
        <v>0.19373257042728098</v>
      </c>
      <c r="J28" s="173">
        <f t="shared" ref="J28:J42" si="3">(H28/$H$27)</f>
        <v>0.26964393481999599</v>
      </c>
    </row>
    <row r="29" spans="3:10" x14ac:dyDescent="0.25">
      <c r="C29" s="87" t="s">
        <v>104</v>
      </c>
      <c r="D29" s="142">
        <v>2685278.5993232639</v>
      </c>
      <c r="E29" s="146">
        <v>2165541.9738449999</v>
      </c>
      <c r="F29" s="163">
        <f t="shared" si="0"/>
        <v>-0.19355035474130933</v>
      </c>
      <c r="G29" s="151">
        <v>7669452.4084290136</v>
      </c>
      <c r="H29" s="142">
        <v>6164556.8290260993</v>
      </c>
      <c r="I29" s="166">
        <f t="shared" si="1"/>
        <v>-0.19621942992292096</v>
      </c>
      <c r="J29" s="174">
        <f t="shared" si="3"/>
        <v>0.24904585774237875</v>
      </c>
    </row>
    <row r="30" spans="3:10" x14ac:dyDescent="0.25">
      <c r="C30" s="87" t="s">
        <v>90</v>
      </c>
      <c r="D30" s="142">
        <v>1867378.9053364696</v>
      </c>
      <c r="E30" s="146">
        <v>1854129.9202601202</v>
      </c>
      <c r="F30" s="163">
        <f t="shared" si="0"/>
        <v>-7.0949634476898948E-3</v>
      </c>
      <c r="G30" s="151">
        <v>5755389.692687979</v>
      </c>
      <c r="H30" s="143">
        <v>5466770.9679690152</v>
      </c>
      <c r="I30" s="166">
        <f t="shared" si="1"/>
        <v>-5.0147555618283102E-2</v>
      </c>
      <c r="J30" s="174">
        <f t="shared" si="3"/>
        <v>0.2208555622990451</v>
      </c>
    </row>
    <row r="31" spans="3:10" x14ac:dyDescent="0.25">
      <c r="C31" s="87" t="s">
        <v>102</v>
      </c>
      <c r="D31" s="143">
        <v>696288.97822611989</v>
      </c>
      <c r="E31" s="147">
        <v>721163.44334337499</v>
      </c>
      <c r="F31" s="163">
        <f t="shared" si="0"/>
        <v>3.5724341322515007E-2</v>
      </c>
      <c r="G31" s="151">
        <v>2082135.0805699199</v>
      </c>
      <c r="H31" s="142">
        <v>1921692.7663412071</v>
      </c>
      <c r="I31" s="166">
        <f t="shared" si="1"/>
        <v>-7.7056630823777672E-2</v>
      </c>
      <c r="J31" s="174">
        <f t="shared" si="3"/>
        <v>7.7635690055984113E-2</v>
      </c>
    </row>
    <row r="32" spans="3:10" x14ac:dyDescent="0.25">
      <c r="C32" s="87" t="s">
        <v>97</v>
      </c>
      <c r="D32" s="143">
        <v>415800.06424915598</v>
      </c>
      <c r="E32" s="147">
        <v>560781.50017196801</v>
      </c>
      <c r="F32" s="163">
        <f t="shared" si="0"/>
        <v>0.34868064819714939</v>
      </c>
      <c r="G32" s="151">
        <v>1265871.128905911</v>
      </c>
      <c r="H32" s="143">
        <v>1384619.1977493381</v>
      </c>
      <c r="I32" s="166">
        <f t="shared" si="1"/>
        <v>9.3807391709818555E-2</v>
      </c>
      <c r="J32" s="174">
        <f t="shared" si="3"/>
        <v>5.5938112878833886E-2</v>
      </c>
    </row>
    <row r="33" spans="3:10" x14ac:dyDescent="0.25">
      <c r="C33" s="87" t="s">
        <v>89</v>
      </c>
      <c r="D33" s="143">
        <v>260896.0068</v>
      </c>
      <c r="E33" s="147">
        <v>238367.92499999999</v>
      </c>
      <c r="F33" s="163">
        <f t="shared" si="0"/>
        <v>-8.6348894627849893E-2</v>
      </c>
      <c r="G33" s="151">
        <v>597484.11239999998</v>
      </c>
      <c r="H33" s="142">
        <v>763956.42020800011</v>
      </c>
      <c r="I33" s="166">
        <f t="shared" si="1"/>
        <v>0.27862214969918941</v>
      </c>
      <c r="J33" s="174">
        <f t="shared" si="3"/>
        <v>3.0863562008650758E-2</v>
      </c>
    </row>
    <row r="34" spans="3:10" x14ac:dyDescent="0.25">
      <c r="C34" s="87" t="s">
        <v>101</v>
      </c>
      <c r="D34" s="143">
        <v>280940.18131204351</v>
      </c>
      <c r="E34" s="147">
        <v>196811.05305518737</v>
      </c>
      <c r="F34" s="163">
        <f t="shared" si="0"/>
        <v>-0.29945566299543658</v>
      </c>
      <c r="G34" s="151">
        <v>709138.11917304317</v>
      </c>
      <c r="H34" s="142">
        <v>617405.83457429707</v>
      </c>
      <c r="I34" s="166">
        <f t="shared" si="1"/>
        <v>-0.12935742998235533</v>
      </c>
      <c r="J34" s="174">
        <f t="shared" si="3"/>
        <v>2.4942971556804836E-2</v>
      </c>
    </row>
    <row r="35" spans="3:10" x14ac:dyDescent="0.25">
      <c r="C35" s="87" t="s">
        <v>95</v>
      </c>
      <c r="D35" s="143">
        <v>137813.036012</v>
      </c>
      <c r="E35" s="147">
        <v>128777.78169</v>
      </c>
      <c r="F35" s="163">
        <f t="shared" si="0"/>
        <v>-6.5561681125820725E-2</v>
      </c>
      <c r="G35" s="151">
        <v>419374.78313900001</v>
      </c>
      <c r="H35" s="142">
        <v>491761.04417799995</v>
      </c>
      <c r="I35" s="166">
        <f t="shared" si="1"/>
        <v>0.17260518264162727</v>
      </c>
      <c r="J35" s="174">
        <f t="shared" si="3"/>
        <v>1.9866967642335167E-2</v>
      </c>
    </row>
    <row r="36" spans="3:10" x14ac:dyDescent="0.25">
      <c r="C36" s="87" t="s">
        <v>92</v>
      </c>
      <c r="D36" s="143">
        <v>144885.43226593701</v>
      </c>
      <c r="E36" s="147">
        <v>231189.638923869</v>
      </c>
      <c r="F36" s="163">
        <f t="shared" si="0"/>
        <v>0.59567207902255315</v>
      </c>
      <c r="G36" s="151">
        <v>432187.997764498</v>
      </c>
      <c r="H36" s="142">
        <v>351694.19879498723</v>
      </c>
      <c r="I36" s="166">
        <f t="shared" si="1"/>
        <v>-0.1862471873024395</v>
      </c>
      <c r="J36" s="175">
        <f t="shared" si="3"/>
        <v>1.420831794258173E-2</v>
      </c>
    </row>
    <row r="37" spans="3:10" x14ac:dyDescent="0.25">
      <c r="C37" s="87" t="s">
        <v>96</v>
      </c>
      <c r="D37" s="143">
        <v>99746.383897599997</v>
      </c>
      <c r="E37" s="147">
        <v>115217.4100411</v>
      </c>
      <c r="F37" s="163">
        <f t="shared" si="0"/>
        <v>0.15510362921409371</v>
      </c>
      <c r="G37" s="151">
        <v>340878.83164739999</v>
      </c>
      <c r="H37" s="142">
        <v>345771.3948827</v>
      </c>
      <c r="I37" s="166">
        <f t="shared" si="1"/>
        <v>1.4352792784624535E-2</v>
      </c>
      <c r="J37" s="175">
        <f t="shared" si="3"/>
        <v>1.3969038814902973E-2</v>
      </c>
    </row>
    <row r="38" spans="3:10" x14ac:dyDescent="0.25">
      <c r="C38" s="87" t="s">
        <v>105</v>
      </c>
      <c r="D38" s="143">
        <v>106328.66010468561</v>
      </c>
      <c r="E38" s="147">
        <v>101988.76813698637</v>
      </c>
      <c r="F38" s="163">
        <f t="shared" si="0"/>
        <v>-4.0815824853114968E-2</v>
      </c>
      <c r="G38" s="151">
        <v>298826.35927675664</v>
      </c>
      <c r="H38" s="142">
        <v>306210.54241855844</v>
      </c>
      <c r="I38" s="166">
        <f t="shared" si="1"/>
        <v>2.4710615086545928E-2</v>
      </c>
      <c r="J38" s="174">
        <f t="shared" si="3"/>
        <v>1.2370794738611707E-2</v>
      </c>
    </row>
    <row r="39" spans="3:10" x14ac:dyDescent="0.25">
      <c r="C39" s="87" t="s">
        <v>94</v>
      </c>
      <c r="D39" s="143">
        <v>45216.443830000004</v>
      </c>
      <c r="E39" s="147">
        <v>39968.144160000003</v>
      </c>
      <c r="F39" s="163">
        <f t="shared" si="0"/>
        <v>-0.11607059789425289</v>
      </c>
      <c r="G39" s="151">
        <v>103380.08084000001</v>
      </c>
      <c r="H39" s="142">
        <v>129873.32435000001</v>
      </c>
      <c r="I39" s="166">
        <f t="shared" si="1"/>
        <v>0.25627029205948526</v>
      </c>
      <c r="J39" s="174">
        <f t="shared" si="3"/>
        <v>5.2468351509559873E-3</v>
      </c>
    </row>
    <row r="40" spans="3:10" x14ac:dyDescent="0.25">
      <c r="C40" s="87" t="s">
        <v>99</v>
      </c>
      <c r="D40" s="143">
        <v>65800.276629999993</v>
      </c>
      <c r="E40" s="147">
        <v>26446.409479999998</v>
      </c>
      <c r="F40" s="163">
        <f t="shared" si="0"/>
        <v>-0.59808057299348161</v>
      </c>
      <c r="G40" s="151">
        <v>173945.22753385297</v>
      </c>
      <c r="H40" s="142">
        <v>77309.887220000004</v>
      </c>
      <c r="I40" s="166">
        <f t="shared" si="1"/>
        <v>-0.55555039758159475</v>
      </c>
      <c r="J40" s="174">
        <f t="shared" si="3"/>
        <v>3.1232913749800308E-3</v>
      </c>
    </row>
    <row r="41" spans="3:10" x14ac:dyDescent="0.25">
      <c r="C41" s="87" t="s">
        <v>88</v>
      </c>
      <c r="D41" s="143">
        <v>10820.155150000001</v>
      </c>
      <c r="E41" s="147">
        <v>11171.05726</v>
      </c>
      <c r="F41" s="163">
        <f t="shared" si="0"/>
        <v>3.2430413902151844E-2</v>
      </c>
      <c r="G41" s="151">
        <v>36561.327550000002</v>
      </c>
      <c r="H41" s="142">
        <v>31618.384859999998</v>
      </c>
      <c r="I41" s="166">
        <f t="shared" si="1"/>
        <v>-0.1351959302692225</v>
      </c>
      <c r="J41" s="175">
        <f t="shared" si="3"/>
        <v>1.2773712687358539E-3</v>
      </c>
    </row>
    <row r="42" spans="3:10" x14ac:dyDescent="0.25">
      <c r="C42" s="87" t="s">
        <v>106</v>
      </c>
      <c r="D42" s="143">
        <v>49743.416895466202</v>
      </c>
      <c r="E42" s="147">
        <v>14721.4971999963</v>
      </c>
      <c r="F42" s="163">
        <f t="shared" si="0"/>
        <v>-0.70405134751935239</v>
      </c>
      <c r="G42" s="151">
        <v>134738.77199935849</v>
      </c>
      <c r="H42" s="142">
        <v>22142.497199988902</v>
      </c>
      <c r="I42" s="166">
        <f t="shared" si="1"/>
        <v>-0.83566350745652984</v>
      </c>
      <c r="J42" s="175">
        <f t="shared" si="3"/>
        <v>8.9454884765830889E-4</v>
      </c>
    </row>
    <row r="43" spans="3:10" x14ac:dyDescent="0.25">
      <c r="C43" s="87" t="s">
        <v>91</v>
      </c>
      <c r="D43" s="143">
        <v>1240.3577399999999</v>
      </c>
      <c r="E43" s="147">
        <v>859.64053999999999</v>
      </c>
      <c r="F43" s="163">
        <f t="shared" si="0"/>
        <v>-0.30694144739242724</v>
      </c>
      <c r="G43" s="151">
        <v>4092.1030100000003</v>
      </c>
      <c r="H43" s="142">
        <v>2899.6017400000001</v>
      </c>
      <c r="I43" s="166">
        <f t="shared" si="1"/>
        <v>-0.29141526180691135</v>
      </c>
      <c r="J43" s="175">
        <f>(H43/$H$27)</f>
        <v>1.1714285754482685E-4</v>
      </c>
    </row>
    <row r="44" spans="3:10" x14ac:dyDescent="0.25">
      <c r="C44" s="86" t="s">
        <v>107</v>
      </c>
      <c r="D44" s="145">
        <f>+SUM(D45:D55)</f>
        <v>119527.14450190002</v>
      </c>
      <c r="E44" s="141">
        <f>+SUM(E45:E55)</f>
        <v>112421.366223602</v>
      </c>
      <c r="F44" s="164">
        <f t="shared" si="0"/>
        <v>-5.9449075838878263E-2</v>
      </c>
      <c r="G44" s="145">
        <f>+SUM(G45:G55)</f>
        <v>321345.97605724604</v>
      </c>
      <c r="H44" s="141">
        <f>+SUM(H45:H55)</f>
        <v>327847.10057500203</v>
      </c>
      <c r="I44" s="164">
        <f t="shared" si="1"/>
        <v>2.023091932726695E-2</v>
      </c>
      <c r="J44" s="172">
        <f>SUM(J45:J55)</f>
        <v>0.99999999999999989</v>
      </c>
    </row>
    <row r="45" spans="3:10" x14ac:dyDescent="0.25">
      <c r="C45" s="90" t="s">
        <v>91</v>
      </c>
      <c r="D45" s="149">
        <v>47334.990320099998</v>
      </c>
      <c r="E45" s="150">
        <v>37836.998529130004</v>
      </c>
      <c r="F45" s="165">
        <f t="shared" si="0"/>
        <v>-0.20065477412671684</v>
      </c>
      <c r="G45" s="142">
        <v>120554.75032215001</v>
      </c>
      <c r="H45" s="146">
        <v>98042.135075650003</v>
      </c>
      <c r="I45" s="163">
        <f t="shared" si="1"/>
        <v>-0.18674183461324523</v>
      </c>
      <c r="J45" s="173">
        <f t="shared" ref="J45:J55" si="4">(H45/$H$44)</f>
        <v>0.29904835181917605</v>
      </c>
    </row>
    <row r="46" spans="3:10" x14ac:dyDescent="0.25">
      <c r="C46" s="89" t="s">
        <v>93</v>
      </c>
      <c r="D46" s="151">
        <v>16969.453480720003</v>
      </c>
      <c r="E46" s="142">
        <v>22367.754770906999</v>
      </c>
      <c r="F46" s="166">
        <f t="shared" si="0"/>
        <v>0.31811874768508752</v>
      </c>
      <c r="G46" s="142">
        <v>52551.338951248006</v>
      </c>
      <c r="H46" s="146">
        <v>68203.875604441011</v>
      </c>
      <c r="I46" s="163">
        <f t="shared" si="1"/>
        <v>0.29785229007607006</v>
      </c>
      <c r="J46" s="174">
        <f t="shared" si="4"/>
        <v>0.20803562235206627</v>
      </c>
    </row>
    <row r="47" spans="3:10" x14ac:dyDescent="0.25">
      <c r="C47" s="87" t="s">
        <v>97</v>
      </c>
      <c r="D47" s="151">
        <v>17182.886753230006</v>
      </c>
      <c r="E47" s="142">
        <v>14805.481916159999</v>
      </c>
      <c r="F47" s="166">
        <f t="shared" si="0"/>
        <v>-0.13835887247659984</v>
      </c>
      <c r="G47" s="142">
        <v>43499.349624320006</v>
      </c>
      <c r="H47" s="146">
        <v>44580.656143569999</v>
      </c>
      <c r="I47" s="163">
        <f t="shared" si="1"/>
        <v>2.485799278813694E-2</v>
      </c>
      <c r="J47" s="174">
        <f t="shared" si="4"/>
        <v>0.13598002259401168</v>
      </c>
    </row>
    <row r="48" spans="3:10" x14ac:dyDescent="0.25">
      <c r="C48" s="89" t="s">
        <v>94</v>
      </c>
      <c r="D48" s="130">
        <v>12106.798471</v>
      </c>
      <c r="E48" s="143">
        <v>11684.404896</v>
      </c>
      <c r="F48" s="166">
        <f t="shared" si="0"/>
        <v>-3.4888957308720325E-2</v>
      </c>
      <c r="G48" s="142">
        <v>30804.357548</v>
      </c>
      <c r="H48" s="146">
        <v>43450.642766000004</v>
      </c>
      <c r="I48" s="163">
        <f t="shared" si="1"/>
        <v>0.41053559381312521</v>
      </c>
      <c r="J48" s="174">
        <f t="shared" si="4"/>
        <v>0.13253325312254741</v>
      </c>
    </row>
    <row r="49" spans="3:10" x14ac:dyDescent="0.25">
      <c r="C49" s="89" t="s">
        <v>96</v>
      </c>
      <c r="D49" s="130">
        <v>13923.60670565</v>
      </c>
      <c r="E49" s="143">
        <v>12736.562854705002</v>
      </c>
      <c r="F49" s="166">
        <f t="shared" si="0"/>
        <v>-8.5254049187076797E-2</v>
      </c>
      <c r="G49" s="142">
        <v>40357.013448740996</v>
      </c>
      <c r="H49" s="146">
        <v>35342.612429681001</v>
      </c>
      <c r="I49" s="163">
        <f t="shared" si="1"/>
        <v>-0.12425104314096436</v>
      </c>
      <c r="J49" s="174">
        <f t="shared" si="4"/>
        <v>0.10780211985311007</v>
      </c>
    </row>
    <row r="50" spans="3:10" x14ac:dyDescent="0.25">
      <c r="C50" s="89" t="s">
        <v>100</v>
      </c>
      <c r="D50" s="130">
        <v>4068.4461005000003</v>
      </c>
      <c r="E50" s="143">
        <v>5055.4985606999999</v>
      </c>
      <c r="F50" s="166">
        <f t="shared" si="0"/>
        <v>0.24261165954212682</v>
      </c>
      <c r="G50" s="142">
        <v>11856.956973600001</v>
      </c>
      <c r="H50" s="146">
        <v>14833.507534099999</v>
      </c>
      <c r="I50" s="163">
        <f t="shared" si="1"/>
        <v>0.25103832012947414</v>
      </c>
      <c r="J50" s="174">
        <f t="shared" si="4"/>
        <v>4.5245199692429544E-2</v>
      </c>
    </row>
    <row r="51" spans="3:10" x14ac:dyDescent="0.25">
      <c r="C51" s="89" t="s">
        <v>102</v>
      </c>
      <c r="D51" s="130">
        <v>3849.0918543999996</v>
      </c>
      <c r="E51" s="143">
        <v>4694.1891094000002</v>
      </c>
      <c r="F51" s="166">
        <f t="shared" si="0"/>
        <v>0.21955757019255007</v>
      </c>
      <c r="G51" s="142">
        <v>10412.558178159999</v>
      </c>
      <c r="H51" s="146">
        <v>12692.829561099999</v>
      </c>
      <c r="I51" s="163">
        <f t="shared" si="1"/>
        <v>0.21899242663755714</v>
      </c>
      <c r="J51" s="174">
        <f t="shared" si="4"/>
        <v>3.8715698686486458E-2</v>
      </c>
    </row>
    <row r="52" spans="3:10" x14ac:dyDescent="0.25">
      <c r="C52" s="89" t="s">
        <v>90</v>
      </c>
      <c r="D52" s="130">
        <v>2524.3173678000003</v>
      </c>
      <c r="E52" s="143">
        <v>1701.7263690000002</v>
      </c>
      <c r="F52" s="166">
        <f t="shared" si="0"/>
        <v>-0.32586671125148847</v>
      </c>
      <c r="G52" s="142">
        <v>7160.9916616999999</v>
      </c>
      <c r="H52" s="146">
        <v>6059.8086502999995</v>
      </c>
      <c r="I52" s="163">
        <f t="shared" si="1"/>
        <v>-0.15377521206868472</v>
      </c>
      <c r="J52" s="174">
        <f t="shared" si="4"/>
        <v>1.8483642648270696E-2</v>
      </c>
    </row>
    <row r="53" spans="3:10" x14ac:dyDescent="0.25">
      <c r="C53" s="89" t="s">
        <v>99</v>
      </c>
      <c r="D53" s="130">
        <v>1566.7903484999999</v>
      </c>
      <c r="E53" s="143">
        <v>1184.1821423000001</v>
      </c>
      <c r="F53" s="166">
        <f t="shared" si="0"/>
        <v>-0.24419872548123489</v>
      </c>
      <c r="G53" s="142">
        <v>3401.5650587270002</v>
      </c>
      <c r="H53" s="146">
        <v>3438.26467056</v>
      </c>
      <c r="I53" s="163">
        <f t="shared" si="1"/>
        <v>1.0789037163597248E-2</v>
      </c>
      <c r="J53" s="174">
        <f t="shared" si="4"/>
        <v>1.0487403013568587E-2</v>
      </c>
    </row>
    <row r="54" spans="3:10" x14ac:dyDescent="0.25">
      <c r="C54" s="89" t="s">
        <v>101</v>
      </c>
      <c r="D54" s="152">
        <v>0</v>
      </c>
      <c r="E54" s="148">
        <v>351.25507530000004</v>
      </c>
      <c r="F54" s="166" t="s">
        <v>75</v>
      </c>
      <c r="G54" s="142">
        <v>744.73129059999997</v>
      </c>
      <c r="H54" s="146">
        <v>1189.3883396000001</v>
      </c>
      <c r="I54" s="163">
        <f t="shared" si="1"/>
        <v>0.59707045294385019</v>
      </c>
      <c r="J54" s="174">
        <f t="shared" si="4"/>
        <v>3.6278751207924811E-3</v>
      </c>
    </row>
    <row r="55" spans="3:10" x14ac:dyDescent="0.25">
      <c r="C55" s="89" t="s">
        <v>95</v>
      </c>
      <c r="D55" s="152">
        <v>0.7631</v>
      </c>
      <c r="E55" s="148">
        <v>3.3119999999999998</v>
      </c>
      <c r="F55" s="166">
        <f t="shared" si="0"/>
        <v>3.3401913248591271</v>
      </c>
      <c r="G55" s="158">
        <v>2.363</v>
      </c>
      <c r="H55" s="146">
        <v>13.379799999999999</v>
      </c>
      <c r="I55" s="163">
        <f t="shared" si="1"/>
        <v>4.6622090562843841</v>
      </c>
      <c r="J55" s="187">
        <f t="shared" si="4"/>
        <v>4.081109754069362E-5</v>
      </c>
    </row>
    <row r="56" spans="3:10" x14ac:dyDescent="0.25">
      <c r="C56" s="86" t="s">
        <v>108</v>
      </c>
      <c r="D56" s="145">
        <f>+SUM(D57:D73)</f>
        <v>288638.67863830412</v>
      </c>
      <c r="E56" s="141">
        <f>+SUM(E57:E73)</f>
        <v>301672.26708662161</v>
      </c>
      <c r="F56" s="164">
        <f t="shared" si="0"/>
        <v>4.5155377338218727E-2</v>
      </c>
      <c r="G56" s="145">
        <f>+SUM(G57:G73)</f>
        <v>859836.57190291816</v>
      </c>
      <c r="H56" s="141">
        <f>+SUM(H57:H73)</f>
        <v>879623.82122444338</v>
      </c>
      <c r="I56" s="164">
        <f t="shared" si="1"/>
        <v>2.3012802627985218E-2</v>
      </c>
      <c r="J56" s="172">
        <f>SUM(J57:J73)</f>
        <v>1.0000000000000002</v>
      </c>
    </row>
    <row r="57" spans="3:10" x14ac:dyDescent="0.25">
      <c r="C57" s="90" t="s">
        <v>91</v>
      </c>
      <c r="D57" s="149">
        <v>53269.847677541104</v>
      </c>
      <c r="E57" s="150">
        <v>67864.761011772309</v>
      </c>
      <c r="F57" s="165">
        <f t="shared" si="0"/>
        <v>0.27398075967062518</v>
      </c>
      <c r="G57" s="149">
        <v>147420.43731413851</v>
      </c>
      <c r="H57" s="150">
        <v>185943.04849762243</v>
      </c>
      <c r="I57" s="165">
        <f t="shared" si="1"/>
        <v>0.26131119867319352</v>
      </c>
      <c r="J57" s="173">
        <f t="shared" ref="J57:J73" si="5">(H57/$H$56)</f>
        <v>0.21138928256716402</v>
      </c>
    </row>
    <row r="58" spans="3:10" x14ac:dyDescent="0.25">
      <c r="C58" s="87" t="s">
        <v>97</v>
      </c>
      <c r="D58" s="151">
        <v>60611.789162341702</v>
      </c>
      <c r="E58" s="142">
        <v>52597.788472833803</v>
      </c>
      <c r="F58" s="166">
        <f t="shared" si="0"/>
        <v>-0.13221851392710615</v>
      </c>
      <c r="G58" s="151">
        <v>186629.75792685401</v>
      </c>
      <c r="H58" s="142">
        <v>157336.5493430974</v>
      </c>
      <c r="I58" s="166">
        <f t="shared" si="1"/>
        <v>-0.15695893789476767</v>
      </c>
      <c r="J58" s="174">
        <f t="shared" si="5"/>
        <v>0.17886799509827242</v>
      </c>
    </row>
    <row r="59" spans="3:10" ht="15" customHeight="1" x14ac:dyDescent="0.25">
      <c r="C59" s="87" t="s">
        <v>93</v>
      </c>
      <c r="D59" s="151">
        <v>31883.9485879485</v>
      </c>
      <c r="E59" s="142">
        <v>44394.263136355796</v>
      </c>
      <c r="F59" s="166">
        <f t="shared" si="0"/>
        <v>0.39237030237641091</v>
      </c>
      <c r="G59" s="151">
        <v>110926.8046827151</v>
      </c>
      <c r="H59" s="142">
        <v>124479.0636811578</v>
      </c>
      <c r="I59" s="166">
        <f t="shared" si="1"/>
        <v>0.12217298638689122</v>
      </c>
      <c r="J59" s="174">
        <f t="shared" si="5"/>
        <v>0.14151397526715676</v>
      </c>
    </row>
    <row r="60" spans="3:10" x14ac:dyDescent="0.25">
      <c r="C60" s="87" t="s">
        <v>96</v>
      </c>
      <c r="D60" s="151">
        <v>42012.719382734896</v>
      </c>
      <c r="E60" s="142">
        <v>40600.232602523996</v>
      </c>
      <c r="F60" s="166">
        <f t="shared" si="0"/>
        <v>-3.3620455922959369E-2</v>
      </c>
      <c r="G60" s="151">
        <v>122854.629925146</v>
      </c>
      <c r="H60" s="142">
        <v>119682.96113702448</v>
      </c>
      <c r="I60" s="166">
        <f t="shared" si="1"/>
        <v>-2.5816436792443054E-2</v>
      </c>
      <c r="J60" s="174">
        <f t="shared" si="5"/>
        <v>0.13606152795001031</v>
      </c>
    </row>
    <row r="61" spans="3:10" x14ac:dyDescent="0.25">
      <c r="C61" s="89" t="s">
        <v>89</v>
      </c>
      <c r="D61" s="130">
        <v>12484.266007926601</v>
      </c>
      <c r="E61" s="143">
        <v>14004.3567765353</v>
      </c>
      <c r="F61" s="166">
        <f t="shared" si="0"/>
        <v>0.12176052381802438</v>
      </c>
      <c r="G61" s="151">
        <v>33264.531076829197</v>
      </c>
      <c r="H61" s="142">
        <v>45873.800269256797</v>
      </c>
      <c r="I61" s="166">
        <f t="shared" si="1"/>
        <v>0.37906048226877709</v>
      </c>
      <c r="J61" s="174">
        <f t="shared" si="5"/>
        <v>5.2151612044112332E-2</v>
      </c>
    </row>
    <row r="62" spans="3:10" x14ac:dyDescent="0.25">
      <c r="C62" s="89" t="s">
        <v>102</v>
      </c>
      <c r="D62" s="130">
        <v>16585.853414372101</v>
      </c>
      <c r="E62" s="143">
        <v>14740.822612185801</v>
      </c>
      <c r="F62" s="166">
        <f t="shared" si="0"/>
        <v>-0.11124123408612363</v>
      </c>
      <c r="G62" s="151">
        <v>50309.0092563863</v>
      </c>
      <c r="H62" s="142">
        <v>44084.4131047708</v>
      </c>
      <c r="I62" s="166">
        <f t="shared" si="1"/>
        <v>-0.12372726562539771</v>
      </c>
      <c r="J62" s="174">
        <f t="shared" si="5"/>
        <v>5.0117347940173952E-2</v>
      </c>
    </row>
    <row r="63" spans="3:10" ht="15" customHeight="1" x14ac:dyDescent="0.25">
      <c r="C63" s="89" t="s">
        <v>94</v>
      </c>
      <c r="D63" s="130">
        <v>22860.198365482702</v>
      </c>
      <c r="E63" s="143">
        <v>13665.1569538891</v>
      </c>
      <c r="F63" s="166">
        <f t="shared" si="0"/>
        <v>-0.40222929235283755</v>
      </c>
      <c r="G63" s="151">
        <v>58585.870266144906</v>
      </c>
      <c r="H63" s="142">
        <v>38203.2781906253</v>
      </c>
      <c r="I63" s="166">
        <f t="shared" si="1"/>
        <v>-0.34790969192614551</v>
      </c>
      <c r="J63" s="174">
        <f t="shared" si="5"/>
        <v>4.3431381994005154E-2</v>
      </c>
    </row>
    <row r="64" spans="3:10" x14ac:dyDescent="0.25">
      <c r="C64" s="89" t="s">
        <v>99</v>
      </c>
      <c r="D64" s="130">
        <v>12639.571290364302</v>
      </c>
      <c r="E64" s="143">
        <v>10767.444770987157</v>
      </c>
      <c r="F64" s="166">
        <f t="shared" si="0"/>
        <v>-0.14811629891310862</v>
      </c>
      <c r="G64" s="151">
        <v>35333.512284662298</v>
      </c>
      <c r="H64" s="142">
        <v>32504.27846945186</v>
      </c>
      <c r="I64" s="166">
        <f t="shared" si="1"/>
        <v>-8.0072249608725166E-2</v>
      </c>
      <c r="J64" s="174">
        <f t="shared" si="5"/>
        <v>3.6952476371326148E-2</v>
      </c>
    </row>
    <row r="65" spans="3:10" x14ac:dyDescent="0.25">
      <c r="C65" s="89" t="s">
        <v>90</v>
      </c>
      <c r="D65" s="130">
        <v>5829.2565234054</v>
      </c>
      <c r="E65" s="143">
        <v>11453.141038642701</v>
      </c>
      <c r="F65" s="166">
        <f t="shared" si="0"/>
        <v>0.96476874755065301</v>
      </c>
      <c r="G65" s="151">
        <v>19469.571604004203</v>
      </c>
      <c r="H65" s="142">
        <v>29034.105187769303</v>
      </c>
      <c r="I65" s="166">
        <f t="shared" si="1"/>
        <v>0.49125547178439266</v>
      </c>
      <c r="J65" s="174">
        <f t="shared" si="5"/>
        <v>3.3007411221939849E-2</v>
      </c>
    </row>
    <row r="66" spans="3:10" x14ac:dyDescent="0.25">
      <c r="C66" s="89" t="s">
        <v>92</v>
      </c>
      <c r="D66" s="130">
        <v>7842.3662283059994</v>
      </c>
      <c r="E66" s="143">
        <v>7910.2226545367002</v>
      </c>
      <c r="F66" s="166">
        <f>+E66/D66-1</f>
        <v>8.6525449405541188E-3</v>
      </c>
      <c r="G66" s="151">
        <v>23468.566746484099</v>
      </c>
      <c r="H66" s="142">
        <v>23117.490206646602</v>
      </c>
      <c r="I66" s="166">
        <f t="shared" si="1"/>
        <v>-1.4959436749161226E-2</v>
      </c>
      <c r="J66" s="174">
        <f t="shared" si="5"/>
        <v>2.6281109775388837E-2</v>
      </c>
    </row>
    <row r="67" spans="3:10" x14ac:dyDescent="0.25">
      <c r="C67" s="89" t="s">
        <v>95</v>
      </c>
      <c r="D67" s="130">
        <v>7583.6431013229994</v>
      </c>
      <c r="E67" s="143">
        <v>7888.5633400391007</v>
      </c>
      <c r="F67" s="166">
        <f t="shared" si="0"/>
        <v>4.0207619826268859E-2</v>
      </c>
      <c r="G67" s="151">
        <v>21791.023545798998</v>
      </c>
      <c r="H67" s="142">
        <v>22383.877828632703</v>
      </c>
      <c r="I67" s="166">
        <f t="shared" si="1"/>
        <v>2.7206353184267895E-2</v>
      </c>
      <c r="J67" s="174">
        <f t="shared" si="5"/>
        <v>2.5447102827972721E-2</v>
      </c>
    </row>
    <row r="68" spans="3:10" x14ac:dyDescent="0.25">
      <c r="C68" s="89" t="s">
        <v>88</v>
      </c>
      <c r="D68" s="130">
        <v>7173.7105405715001</v>
      </c>
      <c r="E68" s="143">
        <v>6491.1606470137003</v>
      </c>
      <c r="F68" s="166">
        <f t="shared" si="0"/>
        <v>-9.5146004246698279E-2</v>
      </c>
      <c r="G68" s="151">
        <v>20722.590305474299</v>
      </c>
      <c r="H68" s="142">
        <v>19150.612866408901</v>
      </c>
      <c r="I68" s="166">
        <f t="shared" si="1"/>
        <v>-7.5858153632952341E-2</v>
      </c>
      <c r="J68" s="174">
        <f t="shared" si="5"/>
        <v>2.1771366809679046E-2</v>
      </c>
    </row>
    <row r="69" spans="3:10" x14ac:dyDescent="0.25">
      <c r="C69" s="89" t="s">
        <v>100</v>
      </c>
      <c r="D69" s="130">
        <v>3898.5256918885002</v>
      </c>
      <c r="E69" s="143">
        <v>4086.6117282382002</v>
      </c>
      <c r="F69" s="166">
        <f t="shared" si="0"/>
        <v>4.8245426916396328E-2</v>
      </c>
      <c r="G69" s="151">
        <v>12947.770719935601</v>
      </c>
      <c r="H69" s="142">
        <v>13693.542677039401</v>
      </c>
      <c r="I69" s="166">
        <f t="shared" si="1"/>
        <v>5.7598483417345303E-2</v>
      </c>
      <c r="J69" s="174">
        <f t="shared" si="5"/>
        <v>1.5567498681399828E-2</v>
      </c>
    </row>
    <row r="70" spans="3:10" x14ac:dyDescent="0.25">
      <c r="C70" s="89" t="s">
        <v>101</v>
      </c>
      <c r="D70" s="130">
        <v>0</v>
      </c>
      <c r="E70" s="143">
        <v>1103.4058428440001</v>
      </c>
      <c r="F70" s="166" t="s">
        <v>75</v>
      </c>
      <c r="G70" s="151">
        <v>4536.6577070376998</v>
      </c>
      <c r="H70" s="142">
        <v>10926.8328837062</v>
      </c>
      <c r="I70" s="166">
        <f t="shared" si="1"/>
        <v>1.4085645400920255</v>
      </c>
      <c r="J70" s="174">
        <f t="shared" si="5"/>
        <v>1.2422165725907651E-2</v>
      </c>
    </row>
    <row r="71" spans="3:10" x14ac:dyDescent="0.25">
      <c r="C71" s="89" t="s">
        <v>98</v>
      </c>
      <c r="D71" s="130">
        <v>2271.5027984198</v>
      </c>
      <c r="E71" s="148">
        <v>2573.9177501455001</v>
      </c>
      <c r="F71" s="166">
        <f t="shared" si="0"/>
        <v>0.13313430735638043</v>
      </c>
      <c r="G71" s="151">
        <v>6591.7911868134015</v>
      </c>
      <c r="H71" s="142">
        <v>8290.429437114999</v>
      </c>
      <c r="I71" s="166">
        <f t="shared" si="1"/>
        <v>0.25768993618906677</v>
      </c>
      <c r="J71" s="174">
        <f t="shared" si="5"/>
        <v>9.4249714901702576E-3</v>
      </c>
    </row>
    <row r="72" spans="3:10" x14ac:dyDescent="0.25">
      <c r="C72" s="89" t="s">
        <v>104</v>
      </c>
      <c r="D72" s="130">
        <v>1681.7463840825999</v>
      </c>
      <c r="E72" s="143">
        <v>1519.8526832918001</v>
      </c>
      <c r="F72" s="166">
        <f t="shared" si="0"/>
        <v>-9.6265229004261266E-2</v>
      </c>
      <c r="G72" s="151">
        <v>4960.6909155794001</v>
      </c>
      <c r="H72" s="142">
        <v>4908.9723793318008</v>
      </c>
      <c r="I72" s="166">
        <f t="shared" si="1"/>
        <v>-1.0425671973469219E-2</v>
      </c>
      <c r="J72" s="174">
        <f t="shared" si="5"/>
        <v>5.580763345515668E-3</v>
      </c>
    </row>
    <row r="73" spans="3:10" x14ac:dyDescent="0.25">
      <c r="C73" s="89" t="s">
        <v>106</v>
      </c>
      <c r="D73" s="152">
        <v>9.7334815954000007</v>
      </c>
      <c r="E73" s="148">
        <v>10.565064786700001</v>
      </c>
      <c r="F73" s="166">
        <f t="shared" si="0"/>
        <v>8.5435327857711574E-2</v>
      </c>
      <c r="G73" s="151">
        <v>23.3564389139</v>
      </c>
      <c r="H73" s="142">
        <v>10.565064786700001</v>
      </c>
      <c r="I73" s="166">
        <f t="shared" si="1"/>
        <v>-0.54765943448628773</v>
      </c>
      <c r="J73" s="187">
        <f t="shared" si="5"/>
        <v>1.201088980513664E-5</v>
      </c>
    </row>
    <row r="74" spans="3:10" x14ac:dyDescent="0.25">
      <c r="C74" s="86" t="s">
        <v>109</v>
      </c>
      <c r="D74" s="145">
        <f>+SUM(D75:D85)</f>
        <v>25325.633509677002</v>
      </c>
      <c r="E74" s="141">
        <f>+SUM(E75:E85)</f>
        <v>23605.320676988998</v>
      </c>
      <c r="F74" s="164">
        <f t="shared" si="0"/>
        <v>-6.7927731483228948E-2</v>
      </c>
      <c r="G74" s="145">
        <f>+SUM(G75:G85)</f>
        <v>70730.021700089914</v>
      </c>
      <c r="H74" s="141">
        <f>+SUM(H75:H85)</f>
        <v>67925.082693916003</v>
      </c>
      <c r="I74" s="164">
        <f t="shared" si="1"/>
        <v>-3.9656979296110451E-2</v>
      </c>
      <c r="J74" s="172">
        <f>SUM(J75:J85)</f>
        <v>0.99999999999999989</v>
      </c>
    </row>
    <row r="75" spans="3:10" x14ac:dyDescent="0.25">
      <c r="C75" s="90" t="s">
        <v>96</v>
      </c>
      <c r="D75" s="142">
        <v>7674.1448132490004</v>
      </c>
      <c r="E75" s="146">
        <v>6983.952556323</v>
      </c>
      <c r="F75" s="163">
        <f t="shared" si="0"/>
        <v>-8.993735116053847E-2</v>
      </c>
      <c r="G75" s="149">
        <v>21956.334211937999</v>
      </c>
      <c r="H75" s="150">
        <v>19211.088244398001</v>
      </c>
      <c r="I75" s="165">
        <f t="shared" si="1"/>
        <v>-0.12503207234144609</v>
      </c>
      <c r="J75" s="173">
        <f t="shared" ref="J75:J85" si="6">(H75/$H$74)</f>
        <v>0.28282760185905115</v>
      </c>
    </row>
    <row r="76" spans="3:10" x14ac:dyDescent="0.25">
      <c r="C76" s="87" t="s">
        <v>97</v>
      </c>
      <c r="D76" s="142">
        <v>5739.0686397400004</v>
      </c>
      <c r="E76" s="146">
        <v>3652.9537646700001</v>
      </c>
      <c r="F76" s="163">
        <f t="shared" ref="F76:F89" si="7">+E76/D76-1</f>
        <v>-0.36349362693186194</v>
      </c>
      <c r="G76" s="151">
        <v>13826.61717634</v>
      </c>
      <c r="H76" s="142">
        <v>11836.91304756</v>
      </c>
      <c r="I76" s="166">
        <f t="shared" si="1"/>
        <v>-0.14390389951526006</v>
      </c>
      <c r="J76" s="174">
        <f t="shared" si="6"/>
        <v>0.17426424198700641</v>
      </c>
    </row>
    <row r="77" spans="3:10" x14ac:dyDescent="0.25">
      <c r="C77" s="87" t="s">
        <v>93</v>
      </c>
      <c r="D77" s="142">
        <v>2788.1657896379998</v>
      </c>
      <c r="E77" s="146">
        <v>4334.8861353959992</v>
      </c>
      <c r="F77" s="163">
        <f t="shared" si="7"/>
        <v>0.55474475424175451</v>
      </c>
      <c r="G77" s="151">
        <v>8370.1558583370006</v>
      </c>
      <c r="H77" s="142">
        <v>11346.890516468</v>
      </c>
      <c r="I77" s="166">
        <f t="shared" ref="I77:I90" si="8">+H77/G77-1</f>
        <v>0.35563670599586938</v>
      </c>
      <c r="J77" s="174">
        <f t="shared" si="6"/>
        <v>0.16705008027151555</v>
      </c>
    </row>
    <row r="78" spans="3:10" x14ac:dyDescent="0.25">
      <c r="C78" s="87" t="s">
        <v>99</v>
      </c>
      <c r="D78" s="142">
        <v>2178.7613319000002</v>
      </c>
      <c r="E78" s="146">
        <v>1854.7647794999998</v>
      </c>
      <c r="F78" s="163">
        <f t="shared" si="7"/>
        <v>-0.14870676638889013</v>
      </c>
      <c r="G78" s="151">
        <v>6453.1165224249007</v>
      </c>
      <c r="H78" s="142">
        <v>5563.8376648399999</v>
      </c>
      <c r="I78" s="166">
        <f t="shared" si="8"/>
        <v>-0.1378061057001857</v>
      </c>
      <c r="J78" s="174">
        <f t="shared" si="6"/>
        <v>8.1911385959024363E-2</v>
      </c>
    </row>
    <row r="79" spans="3:10" x14ac:dyDescent="0.25">
      <c r="C79" s="89" t="s">
        <v>91</v>
      </c>
      <c r="D79" s="143">
        <v>2542.3559151500008</v>
      </c>
      <c r="E79" s="147">
        <v>2081.0349725999995</v>
      </c>
      <c r="F79" s="163">
        <f t="shared" si="7"/>
        <v>-0.18145411498090069</v>
      </c>
      <c r="G79" s="151">
        <v>6845.3196733000004</v>
      </c>
      <c r="H79" s="142">
        <v>5334.0185442000002</v>
      </c>
      <c r="I79" s="166">
        <f t="shared" si="8"/>
        <v>-0.22077875120935442</v>
      </c>
      <c r="J79" s="174">
        <f t="shared" si="6"/>
        <v>7.8527965409128084E-2</v>
      </c>
    </row>
    <row r="80" spans="3:10" x14ac:dyDescent="0.25">
      <c r="C80" s="89" t="s">
        <v>94</v>
      </c>
      <c r="D80" s="143">
        <v>1739.203141</v>
      </c>
      <c r="E80" s="147">
        <v>1408.0718069999998</v>
      </c>
      <c r="F80" s="163">
        <f t="shared" si="7"/>
        <v>-0.19039255748446249</v>
      </c>
      <c r="G80" s="151">
        <v>4600.6124810000001</v>
      </c>
      <c r="H80" s="142">
        <v>4928.0396349999992</v>
      </c>
      <c r="I80" s="166">
        <f t="shared" si="8"/>
        <v>7.1170339895445522E-2</v>
      </c>
      <c r="J80" s="174">
        <f t="shared" si="6"/>
        <v>7.2551102472804205E-2</v>
      </c>
    </row>
    <row r="81" spans="3:10" x14ac:dyDescent="0.25">
      <c r="C81" s="89" t="s">
        <v>90</v>
      </c>
      <c r="D81" s="143">
        <v>1734.0308473000002</v>
      </c>
      <c r="E81" s="147">
        <v>1397.3167690000002</v>
      </c>
      <c r="F81" s="163">
        <f t="shared" si="7"/>
        <v>-0.19417998176000495</v>
      </c>
      <c r="G81" s="151">
        <v>4616.1078924000003</v>
      </c>
      <c r="H81" s="142">
        <v>4283.7688170000001</v>
      </c>
      <c r="I81" s="166">
        <f t="shared" si="8"/>
        <v>-7.1995517251051688E-2</v>
      </c>
      <c r="J81" s="174">
        <f t="shared" si="6"/>
        <v>6.3066081734541549E-2</v>
      </c>
    </row>
    <row r="82" spans="3:10" x14ac:dyDescent="0.25">
      <c r="C82" s="89" t="s">
        <v>100</v>
      </c>
      <c r="D82" s="143">
        <v>557.80165770000008</v>
      </c>
      <c r="E82" s="147">
        <v>929.77387249999992</v>
      </c>
      <c r="F82" s="163">
        <f t="shared" si="7"/>
        <v>0.66685390705679115</v>
      </c>
      <c r="G82" s="151">
        <v>1960.0512802999999</v>
      </c>
      <c r="H82" s="142">
        <v>2633.1682198999997</v>
      </c>
      <c r="I82" s="166">
        <f t="shared" si="8"/>
        <v>0.34341802501053675</v>
      </c>
      <c r="J82" s="174">
        <f t="shared" si="6"/>
        <v>3.8765771280184991E-2</v>
      </c>
    </row>
    <row r="83" spans="3:10" x14ac:dyDescent="0.25">
      <c r="C83" s="89" t="s">
        <v>102</v>
      </c>
      <c r="D83" s="143">
        <v>364.33192400000001</v>
      </c>
      <c r="E83" s="147">
        <v>597.00227619999998</v>
      </c>
      <c r="F83" s="163">
        <f t="shared" si="7"/>
        <v>0.63862191829228765</v>
      </c>
      <c r="G83" s="151">
        <v>1267.2466315500001</v>
      </c>
      <c r="H83" s="142">
        <v>1493.04692015</v>
      </c>
      <c r="I83" s="166">
        <f t="shared" si="8"/>
        <v>0.17818180216728452</v>
      </c>
      <c r="J83" s="174">
        <f t="shared" si="6"/>
        <v>2.1980789142031196E-2</v>
      </c>
    </row>
    <row r="84" spans="3:10" x14ac:dyDescent="0.25">
      <c r="C84" s="89" t="s">
        <v>101</v>
      </c>
      <c r="D84" s="148">
        <v>0</v>
      </c>
      <c r="E84" s="153">
        <v>352.85394380000002</v>
      </c>
      <c r="F84" s="163" t="s">
        <v>75</v>
      </c>
      <c r="G84" s="151">
        <v>812.72562249999999</v>
      </c>
      <c r="H84" s="142">
        <v>1234.3541164000001</v>
      </c>
      <c r="I84" s="166">
        <f t="shared" si="8"/>
        <v>0.51878331656757881</v>
      </c>
      <c r="J84" s="174">
        <f t="shared" si="6"/>
        <v>1.8172287282479233E-2</v>
      </c>
    </row>
    <row r="85" spans="3:10" x14ac:dyDescent="0.25">
      <c r="C85" s="89" t="s">
        <v>95</v>
      </c>
      <c r="D85" s="143">
        <v>7.76945</v>
      </c>
      <c r="E85" s="147">
        <v>12.7098</v>
      </c>
      <c r="F85" s="163">
        <f t="shared" si="7"/>
        <v>0.63586869083397146</v>
      </c>
      <c r="G85" s="151">
        <v>21.734349999999999</v>
      </c>
      <c r="H85" s="142">
        <v>59.956968000000003</v>
      </c>
      <c r="I85" s="166">
        <f t="shared" si="8"/>
        <v>1.7586271501103097</v>
      </c>
      <c r="J85" s="174">
        <f t="shared" si="6"/>
        <v>8.8269260223322924E-4</v>
      </c>
    </row>
    <row r="86" spans="3:10" x14ac:dyDescent="0.25">
      <c r="C86" s="86" t="s">
        <v>110</v>
      </c>
      <c r="D86" s="145">
        <f>+D87</f>
        <v>1218023.8837799998</v>
      </c>
      <c r="E86" s="141">
        <f>+E87</f>
        <v>1254443.352592</v>
      </c>
      <c r="F86" s="164">
        <f t="shared" si="7"/>
        <v>2.9900455399098247E-2</v>
      </c>
      <c r="G86" s="145">
        <f>+G87</f>
        <v>3501572.6128359996</v>
      </c>
      <c r="H86" s="141">
        <f>+H87</f>
        <v>3568874.68879</v>
      </c>
      <c r="I86" s="164">
        <f t="shared" si="8"/>
        <v>1.9220528429793493E-2</v>
      </c>
      <c r="J86" s="172">
        <f>SUM(J87)</f>
        <v>1</v>
      </c>
    </row>
    <row r="87" spans="3:10" x14ac:dyDescent="0.25">
      <c r="C87" s="91" t="s">
        <v>94</v>
      </c>
      <c r="D87" s="154">
        <v>1218023.8837799998</v>
      </c>
      <c r="E87" s="155">
        <v>1254443.352592</v>
      </c>
      <c r="F87" s="167">
        <f t="shared" si="7"/>
        <v>2.9900455399098247E-2</v>
      </c>
      <c r="G87" s="159">
        <v>3501572.6128359996</v>
      </c>
      <c r="H87" s="160">
        <v>3568874.68879</v>
      </c>
      <c r="I87" s="167">
        <f t="shared" si="8"/>
        <v>1.9220528429793493E-2</v>
      </c>
      <c r="J87" s="176">
        <f>(H87/$H$86)</f>
        <v>1</v>
      </c>
    </row>
    <row r="88" spans="3:10" x14ac:dyDescent="0.25">
      <c r="C88" s="86" t="s">
        <v>111</v>
      </c>
      <c r="D88" s="145">
        <f>SUM(D89:D89)</f>
        <v>2922.6831999999999</v>
      </c>
      <c r="E88" s="141">
        <f>SUM(E89:E89)</f>
        <v>2743.6943419999998</v>
      </c>
      <c r="F88" s="164">
        <f t="shared" si="7"/>
        <v>-6.1241279246413094E-2</v>
      </c>
      <c r="G88" s="145">
        <f>SUM(G89:G89)</f>
        <v>8057.7072399999997</v>
      </c>
      <c r="H88" s="141">
        <f>SUM(H89:H89)</f>
        <v>7992.7976840000001</v>
      </c>
      <c r="I88" s="164">
        <f t="shared" si="8"/>
        <v>-8.055586293552075E-3</v>
      </c>
      <c r="J88" s="172">
        <f>SUM(J89:J89)</f>
        <v>1</v>
      </c>
    </row>
    <row r="89" spans="3:10" x14ac:dyDescent="0.25">
      <c r="C89" s="190" t="s">
        <v>101</v>
      </c>
      <c r="D89" s="191">
        <v>2922.6831999999999</v>
      </c>
      <c r="E89" s="192">
        <v>2743.6943419999998</v>
      </c>
      <c r="F89" s="165">
        <f t="shared" si="7"/>
        <v>-6.1241279246413094E-2</v>
      </c>
      <c r="G89" s="149">
        <v>8057.7072399999997</v>
      </c>
      <c r="H89" s="150">
        <v>7992.7976840000001</v>
      </c>
      <c r="I89" s="165">
        <f t="shared" si="8"/>
        <v>-8.055586293552075E-3</v>
      </c>
      <c r="J89" s="173">
        <f>(H89/$H$88)</f>
        <v>1</v>
      </c>
    </row>
    <row r="90" spans="3:10" x14ac:dyDescent="0.25">
      <c r="C90" s="86" t="s">
        <v>112</v>
      </c>
      <c r="D90" s="145">
        <f>SUM(D91:D95)</f>
        <v>4034.7399693068</v>
      </c>
      <c r="E90" s="141">
        <f>SUM(E91:E95)</f>
        <v>3507.1413508700002</v>
      </c>
      <c r="F90" s="164">
        <f t="shared" ref="F90:F109" si="9">(E90-D90)/D90</f>
        <v>-0.13076397052855065</v>
      </c>
      <c r="G90" s="145">
        <f>SUM(G91:G95)</f>
        <v>10714.430473104099</v>
      </c>
      <c r="H90" s="141">
        <f>SUM(H91:H95)</f>
        <v>9723.4797195119991</v>
      </c>
      <c r="I90" s="164">
        <f t="shared" si="8"/>
        <v>-9.2487487419852576E-2</v>
      </c>
      <c r="J90" s="172">
        <f>SUM(J91:J95)</f>
        <v>1</v>
      </c>
    </row>
    <row r="91" spans="3:10" x14ac:dyDescent="0.25">
      <c r="C91" s="90" t="s">
        <v>90</v>
      </c>
      <c r="D91" s="98">
        <v>1032.9720808</v>
      </c>
      <c r="E91" s="99">
        <v>1173.487545</v>
      </c>
      <c r="F91" s="165">
        <f t="shared" si="9"/>
        <v>0.13603026336508126</v>
      </c>
      <c r="G91" s="98">
        <v>2656.7095850999999</v>
      </c>
      <c r="H91" s="99">
        <v>2732.5870005000002</v>
      </c>
      <c r="I91" s="165">
        <f t="shared" ref="I91:I102" si="10">(H91-G91)/G91</f>
        <v>2.8560673633864345E-2</v>
      </c>
      <c r="J91" s="173">
        <f>(H91/$H$90)</f>
        <v>0.28102974236852141</v>
      </c>
    </row>
    <row r="92" spans="3:10" x14ac:dyDescent="0.25">
      <c r="C92" s="87" t="s">
        <v>92</v>
      </c>
      <c r="D92" s="151">
        <v>817.43124360000002</v>
      </c>
      <c r="E92" s="142">
        <v>920.26404119999995</v>
      </c>
      <c r="F92" s="166">
        <f t="shared" si="9"/>
        <v>0.12579993535250766</v>
      </c>
      <c r="G92" s="151">
        <v>2515.3242936000001</v>
      </c>
      <c r="H92" s="142">
        <v>2656.6270585000002</v>
      </c>
      <c r="I92" s="166">
        <f t="shared" si="10"/>
        <v>5.6176758304895831E-2</v>
      </c>
      <c r="J92" s="174">
        <f>(H92/$H$90)</f>
        <v>0.27321773018860479</v>
      </c>
    </row>
    <row r="93" spans="3:10" x14ac:dyDescent="0.25">
      <c r="C93" s="87" t="s">
        <v>88</v>
      </c>
      <c r="D93" s="151">
        <v>738.4565558068</v>
      </c>
      <c r="E93" s="142">
        <v>822.13925742000004</v>
      </c>
      <c r="F93" s="166">
        <f t="shared" si="9"/>
        <v>0.11332108971769177</v>
      </c>
      <c r="G93" s="151">
        <v>2226.7230825940997</v>
      </c>
      <c r="H93" s="142">
        <v>2484.0893018819997</v>
      </c>
      <c r="I93" s="166">
        <f t="shared" si="10"/>
        <v>0.11558070300689219</v>
      </c>
      <c r="J93" s="174">
        <f>(H93/$H$90)</f>
        <v>0.25547328462023788</v>
      </c>
    </row>
    <row r="94" spans="3:10" x14ac:dyDescent="0.25">
      <c r="C94" s="87" t="s">
        <v>89</v>
      </c>
      <c r="D94" s="151">
        <v>274.74642799999998</v>
      </c>
      <c r="E94" s="142">
        <v>175.938974</v>
      </c>
      <c r="F94" s="166">
        <f t="shared" si="9"/>
        <v>-0.35963144168702343</v>
      </c>
      <c r="G94" s="151">
        <v>675.77678399999991</v>
      </c>
      <c r="H94" s="142">
        <v>691.72157900000002</v>
      </c>
      <c r="I94" s="166">
        <f t="shared" si="10"/>
        <v>2.3594765871684808E-2</v>
      </c>
      <c r="J94" s="174">
        <f>(H94/$H$90)</f>
        <v>7.1139303927577488E-2</v>
      </c>
    </row>
    <row r="95" spans="3:10" x14ac:dyDescent="0.25">
      <c r="C95" s="89" t="s">
        <v>120</v>
      </c>
      <c r="D95" s="130">
        <v>1171.1336610999999</v>
      </c>
      <c r="E95" s="143">
        <v>415.31153325000002</v>
      </c>
      <c r="F95" s="166">
        <f t="shared" si="9"/>
        <v>-0.64537648686494575</v>
      </c>
      <c r="G95" s="151">
        <v>2639.8967278099999</v>
      </c>
      <c r="H95" s="142">
        <v>1158.4547796299998</v>
      </c>
      <c r="I95" s="166">
        <f t="shared" si="10"/>
        <v>-0.56117420525346517</v>
      </c>
      <c r="J95" s="195">
        <f t="shared" ref="J95" si="11">(H95/$H$90)</f>
        <v>0.11913993889505847</v>
      </c>
    </row>
    <row r="96" spans="3:10" x14ac:dyDescent="0.25">
      <c r="C96" s="86" t="s">
        <v>113</v>
      </c>
      <c r="D96" s="145">
        <f>SUM(D97:D102)</f>
        <v>1854.5507202000001</v>
      </c>
      <c r="E96" s="141">
        <f>SUM(E97:E102)</f>
        <v>1923.9981766000003</v>
      </c>
      <c r="F96" s="164">
        <f t="shared" si="9"/>
        <v>3.7447051538450661E-2</v>
      </c>
      <c r="G96" s="145">
        <f>SUM(G97:G102)</f>
        <v>6488.7815324999992</v>
      </c>
      <c r="H96" s="141">
        <f>SUM(H97:H102)</f>
        <v>5699.8944036000012</v>
      </c>
      <c r="I96" s="164">
        <f t="shared" si="10"/>
        <v>-0.12157708268474489</v>
      </c>
      <c r="J96" s="172">
        <f>SUM(J97:J102)</f>
        <v>0.99999999999999989</v>
      </c>
    </row>
    <row r="97" spans="3:10" x14ac:dyDescent="0.25">
      <c r="C97" s="77" t="s">
        <v>96</v>
      </c>
      <c r="D97" s="117">
        <v>1167.4451403</v>
      </c>
      <c r="E97" s="118">
        <v>1332.6027624000001</v>
      </c>
      <c r="F97" s="109">
        <f t="shared" si="9"/>
        <v>0.14146927885413035</v>
      </c>
      <c r="G97" s="98">
        <v>4150.6847079999998</v>
      </c>
      <c r="H97" s="99">
        <v>3471.2642947000004</v>
      </c>
      <c r="I97" s="133">
        <f t="shared" si="10"/>
        <v>-0.16368875525295606</v>
      </c>
      <c r="J97" s="173">
        <f>(H97/$H$96)</f>
        <v>0.60900501814692942</v>
      </c>
    </row>
    <row r="98" spans="3:10" x14ac:dyDescent="0.25">
      <c r="C98" s="73" t="s">
        <v>93</v>
      </c>
      <c r="D98" s="102">
        <v>498.462965</v>
      </c>
      <c r="E98" s="103">
        <v>455.32995</v>
      </c>
      <c r="F98" s="112">
        <f t="shared" si="9"/>
        <v>-8.6532035534475471E-2</v>
      </c>
      <c r="G98" s="100">
        <v>1784.967772</v>
      </c>
      <c r="H98" s="101">
        <v>1791.075644</v>
      </c>
      <c r="I98" s="110">
        <f t="shared" si="10"/>
        <v>3.4218388117766211E-3</v>
      </c>
      <c r="J98" s="174">
        <f t="shared" ref="J98:J102" si="12">(H98/$H$96)</f>
        <v>0.31422961851166453</v>
      </c>
    </row>
    <row r="99" spans="3:10" x14ac:dyDescent="0.25">
      <c r="C99" s="73" t="s">
        <v>91</v>
      </c>
      <c r="D99" s="102">
        <v>119.65204</v>
      </c>
      <c r="E99" s="103">
        <v>87.023861799999992</v>
      </c>
      <c r="F99" s="112">
        <f t="shared" si="9"/>
        <v>-0.27269220148691159</v>
      </c>
      <c r="G99" s="100">
        <v>371.49767600000001</v>
      </c>
      <c r="H99" s="101">
        <v>292.15533679999999</v>
      </c>
      <c r="I99" s="110">
        <f t="shared" si="10"/>
        <v>-0.2135742544995087</v>
      </c>
      <c r="J99" s="174">
        <f t="shared" si="12"/>
        <v>5.1256271803119258E-2</v>
      </c>
    </row>
    <row r="100" spans="3:10" x14ac:dyDescent="0.25">
      <c r="C100" s="73" t="s">
        <v>99</v>
      </c>
      <c r="D100" s="102">
        <v>63.997304899999996</v>
      </c>
      <c r="E100" s="103">
        <v>45.318284400000003</v>
      </c>
      <c r="F100" s="112">
        <f t="shared" si="9"/>
        <v>-0.29187198631547362</v>
      </c>
      <c r="G100" s="100">
        <v>174.63380649999999</v>
      </c>
      <c r="H100" s="101">
        <v>133.03520210000002</v>
      </c>
      <c r="I100" s="110">
        <f t="shared" si="10"/>
        <v>-0.23820476248967276</v>
      </c>
      <c r="J100" s="174">
        <f t="shared" si="12"/>
        <v>2.333994152873713E-2</v>
      </c>
    </row>
    <row r="101" spans="3:10" x14ac:dyDescent="0.25">
      <c r="C101" s="73" t="s">
        <v>97</v>
      </c>
      <c r="D101" s="210">
        <v>3.7426699999999999</v>
      </c>
      <c r="E101" s="103">
        <v>3.3783180000000002</v>
      </c>
      <c r="F101" s="112">
        <f t="shared" si="9"/>
        <v>-9.7350821739560209E-2</v>
      </c>
      <c r="G101" s="100">
        <v>3.7426699999999999</v>
      </c>
      <c r="H101" s="101">
        <v>11.055126</v>
      </c>
      <c r="I101" s="110">
        <f t="shared" si="10"/>
        <v>1.9538073086860448</v>
      </c>
      <c r="J101" s="174">
        <f t="shared" si="12"/>
        <v>1.9395317206258563E-3</v>
      </c>
    </row>
    <row r="102" spans="3:10" x14ac:dyDescent="0.25">
      <c r="C102" s="76" t="s">
        <v>95</v>
      </c>
      <c r="D102" s="104">
        <v>1.2505999999999999</v>
      </c>
      <c r="E102" s="177">
        <v>0.34499999999999997</v>
      </c>
      <c r="F102" s="114">
        <f t="shared" si="9"/>
        <v>-0.72413241644010873</v>
      </c>
      <c r="G102" s="124">
        <v>3.2549000000000001</v>
      </c>
      <c r="H102" s="125">
        <v>1.3088</v>
      </c>
      <c r="I102" s="110">
        <f t="shared" si="10"/>
        <v>-0.59789855295093552</v>
      </c>
      <c r="J102" s="196">
        <f t="shared" si="12"/>
        <v>2.2961828892362879E-4</v>
      </c>
    </row>
    <row r="103" spans="3:10" x14ac:dyDescent="0.25">
      <c r="C103" s="86" t="s">
        <v>114</v>
      </c>
      <c r="D103" s="145">
        <f>SUM(D104:D106)</f>
        <v>25.131314</v>
      </c>
      <c r="E103" s="141">
        <f>SUM(E104:E106)</f>
        <v>24.4855892</v>
      </c>
      <c r="F103" s="164">
        <f t="shared" si="9"/>
        <v>-2.5694032552376688E-2</v>
      </c>
      <c r="G103" s="145">
        <f>SUM(G104:G106)</f>
        <v>61.696999799999993</v>
      </c>
      <c r="H103" s="141">
        <f>SUM(H104:H106)</f>
        <v>60.780188600000002</v>
      </c>
      <c r="I103" s="164">
        <f>(H103-G103)/G103</f>
        <v>-1.4859899232895777E-2</v>
      </c>
      <c r="J103" s="172">
        <f>SUM(J104:J106)</f>
        <v>1</v>
      </c>
    </row>
    <row r="104" spans="3:10" x14ac:dyDescent="0.25">
      <c r="C104" s="77" t="s">
        <v>96</v>
      </c>
      <c r="D104" s="117">
        <v>19.692983999999999</v>
      </c>
      <c r="E104" s="118">
        <v>18.119588</v>
      </c>
      <c r="F104" s="109">
        <f t="shared" si="9"/>
        <v>-7.9896271687419182E-2</v>
      </c>
      <c r="G104" s="98">
        <v>46.618799999999993</v>
      </c>
      <c r="H104" s="99">
        <v>41.408573000000004</v>
      </c>
      <c r="I104" s="109">
        <f>(H104-G104)/G104</f>
        <v>-0.11176235767544403</v>
      </c>
      <c r="J104" s="173">
        <f>(H104/$H$103)</f>
        <v>0.68128404919098917</v>
      </c>
    </row>
    <row r="105" spans="3:10" x14ac:dyDescent="0.25">
      <c r="C105" s="73" t="s">
        <v>91</v>
      </c>
      <c r="D105" s="102">
        <v>5.2693300000000001</v>
      </c>
      <c r="E105" s="103">
        <v>6.3315011999999999</v>
      </c>
      <c r="F105" s="112">
        <f t="shared" si="9"/>
        <v>0.2015761396610195</v>
      </c>
      <c r="G105" s="100">
        <v>14.633399799999999</v>
      </c>
      <c r="H105" s="101">
        <v>19.200915600000002</v>
      </c>
      <c r="I105" s="112">
        <f>(H105-G105)/G105</f>
        <v>0.31212950253706612</v>
      </c>
      <c r="J105" s="174">
        <f>(H105/$H$103)</f>
        <v>0.31590746988896312</v>
      </c>
    </row>
    <row r="106" spans="3:10" x14ac:dyDescent="0.25">
      <c r="C106" s="76" t="s">
        <v>95</v>
      </c>
      <c r="D106" s="178">
        <v>0.16900000000000001</v>
      </c>
      <c r="E106" s="209">
        <v>3.4500000000000003E-2</v>
      </c>
      <c r="F106" s="114">
        <f t="shared" si="9"/>
        <v>-0.79585798816568043</v>
      </c>
      <c r="G106" s="179">
        <v>0.44480000000000008</v>
      </c>
      <c r="H106" s="180">
        <v>0.17069999999999999</v>
      </c>
      <c r="I106" s="114">
        <f>(H106-G106)/G106</f>
        <v>-0.6162320143884894</v>
      </c>
      <c r="J106" s="194">
        <f>(H106/$H$103)</f>
        <v>2.8084809200476877E-3</v>
      </c>
    </row>
    <row r="107" spans="3:10" x14ac:dyDescent="0.25">
      <c r="C107" s="86" t="s">
        <v>115</v>
      </c>
      <c r="D107" s="145">
        <f>SUM(D108:D109)</f>
        <v>28.990872000000003</v>
      </c>
      <c r="E107" s="141">
        <f>SUM(E108:E109)</f>
        <v>22.518574000000001</v>
      </c>
      <c r="F107" s="164">
        <f t="shared" si="9"/>
        <v>-0.22325296044906828</v>
      </c>
      <c r="G107" s="145">
        <f>SUM(G108:G109)</f>
        <v>85.650773999999984</v>
      </c>
      <c r="H107" s="141">
        <f>SUM(H108:H109)</f>
        <v>71.499302</v>
      </c>
      <c r="I107" s="164">
        <f t="shared" ref="I107:I115" si="13">(H107-G107)/G107</f>
        <v>-0.16522293190251833</v>
      </c>
      <c r="J107" s="172">
        <f>SUM(J108:J109)</f>
        <v>1</v>
      </c>
    </row>
    <row r="108" spans="3:10" x14ac:dyDescent="0.25">
      <c r="C108" s="77" t="s">
        <v>90</v>
      </c>
      <c r="D108" s="117">
        <v>17.082198000000002</v>
      </c>
      <c r="E108" s="118">
        <v>11.422354</v>
      </c>
      <c r="F108" s="109">
        <f t="shared" si="9"/>
        <v>-0.33132996116776076</v>
      </c>
      <c r="G108" s="254">
        <v>49.347347999999997</v>
      </c>
      <c r="H108" s="255">
        <v>40.994749999999996</v>
      </c>
      <c r="I108" s="109">
        <f t="shared" si="13"/>
        <v>-0.16926133497589377</v>
      </c>
      <c r="J108" s="173">
        <f>(H108/$H$107)</f>
        <v>0.57335874411752996</v>
      </c>
    </row>
    <row r="109" spans="3:10" x14ac:dyDescent="0.25">
      <c r="C109" s="76" t="s">
        <v>91</v>
      </c>
      <c r="D109" s="104">
        <v>11.908674</v>
      </c>
      <c r="E109" s="105">
        <v>11.096219999999999</v>
      </c>
      <c r="F109" s="114">
        <f t="shared" si="9"/>
        <v>-6.8223716595147435E-2</v>
      </c>
      <c r="G109" s="179">
        <v>36.303425999999995</v>
      </c>
      <c r="H109" s="180">
        <v>30.504552</v>
      </c>
      <c r="I109" s="114">
        <f t="shared" si="13"/>
        <v>-0.15973351936536223</v>
      </c>
      <c r="J109" s="194">
        <f>(H109/$H$107)</f>
        <v>0.42664125588247004</v>
      </c>
    </row>
    <row r="110" spans="3:10" x14ac:dyDescent="0.25">
      <c r="C110" s="86" t="s">
        <v>116</v>
      </c>
      <c r="D110" s="145">
        <f>SUM(D111:D113)</f>
        <v>2962.1689505999998</v>
      </c>
      <c r="E110" s="141">
        <f>SUM(E111:E113)</f>
        <v>3189.6974123999998</v>
      </c>
      <c r="F110" s="164">
        <f>(E110-D110)/D110</f>
        <v>7.6811439723555683E-2</v>
      </c>
      <c r="G110" s="145">
        <f>SUM(G111:G113)</f>
        <v>9121.8663663999996</v>
      </c>
      <c r="H110" s="141">
        <f>SUM(H111:H113)</f>
        <v>9988.0191307000005</v>
      </c>
      <c r="I110" s="164">
        <f t="shared" si="13"/>
        <v>9.4953459030099052E-2</v>
      </c>
      <c r="J110" s="172">
        <f>SUM(J111:J113)</f>
        <v>0.99999999999999989</v>
      </c>
    </row>
    <row r="111" spans="3:10" x14ac:dyDescent="0.25">
      <c r="C111" s="77" t="s">
        <v>97</v>
      </c>
      <c r="D111" s="117">
        <v>2863.7146745999999</v>
      </c>
      <c r="E111" s="118">
        <v>3114.9524163999999</v>
      </c>
      <c r="F111" s="109">
        <f>(E111-D111)/D111</f>
        <v>8.7731415433380311E-2</v>
      </c>
      <c r="G111" s="98">
        <v>8835.3991353999991</v>
      </c>
      <c r="H111" s="99">
        <v>9740.660664699999</v>
      </c>
      <c r="I111" s="109">
        <f t="shared" si="13"/>
        <v>0.1024584758908027</v>
      </c>
      <c r="J111" s="173">
        <f>(H111/$H$110)</f>
        <v>0.97523448215675723</v>
      </c>
    </row>
    <row r="112" spans="3:10" x14ac:dyDescent="0.25">
      <c r="C112" s="73" t="s">
        <v>90</v>
      </c>
      <c r="D112" s="102">
        <v>86.545602000000002</v>
      </c>
      <c r="E112" s="103">
        <v>57.128087000000001</v>
      </c>
      <c r="F112" s="112">
        <f>(E112-D112)/D112</f>
        <v>-0.33990768242619657</v>
      </c>
      <c r="G112" s="100">
        <v>249.61501699999999</v>
      </c>
      <c r="H112" s="101">
        <v>199.26426799999999</v>
      </c>
      <c r="I112" s="112">
        <f t="shared" si="13"/>
        <v>-0.20171362126021453</v>
      </c>
      <c r="J112" s="174">
        <f>(H112/$H$110)</f>
        <v>1.9950329028458193E-2</v>
      </c>
    </row>
    <row r="113" spans="3:10" x14ac:dyDescent="0.25">
      <c r="C113" s="76" t="s">
        <v>91</v>
      </c>
      <c r="D113" s="104">
        <v>11.908674</v>
      </c>
      <c r="E113" s="105">
        <v>17.616909</v>
      </c>
      <c r="F113" s="114">
        <f>(E113-D113)/D113</f>
        <v>0.47933422310494017</v>
      </c>
      <c r="G113" s="124">
        <v>36.852213999999996</v>
      </c>
      <c r="H113" s="125">
        <v>48.094197999999999</v>
      </c>
      <c r="I113" s="114">
        <f t="shared" si="13"/>
        <v>0.3050558644861881</v>
      </c>
      <c r="J113" s="194">
        <f>(H113/$H$110)</f>
        <v>4.8151888147844749E-3</v>
      </c>
    </row>
    <row r="114" spans="3:10" x14ac:dyDescent="0.25">
      <c r="C114" s="86" t="s">
        <v>117</v>
      </c>
      <c r="D114" s="145">
        <f>SUM(D115)</f>
        <v>2.6791360000000002</v>
      </c>
      <c r="E114" s="141">
        <f>SUM(E115)</f>
        <v>5.5070579999999998</v>
      </c>
      <c r="F114" s="164">
        <f t="shared" ref="F114:F115" si="14">(E114-D114)/D114</f>
        <v>1.0555350680219293</v>
      </c>
      <c r="G114" s="188">
        <f>SUM(G115)</f>
        <v>7.7765240000000002</v>
      </c>
      <c r="H114" s="188">
        <f>SUM(H115)</f>
        <v>13.545000000000002</v>
      </c>
      <c r="I114" s="170">
        <f t="shared" si="13"/>
        <v>0.74178077506093998</v>
      </c>
      <c r="J114" s="172">
        <f>SUM(J115)</f>
        <v>1</v>
      </c>
    </row>
    <row r="115" spans="3:10" x14ac:dyDescent="0.25">
      <c r="C115" s="92" t="s">
        <v>91</v>
      </c>
      <c r="D115" s="211">
        <v>2.6791360000000002</v>
      </c>
      <c r="E115" s="212">
        <v>5.5070579999999998</v>
      </c>
      <c r="F115" s="168">
        <f t="shared" si="14"/>
        <v>1.0555350680219293</v>
      </c>
      <c r="G115" s="189">
        <v>7.7765240000000002</v>
      </c>
      <c r="H115" s="126">
        <v>13.545000000000002</v>
      </c>
      <c r="I115" s="127">
        <f t="shared" si="13"/>
        <v>0.74178077506093998</v>
      </c>
      <c r="J115" s="176">
        <f>(H115/$H$114)</f>
        <v>1</v>
      </c>
    </row>
    <row r="116" spans="3:10" ht="156" customHeight="1" x14ac:dyDescent="0.25">
      <c r="C116" s="251" t="s">
        <v>133</v>
      </c>
      <c r="D116" s="252"/>
      <c r="E116" s="252"/>
      <c r="F116" s="252"/>
      <c r="G116" s="252"/>
      <c r="H116" s="252"/>
      <c r="I116" s="252"/>
      <c r="J116" s="253"/>
    </row>
    <row r="117" spans="3:10" x14ac:dyDescent="0.25">
      <c r="D117" s="93"/>
      <c r="E117" s="93"/>
      <c r="F117" s="169"/>
    </row>
    <row r="118" spans="3:10" x14ac:dyDescent="0.25">
      <c r="F118" s="63"/>
    </row>
    <row r="119" spans="3:10" x14ac:dyDescent="0.25">
      <c r="F119" s="63"/>
    </row>
    <row r="120" spans="3:10" x14ac:dyDescent="0.25">
      <c r="F120" s="63"/>
    </row>
    <row r="121" spans="3:10" x14ac:dyDescent="0.25">
      <c r="F121" s="63"/>
    </row>
  </sheetData>
  <mergeCells count="5">
    <mergeCell ref="C3:J3"/>
    <mergeCell ref="C4:J4"/>
    <mergeCell ref="D8:F8"/>
    <mergeCell ref="G8:J8"/>
    <mergeCell ref="C116:J116"/>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CCANTO CHAVEZ MARICIELO BRIGGITTE</cp:lastModifiedBy>
  <dcterms:created xsi:type="dcterms:W3CDTF">2025-08-15T20:36:18Z</dcterms:created>
  <dcterms:modified xsi:type="dcterms:W3CDTF">2026-05-05T19:18:45Z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